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 activeTab="1"/>
  </bookViews>
  <sheets>
    <sheet name="Base" sheetId="32916" r:id="rId1"/>
    <sheet name="Ingreso" sheetId="32917" r:id="rId2"/>
    <sheet name="Informe Kelly" sheetId="32918" r:id="rId3"/>
    <sheet name="Control Horas" sheetId="32920" r:id="rId4"/>
    <sheet name="Control Maria" sheetId="32921" r:id="rId5"/>
  </sheets>
  <functionGroups/>
  <definedNames>
    <definedName name="_xlnm._FilterDatabase" localSheetId="0" hidden="1">Base!$A$1:$E$260</definedName>
    <definedName name="_xlnm._FilterDatabase" localSheetId="3" hidden="1">'Control Horas'!$B$6:$E$405</definedName>
    <definedName name="_xlnm._FilterDatabase" localSheetId="4" hidden="1">'Control Maria'!$A$8:$H$1322</definedName>
  </definedNames>
  <calcPr calcId="125725"/>
  <pivotCaches>
    <pivotCache cacheId="0" r:id="rId6"/>
  </pivotCaches>
</workbook>
</file>

<file path=xl/calcChain.xml><?xml version="1.0" encoding="utf-8"?>
<calcChain xmlns="http://schemas.openxmlformats.org/spreadsheetml/2006/main">
  <c r="AL25" i="32917"/>
  <c r="AN25"/>
  <c r="AO25"/>
  <c r="AP25"/>
  <c r="AQ25"/>
  <c r="AR25"/>
  <c r="AS25"/>
  <c r="AT25"/>
  <c r="AL26"/>
  <c r="AN26"/>
  <c r="AO26"/>
  <c r="AP26"/>
  <c r="AQ26"/>
  <c r="AR26"/>
  <c r="AS26"/>
  <c r="AT26"/>
  <c r="AL27"/>
  <c r="AN27"/>
  <c r="AO27"/>
  <c r="AP27"/>
  <c r="AQ27"/>
  <c r="AR27"/>
  <c r="AS27"/>
  <c r="AT27"/>
  <c r="AL28"/>
  <c r="AN28"/>
  <c r="AO28"/>
  <c r="AP28"/>
  <c r="AQ28"/>
  <c r="AR28"/>
  <c r="AS28"/>
  <c r="AT28"/>
  <c r="AL29"/>
  <c r="AN29"/>
  <c r="AO29"/>
  <c r="AP29"/>
  <c r="AQ29"/>
  <c r="AR29"/>
  <c r="AS29"/>
  <c r="AT29"/>
  <c r="AL30"/>
  <c r="AN30"/>
  <c r="AO30"/>
  <c r="AP30"/>
  <c r="AQ30"/>
  <c r="AR30"/>
  <c r="AS30"/>
  <c r="AT30"/>
  <c r="AL31"/>
  <c r="AN31"/>
  <c r="AO31"/>
  <c r="AP31"/>
  <c r="AQ31"/>
  <c r="AR31"/>
  <c r="AS31"/>
  <c r="AT31"/>
  <c r="AL32"/>
  <c r="AN32"/>
  <c r="AO32"/>
  <c r="AP32"/>
  <c r="AQ32"/>
  <c r="AR32"/>
  <c r="AS32"/>
  <c r="AT32"/>
  <c r="AL33"/>
  <c r="AN33"/>
  <c r="AO33"/>
  <c r="AP33"/>
  <c r="AQ33"/>
  <c r="AR33"/>
  <c r="AS33"/>
  <c r="AT33"/>
  <c r="AL34"/>
  <c r="AN34"/>
  <c r="AO34"/>
  <c r="AP34"/>
  <c r="AQ34"/>
  <c r="AR34"/>
  <c r="AS34"/>
  <c r="AT34"/>
  <c r="AL35"/>
  <c r="AN35"/>
  <c r="AO35"/>
  <c r="AP35"/>
  <c r="AQ35"/>
  <c r="AR35"/>
  <c r="AS35"/>
  <c r="AT35"/>
  <c r="AL36"/>
  <c r="AN36"/>
  <c r="AO36"/>
  <c r="AP36"/>
  <c r="AQ36"/>
  <c r="AR36"/>
  <c r="AS36"/>
  <c r="AT36"/>
  <c r="AL37"/>
  <c r="AN37"/>
  <c r="AO37"/>
  <c r="AP37"/>
  <c r="AQ37"/>
  <c r="AR37"/>
  <c r="AS37"/>
  <c r="AT37"/>
  <c r="AL38"/>
  <c r="AN38"/>
  <c r="AO38"/>
  <c r="AP38"/>
  <c r="AQ38"/>
  <c r="AR38"/>
  <c r="AS38"/>
  <c r="AT38"/>
  <c r="AL39"/>
  <c r="AN39"/>
  <c r="AO39"/>
  <c r="AP39"/>
  <c r="AQ39"/>
  <c r="AR39"/>
  <c r="AS39"/>
  <c r="AT39"/>
  <c r="AL40"/>
  <c r="AN40"/>
  <c r="AO40"/>
  <c r="AP40"/>
  <c r="AQ40"/>
  <c r="AR40"/>
  <c r="AS40"/>
  <c r="AT40"/>
  <c r="AL41"/>
  <c r="AN41"/>
  <c r="AO41"/>
  <c r="AP41"/>
  <c r="AQ41"/>
  <c r="AR41"/>
  <c r="AS41"/>
  <c r="AT41"/>
  <c r="AL42"/>
  <c r="AN42"/>
  <c r="AO42"/>
  <c r="AP42"/>
  <c r="AQ42"/>
  <c r="AR42"/>
  <c r="AS42"/>
  <c r="AT42"/>
  <c r="AL43"/>
  <c r="AN43"/>
  <c r="AO43"/>
  <c r="AP43"/>
  <c r="AQ43"/>
  <c r="AR43"/>
  <c r="AS43"/>
  <c r="AT43"/>
  <c r="AL44"/>
  <c r="AN44"/>
  <c r="AO44"/>
  <c r="AP44"/>
  <c r="AQ44"/>
  <c r="AR44"/>
  <c r="AS44"/>
  <c r="AT44"/>
  <c r="AL45"/>
  <c r="AN45"/>
  <c r="AO45"/>
  <c r="AP45"/>
  <c r="AQ45"/>
  <c r="AR45"/>
  <c r="AS45"/>
  <c r="AT45"/>
  <c r="AL46"/>
  <c r="AN46"/>
  <c r="AO46"/>
  <c r="AP46"/>
  <c r="AQ46"/>
  <c r="AR46"/>
  <c r="AS46"/>
  <c r="AT46"/>
  <c r="AL47"/>
  <c r="AN47"/>
  <c r="AO47"/>
  <c r="AP47"/>
  <c r="AQ47"/>
  <c r="AR47"/>
  <c r="AS47"/>
  <c r="AT47"/>
  <c r="AL48"/>
  <c r="AN48"/>
  <c r="AO48"/>
  <c r="AP48"/>
  <c r="AQ48"/>
  <c r="AR48"/>
  <c r="AS48"/>
  <c r="AT48"/>
  <c r="AL49"/>
  <c r="AN49"/>
  <c r="AO49"/>
  <c r="AP49"/>
  <c r="AQ49"/>
  <c r="AR49"/>
  <c r="AS49"/>
  <c r="AT49"/>
  <c r="AL50"/>
  <c r="AN50"/>
  <c r="AO50"/>
  <c r="AP50"/>
  <c r="AQ50"/>
  <c r="AR50"/>
  <c r="AS50"/>
  <c r="AT50"/>
  <c r="AL51"/>
  <c r="AN51"/>
  <c r="AO51"/>
  <c r="AP51"/>
  <c r="AQ51"/>
  <c r="AR51"/>
  <c r="AS51"/>
  <c r="AT51"/>
  <c r="AL52"/>
  <c r="AN52"/>
  <c r="AO52"/>
  <c r="AP52"/>
  <c r="AQ52"/>
  <c r="AR52"/>
  <c r="AS52"/>
  <c r="AT52"/>
  <c r="AL53"/>
  <c r="AN53"/>
  <c r="AO53"/>
  <c r="AP53"/>
  <c r="AQ53"/>
  <c r="AR53"/>
  <c r="AS53"/>
  <c r="AT53"/>
  <c r="AL54"/>
  <c r="AN54"/>
  <c r="AO54"/>
  <c r="AP54"/>
  <c r="AQ54"/>
  <c r="AR54"/>
  <c r="AS54"/>
  <c r="AT54"/>
  <c r="AL55"/>
  <c r="AN55"/>
  <c r="AO55"/>
  <c r="AP55"/>
  <c r="AQ55"/>
  <c r="AR55"/>
  <c r="AS55"/>
  <c r="AT55"/>
  <c r="AL56"/>
  <c r="AN56"/>
  <c r="AO56"/>
  <c r="AP56"/>
  <c r="AQ56"/>
  <c r="AR56"/>
  <c r="AS56"/>
  <c r="AT56"/>
  <c r="AL57"/>
  <c r="AN57"/>
  <c r="AO57"/>
  <c r="AP57"/>
  <c r="AQ57"/>
  <c r="AR57"/>
  <c r="AS57"/>
  <c r="AT57"/>
  <c r="AL58"/>
  <c r="AN58"/>
  <c r="AO58"/>
  <c r="AP58"/>
  <c r="AQ58"/>
  <c r="AR58"/>
  <c r="AS58"/>
  <c r="AT58"/>
  <c r="AL59"/>
  <c r="AN59"/>
  <c r="AO59"/>
  <c r="AP59"/>
  <c r="AQ59"/>
  <c r="AR59"/>
  <c r="AS59"/>
  <c r="AT59"/>
  <c r="AL60"/>
  <c r="AN60"/>
  <c r="AO60"/>
  <c r="AP60"/>
  <c r="AQ60"/>
  <c r="AR60"/>
  <c r="AS60"/>
  <c r="AT60"/>
  <c r="AL61"/>
  <c r="AN61"/>
  <c r="AO61"/>
  <c r="AP61"/>
  <c r="AQ61"/>
  <c r="AR61"/>
  <c r="AS61"/>
  <c r="AT61"/>
  <c r="AL62"/>
  <c r="AN62"/>
  <c r="AO62"/>
  <c r="AP62"/>
  <c r="AQ62"/>
  <c r="AR62"/>
  <c r="AS62"/>
  <c r="AT62"/>
  <c r="AL63"/>
  <c r="AN63"/>
  <c r="AO63"/>
  <c r="AP63"/>
  <c r="AQ63"/>
  <c r="AR63"/>
  <c r="AS63"/>
  <c r="AT63"/>
  <c r="AL64"/>
  <c r="AN64"/>
  <c r="AO64"/>
  <c r="AP64"/>
  <c r="AQ64"/>
  <c r="AR64"/>
  <c r="AS64"/>
  <c r="AT64"/>
  <c r="AL65"/>
  <c r="AN65"/>
  <c r="AO65"/>
  <c r="AP65"/>
  <c r="AQ65"/>
  <c r="AR65"/>
  <c r="AS65"/>
  <c r="AT65"/>
  <c r="AL66"/>
  <c r="AN66"/>
  <c r="AO66"/>
  <c r="AP66"/>
  <c r="AQ66"/>
  <c r="AR66"/>
  <c r="AS66"/>
  <c r="AT66"/>
  <c r="AL67"/>
  <c r="AN67"/>
  <c r="AO67"/>
  <c r="AP67"/>
  <c r="AQ67"/>
  <c r="AR67"/>
  <c r="AS67"/>
  <c r="AT67"/>
  <c r="AL68"/>
  <c r="AN68"/>
  <c r="AO68"/>
  <c r="AP68"/>
  <c r="AQ68"/>
  <c r="AR68"/>
  <c r="AS68"/>
  <c r="AT68"/>
  <c r="AL69"/>
  <c r="AN69"/>
  <c r="AO69"/>
  <c r="AP69"/>
  <c r="AQ69"/>
  <c r="AR69"/>
  <c r="AS69"/>
  <c r="AT69"/>
  <c r="AL70"/>
  <c r="AN70"/>
  <c r="AO70"/>
  <c r="AP70"/>
  <c r="AQ70"/>
  <c r="AR70"/>
  <c r="AS70"/>
  <c r="AT70"/>
  <c r="AL71"/>
  <c r="AN71"/>
  <c r="AO71"/>
  <c r="AP71"/>
  <c r="AQ71"/>
  <c r="AR71"/>
  <c r="AS71"/>
  <c r="AT71"/>
  <c r="AL72"/>
  <c r="AN72"/>
  <c r="AO72"/>
  <c r="AP72"/>
  <c r="AQ72"/>
  <c r="AR72"/>
  <c r="AS72"/>
  <c r="AT72"/>
  <c r="AL73"/>
  <c r="AN73"/>
  <c r="AO73"/>
  <c r="AP73"/>
  <c r="AQ73"/>
  <c r="AR73"/>
  <c r="AS73"/>
  <c r="AT73"/>
  <c r="AL74"/>
  <c r="AN74"/>
  <c r="AO74"/>
  <c r="AP74"/>
  <c r="AQ74"/>
  <c r="AR74"/>
  <c r="AS74"/>
  <c r="AT74"/>
  <c r="AL75"/>
  <c r="AN75"/>
  <c r="AO75"/>
  <c r="AP75"/>
  <c r="AQ75"/>
  <c r="AR75"/>
  <c r="AS75"/>
  <c r="AT75"/>
  <c r="AL76"/>
  <c r="AN76"/>
  <c r="AO76"/>
  <c r="AP76"/>
  <c r="AQ76"/>
  <c r="AR76"/>
  <c r="AS76"/>
  <c r="AT76"/>
  <c r="AL77"/>
  <c r="AN77"/>
  <c r="AO77"/>
  <c r="AP77"/>
  <c r="AQ77"/>
  <c r="AR77"/>
  <c r="AS77"/>
  <c r="AT77"/>
  <c r="AL78"/>
  <c r="AN78"/>
  <c r="AO78"/>
  <c r="AP78"/>
  <c r="AQ78"/>
  <c r="AR78"/>
  <c r="AS78"/>
  <c r="AT78"/>
  <c r="AL79"/>
  <c r="AN79"/>
  <c r="AO79"/>
  <c r="AP79"/>
  <c r="AQ79"/>
  <c r="AR79"/>
  <c r="AS79"/>
  <c r="AT79"/>
  <c r="AL80"/>
  <c r="AN80"/>
  <c r="AO80"/>
  <c r="AP80"/>
  <c r="AQ80"/>
  <c r="AR80"/>
  <c r="AS80"/>
  <c r="AT80"/>
  <c r="AL81"/>
  <c r="AN81"/>
  <c r="AO81"/>
  <c r="AP81"/>
  <c r="AQ81"/>
  <c r="AR81"/>
  <c r="AS81"/>
  <c r="AT81"/>
  <c r="AL82"/>
  <c r="AN82"/>
  <c r="AO82"/>
  <c r="AP82"/>
  <c r="AQ82"/>
  <c r="AR82"/>
  <c r="AS82"/>
  <c r="AT82"/>
  <c r="AL83"/>
  <c r="AN83"/>
  <c r="AO83"/>
  <c r="AP83"/>
  <c r="AQ83"/>
  <c r="AR83"/>
  <c r="AS83"/>
  <c r="AT83"/>
  <c r="AL84"/>
  <c r="AN84"/>
  <c r="AO84"/>
  <c r="AP84"/>
  <c r="AQ84"/>
  <c r="AR84"/>
  <c r="AS84"/>
  <c r="AT84"/>
  <c r="AL85"/>
  <c r="AN85"/>
  <c r="AO85"/>
  <c r="AP85"/>
  <c r="AQ85"/>
  <c r="AR85"/>
  <c r="AS85"/>
  <c r="AT85"/>
  <c r="AL86"/>
  <c r="AN86"/>
  <c r="AO86"/>
  <c r="AP86"/>
  <c r="AQ86"/>
  <c r="AR86"/>
  <c r="AS86"/>
  <c r="AT86"/>
  <c r="AL87"/>
  <c r="AN87"/>
  <c r="AO87"/>
  <c r="AP87"/>
  <c r="AQ87"/>
  <c r="AR87"/>
  <c r="AS87"/>
  <c r="AT87"/>
  <c r="AL88"/>
  <c r="AN88"/>
  <c r="AO88"/>
  <c r="AP88"/>
  <c r="AQ88"/>
  <c r="AR88"/>
  <c r="AS88"/>
  <c r="AT88"/>
  <c r="AL89"/>
  <c r="AN89"/>
  <c r="AO89"/>
  <c r="AP89"/>
  <c r="AQ89"/>
  <c r="AR89"/>
  <c r="AS89"/>
  <c r="AT89"/>
  <c r="AL90"/>
  <c r="AN90"/>
  <c r="AO90"/>
  <c r="AP90"/>
  <c r="AQ90"/>
  <c r="AR90"/>
  <c r="AS90"/>
  <c r="AT90"/>
  <c r="AL91"/>
  <c r="AN91"/>
  <c r="AO91"/>
  <c r="AP91"/>
  <c r="AQ91"/>
  <c r="AR91"/>
  <c r="AS91"/>
  <c r="AT91"/>
  <c r="AL92"/>
  <c r="AN92"/>
  <c r="AO92"/>
  <c r="AP92"/>
  <c r="AQ92"/>
  <c r="AR92"/>
  <c r="AS92"/>
  <c r="AT92"/>
  <c r="AL93"/>
  <c r="AN93"/>
  <c r="AO93"/>
  <c r="AP93"/>
  <c r="AQ93"/>
  <c r="AR93"/>
  <c r="AS93"/>
  <c r="AT93"/>
  <c r="AL94"/>
  <c r="AN94"/>
  <c r="AO94"/>
  <c r="AP94"/>
  <c r="AQ94"/>
  <c r="AR94"/>
  <c r="AS94"/>
  <c r="AT94"/>
  <c r="AL95"/>
  <c r="AN95"/>
  <c r="AO95"/>
  <c r="AP95"/>
  <c r="AQ95"/>
  <c r="AR95"/>
  <c r="AS95"/>
  <c r="AT95"/>
  <c r="AL96"/>
  <c r="AN96"/>
  <c r="AO96"/>
  <c r="AP96"/>
  <c r="AQ96"/>
  <c r="AR96"/>
  <c r="AS96"/>
  <c r="AT96"/>
  <c r="AL97"/>
  <c r="AN97"/>
  <c r="AO97"/>
  <c r="AP97"/>
  <c r="AQ97"/>
  <c r="AR97"/>
  <c r="AS97"/>
  <c r="AT97"/>
  <c r="AL98"/>
  <c r="AN98"/>
  <c r="AO98"/>
  <c r="AP98"/>
  <c r="AQ98"/>
  <c r="AR98"/>
  <c r="AS98"/>
  <c r="AT98"/>
  <c r="AL99"/>
  <c r="AN99"/>
  <c r="AO99"/>
  <c r="AP99"/>
  <c r="AQ99"/>
  <c r="AR99"/>
  <c r="AS99"/>
  <c r="AT99"/>
  <c r="AL100"/>
  <c r="AN100"/>
  <c r="AO100"/>
  <c r="AP100"/>
  <c r="AQ100"/>
  <c r="AR100"/>
  <c r="AS100"/>
  <c r="AT100"/>
  <c r="AL101"/>
  <c r="AN101"/>
  <c r="AO101"/>
  <c r="AP101"/>
  <c r="AQ101"/>
  <c r="AR101"/>
  <c r="AS101"/>
  <c r="AT101"/>
  <c r="AL102"/>
  <c r="AN102"/>
  <c r="AO102"/>
  <c r="AP102"/>
  <c r="AQ102"/>
  <c r="AR102"/>
  <c r="AS102"/>
  <c r="AT102"/>
  <c r="AL103"/>
  <c r="AN103"/>
  <c r="AO103"/>
  <c r="AP103"/>
  <c r="AQ103"/>
  <c r="AR103"/>
  <c r="AS103"/>
  <c r="AT103"/>
  <c r="AL104"/>
  <c r="AN104"/>
  <c r="AO104"/>
  <c r="AP104"/>
  <c r="AQ104"/>
  <c r="AR104"/>
  <c r="AS104"/>
  <c r="AT104"/>
  <c r="AL105"/>
  <c r="AN105"/>
  <c r="AO105"/>
  <c r="AP105"/>
  <c r="AQ105"/>
  <c r="AR105"/>
  <c r="AS105"/>
  <c r="AT105"/>
  <c r="AL106"/>
  <c r="AN106"/>
  <c r="AO106"/>
  <c r="AP106"/>
  <c r="AQ106"/>
  <c r="AR106"/>
  <c r="AS106"/>
  <c r="AT106"/>
  <c r="AL107"/>
  <c r="AN107"/>
  <c r="AO107"/>
  <c r="AP107"/>
  <c r="AQ107"/>
  <c r="AR107"/>
  <c r="AS107"/>
  <c r="AT107"/>
  <c r="AL108"/>
  <c r="AN108"/>
  <c r="AO108"/>
  <c r="AP108"/>
  <c r="AQ108"/>
  <c r="AR108"/>
  <c r="AS108"/>
  <c r="AT108"/>
  <c r="AL109"/>
  <c r="AN109"/>
  <c r="AO109"/>
  <c r="AP109"/>
  <c r="AQ109"/>
  <c r="AR109"/>
  <c r="AS109"/>
  <c r="AT109"/>
  <c r="AL110"/>
  <c r="AN110"/>
  <c r="AO110"/>
  <c r="AP110"/>
  <c r="AQ110"/>
  <c r="AR110"/>
  <c r="AS110"/>
  <c r="AT110"/>
  <c r="AL111"/>
  <c r="AN111"/>
  <c r="AO111"/>
  <c r="AP111"/>
  <c r="AQ111"/>
  <c r="AR111"/>
  <c r="AS111"/>
  <c r="AT111"/>
  <c r="AL112"/>
  <c r="AN112"/>
  <c r="AO112"/>
  <c r="AP112"/>
  <c r="AQ112"/>
  <c r="AR112"/>
  <c r="AS112"/>
  <c r="AT112"/>
  <c r="AL113"/>
  <c r="AN113"/>
  <c r="AO113"/>
  <c r="AP113"/>
  <c r="AQ113"/>
  <c r="AR113"/>
  <c r="AS113"/>
  <c r="AT113"/>
  <c r="AL114"/>
  <c r="AN114"/>
  <c r="AO114"/>
  <c r="AP114"/>
  <c r="AQ114"/>
  <c r="AR114"/>
  <c r="AS114"/>
  <c r="AT114"/>
  <c r="AL115"/>
  <c r="AN115"/>
  <c r="AO115"/>
  <c r="AP115"/>
  <c r="AQ115"/>
  <c r="AR115"/>
  <c r="AS115"/>
  <c r="AT115"/>
  <c r="AL116"/>
  <c r="AN116"/>
  <c r="AO116"/>
  <c r="AP116"/>
  <c r="AQ116"/>
  <c r="AR116"/>
  <c r="AS116"/>
  <c r="AT116"/>
  <c r="AL117"/>
  <c r="AN117"/>
  <c r="AO117"/>
  <c r="AP117"/>
  <c r="AQ117"/>
  <c r="AR117"/>
  <c r="AS117"/>
  <c r="AT117"/>
  <c r="AL118"/>
  <c r="AN118"/>
  <c r="AO118"/>
  <c r="AP118"/>
  <c r="AQ118"/>
  <c r="AR118"/>
  <c r="AS118"/>
  <c r="AT118"/>
  <c r="AL119"/>
  <c r="AN119"/>
  <c r="AO119"/>
  <c r="AP119"/>
  <c r="AQ119"/>
  <c r="AR119"/>
  <c r="AS119"/>
  <c r="AT119"/>
  <c r="AL120"/>
  <c r="AN120"/>
  <c r="AO120"/>
  <c r="AP120"/>
  <c r="AQ120"/>
  <c r="AR120"/>
  <c r="AS120"/>
  <c r="AT120"/>
  <c r="AL121"/>
  <c r="AN121"/>
  <c r="AO121"/>
  <c r="AP121"/>
  <c r="AQ121"/>
  <c r="AR121"/>
  <c r="AS121"/>
  <c r="AT121"/>
  <c r="AL122"/>
  <c r="AN122"/>
  <c r="AO122"/>
  <c r="AP122"/>
  <c r="AQ122"/>
  <c r="AR122"/>
  <c r="AS122"/>
  <c r="AT122"/>
  <c r="AL123"/>
  <c r="AN123"/>
  <c r="AO123"/>
  <c r="AP123"/>
  <c r="AQ123"/>
  <c r="AR123"/>
  <c r="AS123"/>
  <c r="AT123"/>
  <c r="AL124"/>
  <c r="AN124"/>
  <c r="AO124"/>
  <c r="AP124"/>
  <c r="AQ124"/>
  <c r="AR124"/>
  <c r="AS124"/>
  <c r="AT124"/>
  <c r="AL125"/>
  <c r="AN125"/>
  <c r="AO125"/>
  <c r="AP125"/>
  <c r="AQ125"/>
  <c r="AR125"/>
  <c r="AS125"/>
  <c r="AT125"/>
  <c r="AL126"/>
  <c r="AN126"/>
  <c r="AO126"/>
  <c r="AP126"/>
  <c r="AQ126"/>
  <c r="AR126"/>
  <c r="AS126"/>
  <c r="AT126"/>
  <c r="AL127"/>
  <c r="AN127"/>
  <c r="AO127"/>
  <c r="AP127"/>
  <c r="AQ127"/>
  <c r="AR127"/>
  <c r="AS127"/>
  <c r="AT127"/>
  <c r="AL128"/>
  <c r="AN128"/>
  <c r="AO128"/>
  <c r="AP128"/>
  <c r="AQ128"/>
  <c r="AR128"/>
  <c r="AS128"/>
  <c r="AT128"/>
  <c r="AL129"/>
  <c r="AN129"/>
  <c r="AO129"/>
  <c r="AP129"/>
  <c r="AQ129"/>
  <c r="AR129"/>
  <c r="AS129"/>
  <c r="AT129"/>
  <c r="AL130"/>
  <c r="AN130"/>
  <c r="AO130"/>
  <c r="AP130"/>
  <c r="AQ130"/>
  <c r="AR130"/>
  <c r="AS130"/>
  <c r="AT130"/>
  <c r="AL131"/>
  <c r="AN131"/>
  <c r="AO131"/>
  <c r="AP131"/>
  <c r="AQ131"/>
  <c r="AR131"/>
  <c r="AS131"/>
  <c r="AT131"/>
  <c r="AL132"/>
  <c r="AN132"/>
  <c r="AO132"/>
  <c r="AP132"/>
  <c r="AQ132"/>
  <c r="AR132"/>
  <c r="AS132"/>
  <c r="AT132"/>
  <c r="AL133"/>
  <c r="AN133"/>
  <c r="AO133"/>
  <c r="AP133"/>
  <c r="AQ133"/>
  <c r="AR133"/>
  <c r="AS133"/>
  <c r="AT133"/>
  <c r="AL134"/>
  <c r="AN134"/>
  <c r="AO134"/>
  <c r="AP134"/>
  <c r="AQ134"/>
  <c r="AR134"/>
  <c r="AS134"/>
  <c r="AT134"/>
  <c r="AL135"/>
  <c r="AN135"/>
  <c r="AO135"/>
  <c r="AP135"/>
  <c r="AQ135"/>
  <c r="AR135"/>
  <c r="AS135"/>
  <c r="AT135"/>
  <c r="AL136"/>
  <c r="AN136"/>
  <c r="AO136"/>
  <c r="AP136"/>
  <c r="AQ136"/>
  <c r="AR136"/>
  <c r="AS136"/>
  <c r="AT136"/>
  <c r="AL137"/>
  <c r="AN137"/>
  <c r="AO137"/>
  <c r="AP137"/>
  <c r="AQ137"/>
  <c r="AR137"/>
  <c r="AS137"/>
  <c r="AT137"/>
  <c r="AL138"/>
  <c r="AN138"/>
  <c r="AO138"/>
  <c r="AP138"/>
  <c r="AQ138"/>
  <c r="AR138"/>
  <c r="AS138"/>
  <c r="AT138"/>
  <c r="AL139"/>
  <c r="AN139"/>
  <c r="AO139"/>
  <c r="AP139"/>
  <c r="AQ139"/>
  <c r="AR139"/>
  <c r="AS139"/>
  <c r="AT139"/>
  <c r="AL140"/>
  <c r="AN140"/>
  <c r="AO140"/>
  <c r="AP140"/>
  <c r="AQ140"/>
  <c r="AR140"/>
  <c r="AS140"/>
  <c r="AT140"/>
  <c r="AL141"/>
  <c r="AN141"/>
  <c r="AO141"/>
  <c r="AP141"/>
  <c r="AQ141"/>
  <c r="AR141"/>
  <c r="AS141"/>
  <c r="AT141"/>
  <c r="AL142"/>
  <c r="AN142"/>
  <c r="AO142"/>
  <c r="AP142"/>
  <c r="AQ142"/>
  <c r="AR142"/>
  <c r="AS142"/>
  <c r="AT142"/>
  <c r="AL143"/>
  <c r="AN143"/>
  <c r="AO143"/>
  <c r="AP143"/>
  <c r="AQ143"/>
  <c r="AR143"/>
  <c r="AS143"/>
  <c r="AT143"/>
  <c r="AL144"/>
  <c r="AN144"/>
  <c r="AO144"/>
  <c r="AP144"/>
  <c r="AQ144"/>
  <c r="AR144"/>
  <c r="AS144"/>
  <c r="AT144"/>
  <c r="AL145"/>
  <c r="AN145"/>
  <c r="AO145"/>
  <c r="AP145"/>
  <c r="AQ145"/>
  <c r="AR145"/>
  <c r="AS145"/>
  <c r="AT145"/>
  <c r="AL146"/>
  <c r="AN146"/>
  <c r="AO146"/>
  <c r="AP146"/>
  <c r="AQ146"/>
  <c r="AR146"/>
  <c r="AS146"/>
  <c r="AT146"/>
  <c r="AL147"/>
  <c r="AN147"/>
  <c r="AO147"/>
  <c r="AP147"/>
  <c r="AQ147"/>
  <c r="AR147"/>
  <c r="AS147"/>
  <c r="AT147"/>
  <c r="AL148"/>
  <c r="AN148"/>
  <c r="AO148"/>
  <c r="AP148"/>
  <c r="AQ148"/>
  <c r="AR148"/>
  <c r="AS148"/>
  <c r="AT148"/>
  <c r="AL149"/>
  <c r="AN149"/>
  <c r="AO149"/>
  <c r="AP149"/>
  <c r="AQ149"/>
  <c r="AR149"/>
  <c r="AS149"/>
  <c r="AT149"/>
  <c r="AL150"/>
  <c r="AN150"/>
  <c r="AO150"/>
  <c r="AP150"/>
  <c r="AQ150"/>
  <c r="AR150"/>
  <c r="AS150"/>
  <c r="AT150"/>
  <c r="AL151"/>
  <c r="AN151"/>
  <c r="AO151"/>
  <c r="AP151"/>
  <c r="AQ151"/>
  <c r="AR151"/>
  <c r="AS151"/>
  <c r="AT151"/>
  <c r="AL152"/>
  <c r="AN152"/>
  <c r="AO152"/>
  <c r="AP152"/>
  <c r="AQ152"/>
  <c r="AR152"/>
  <c r="AS152"/>
  <c r="AT152"/>
  <c r="AL153"/>
  <c r="AN153"/>
  <c r="AO153"/>
  <c r="AP153"/>
  <c r="AQ153"/>
  <c r="AR153"/>
  <c r="AS153"/>
  <c r="AT153"/>
  <c r="AL154"/>
  <c r="AN154"/>
  <c r="AO154"/>
  <c r="AP154"/>
  <c r="AQ154"/>
  <c r="AR154"/>
  <c r="AS154"/>
  <c r="AT154"/>
  <c r="AL155"/>
  <c r="AN155"/>
  <c r="AO155"/>
  <c r="AP155"/>
  <c r="AQ155"/>
  <c r="AR155"/>
  <c r="AS155"/>
  <c r="AT155"/>
  <c r="AL156"/>
  <c r="AN156"/>
  <c r="AO156"/>
  <c r="AP156"/>
  <c r="AQ156"/>
  <c r="AR156"/>
  <c r="AS156"/>
  <c r="AT156"/>
  <c r="AL157"/>
  <c r="AN157"/>
  <c r="AO157"/>
  <c r="AP157"/>
  <c r="AQ157"/>
  <c r="AR157"/>
  <c r="AS157"/>
  <c r="AT157"/>
  <c r="AL158"/>
  <c r="AN158"/>
  <c r="AO158"/>
  <c r="AP158"/>
  <c r="AQ158"/>
  <c r="AR158"/>
  <c r="AS158"/>
  <c r="AT158"/>
  <c r="AL159"/>
  <c r="AN159"/>
  <c r="AO159"/>
  <c r="AP159"/>
  <c r="AQ159"/>
  <c r="AR159"/>
  <c r="AS159"/>
  <c r="AT159"/>
  <c r="AL160"/>
  <c r="AN160"/>
  <c r="AO160"/>
  <c r="AP160"/>
  <c r="AQ160"/>
  <c r="AR160"/>
  <c r="AS160"/>
  <c r="AT160"/>
  <c r="AL161"/>
  <c r="AN161"/>
  <c r="AO161"/>
  <c r="AP161"/>
  <c r="AQ161"/>
  <c r="AR161"/>
  <c r="AS161"/>
  <c r="AT161"/>
  <c r="AL162"/>
  <c r="AN162"/>
  <c r="AO162"/>
  <c r="AP162"/>
  <c r="AQ162"/>
  <c r="AR162"/>
  <c r="AS162"/>
  <c r="AT162"/>
  <c r="AL163"/>
  <c r="AN163"/>
  <c r="AO163"/>
  <c r="AP163"/>
  <c r="AQ163"/>
  <c r="AR163"/>
  <c r="AS163"/>
  <c r="AT163"/>
  <c r="AL164"/>
  <c r="AN164"/>
  <c r="AO164"/>
  <c r="AP164"/>
  <c r="AQ164"/>
  <c r="AR164"/>
  <c r="AS164"/>
  <c r="AT164"/>
  <c r="AL165"/>
  <c r="AN165"/>
  <c r="AO165"/>
  <c r="AP165"/>
  <c r="AQ165"/>
  <c r="AR165"/>
  <c r="AS165"/>
  <c r="AT165"/>
  <c r="AL166"/>
  <c r="AN166"/>
  <c r="AO166"/>
  <c r="AP166"/>
  <c r="AQ166"/>
  <c r="AR166"/>
  <c r="AS166"/>
  <c r="AT166"/>
  <c r="AL167"/>
  <c r="AN167"/>
  <c r="AO167"/>
  <c r="AP167"/>
  <c r="AQ167"/>
  <c r="AR167"/>
  <c r="AS167"/>
  <c r="AT167"/>
  <c r="AL168"/>
  <c r="AN168"/>
  <c r="AO168"/>
  <c r="AP168"/>
  <c r="AQ168"/>
  <c r="AR168"/>
  <c r="AS168"/>
  <c r="AT168"/>
  <c r="AL169"/>
  <c r="AN169"/>
  <c r="AO169"/>
  <c r="AP169"/>
  <c r="AQ169"/>
  <c r="AR169"/>
  <c r="AS169"/>
  <c r="AT169"/>
  <c r="AL170"/>
  <c r="AN170"/>
  <c r="AO170"/>
  <c r="AP170"/>
  <c r="AQ170"/>
  <c r="AR170"/>
  <c r="AS170"/>
  <c r="AT170"/>
  <c r="AL171"/>
  <c r="AN171"/>
  <c r="AO171"/>
  <c r="AP171"/>
  <c r="AQ171"/>
  <c r="AR171"/>
  <c r="AS171"/>
  <c r="AT171"/>
  <c r="AL172"/>
  <c r="AN172"/>
  <c r="AO172"/>
  <c r="AP172"/>
  <c r="AQ172"/>
  <c r="AR172"/>
  <c r="AS172"/>
  <c r="AT172"/>
  <c r="AL173"/>
  <c r="AN173"/>
  <c r="AO173"/>
  <c r="AP173"/>
  <c r="AQ173"/>
  <c r="AR173"/>
  <c r="AS173"/>
  <c r="AT173"/>
  <c r="AL174"/>
  <c r="AN174"/>
  <c r="AO174"/>
  <c r="AP174"/>
  <c r="AQ174"/>
  <c r="AR174"/>
  <c r="AS174"/>
  <c r="AT174"/>
  <c r="AL175"/>
  <c r="AN175"/>
  <c r="AO175"/>
  <c r="AP175"/>
  <c r="AQ175"/>
  <c r="AR175"/>
  <c r="AS175"/>
  <c r="AT175"/>
  <c r="AL176"/>
  <c r="AN176"/>
  <c r="AO176"/>
  <c r="AP176"/>
  <c r="AQ176"/>
  <c r="AR176"/>
  <c r="AS176"/>
  <c r="AT176"/>
  <c r="AL177"/>
  <c r="AN177"/>
  <c r="AO177"/>
  <c r="AP177"/>
  <c r="AQ177"/>
  <c r="AR177"/>
  <c r="AS177"/>
  <c r="AT177"/>
  <c r="AL178"/>
  <c r="AN178"/>
  <c r="AO178"/>
  <c r="AP178"/>
  <c r="AQ178"/>
  <c r="AR178"/>
  <c r="AS178"/>
  <c r="AT178"/>
  <c r="AL179"/>
  <c r="AN179"/>
  <c r="AO179"/>
  <c r="AP179"/>
  <c r="AQ179"/>
  <c r="AR179"/>
  <c r="AS179"/>
  <c r="AT179"/>
  <c r="AL180"/>
  <c r="AN180"/>
  <c r="AO180"/>
  <c r="AP180"/>
  <c r="AQ180"/>
  <c r="AR180"/>
  <c r="AS180"/>
  <c r="AT180"/>
  <c r="AL181"/>
  <c r="AN181"/>
  <c r="AO181"/>
  <c r="AP181"/>
  <c r="AQ181"/>
  <c r="AR181"/>
  <c r="AS181"/>
  <c r="AT181"/>
  <c r="AL182"/>
  <c r="AN182"/>
  <c r="AO182"/>
  <c r="AP182"/>
  <c r="AQ182"/>
  <c r="AR182"/>
  <c r="AS182"/>
  <c r="AT182"/>
  <c r="AL183"/>
  <c r="AN183"/>
  <c r="AO183"/>
  <c r="AP183"/>
  <c r="AQ183"/>
  <c r="AR183"/>
  <c r="AS183"/>
  <c r="AT183"/>
  <c r="AL184"/>
  <c r="AN184"/>
  <c r="AO184"/>
  <c r="AP184"/>
  <c r="AQ184"/>
  <c r="AR184"/>
  <c r="AS184"/>
  <c r="AT184"/>
  <c r="AL185"/>
  <c r="AN185"/>
  <c r="AO185"/>
  <c r="AP185"/>
  <c r="AQ185"/>
  <c r="AR185"/>
  <c r="AS185"/>
  <c r="AT185"/>
  <c r="AL186"/>
  <c r="AN186"/>
  <c r="AO186"/>
  <c r="AP186"/>
  <c r="AQ186"/>
  <c r="AR186"/>
  <c r="AS186"/>
  <c r="AT186"/>
  <c r="AL187"/>
  <c r="AN187"/>
  <c r="AO187"/>
  <c r="AP187"/>
  <c r="AQ187"/>
  <c r="AR187"/>
  <c r="AS187"/>
  <c r="AT187"/>
  <c r="AL188"/>
  <c r="AN188"/>
  <c r="AO188"/>
  <c r="AP188"/>
  <c r="AQ188"/>
  <c r="AR188"/>
  <c r="AS188"/>
  <c r="AT188"/>
  <c r="AL189"/>
  <c r="AN189"/>
  <c r="AO189"/>
  <c r="AP189"/>
  <c r="AQ189"/>
  <c r="AR189"/>
  <c r="AS189"/>
  <c r="AT189"/>
  <c r="AL190"/>
  <c r="AN190"/>
  <c r="AO190"/>
  <c r="AP190"/>
  <c r="AQ190"/>
  <c r="AR190"/>
  <c r="AS190"/>
  <c r="AT190"/>
  <c r="AL191"/>
  <c r="AN191"/>
  <c r="AO191"/>
  <c r="AP191"/>
  <c r="AQ191"/>
  <c r="AR191"/>
  <c r="AS191"/>
  <c r="AT191"/>
  <c r="AL192"/>
  <c r="AN192"/>
  <c r="AO192"/>
  <c r="AP192"/>
  <c r="AQ192"/>
  <c r="AR192"/>
  <c r="AS192"/>
  <c r="AT192"/>
  <c r="AL193"/>
  <c r="AN193"/>
  <c r="AO193"/>
  <c r="AP193"/>
  <c r="AQ193"/>
  <c r="AR193"/>
  <c r="AS193"/>
  <c r="AT193"/>
  <c r="AL194"/>
  <c r="AN194"/>
  <c r="AO194"/>
  <c r="AP194"/>
  <c r="AQ194"/>
  <c r="AR194"/>
  <c r="AS194"/>
  <c r="AT194"/>
  <c r="AL195"/>
  <c r="AN195"/>
  <c r="AO195"/>
  <c r="AP195"/>
  <c r="AQ195"/>
  <c r="AR195"/>
  <c r="AS195"/>
  <c r="AT195"/>
  <c r="AL196"/>
  <c r="AN196"/>
  <c r="AO196"/>
  <c r="AP196"/>
  <c r="AQ196"/>
  <c r="AR196"/>
  <c r="AS196"/>
  <c r="AT196"/>
  <c r="AL197"/>
  <c r="AN197"/>
  <c r="AO197"/>
  <c r="AP197"/>
  <c r="AQ197"/>
  <c r="AR197"/>
  <c r="AS197"/>
  <c r="AT197"/>
  <c r="AL198"/>
  <c r="AN198"/>
  <c r="AO198"/>
  <c r="AP198"/>
  <c r="AQ198"/>
  <c r="AR198"/>
  <c r="AS198"/>
  <c r="AT198"/>
  <c r="AL199"/>
  <c r="AN199"/>
  <c r="AO199"/>
  <c r="AP199"/>
  <c r="AQ199"/>
  <c r="AR199"/>
  <c r="AS199"/>
  <c r="AT199"/>
  <c r="AL200"/>
  <c r="AN200"/>
  <c r="AO200"/>
  <c r="AP200"/>
  <c r="AQ200"/>
  <c r="AR200"/>
  <c r="AS200"/>
  <c r="AT200"/>
  <c r="AL201"/>
  <c r="AN201"/>
  <c r="AO201"/>
  <c r="AP201"/>
  <c r="AQ201"/>
  <c r="AR201"/>
  <c r="AS201"/>
  <c r="AT201"/>
  <c r="AL202"/>
  <c r="AN202"/>
  <c r="AO202"/>
  <c r="AP202"/>
  <c r="AQ202"/>
  <c r="AR202"/>
  <c r="AS202"/>
  <c r="AT202"/>
  <c r="AL203"/>
  <c r="AN203"/>
  <c r="AO203"/>
  <c r="AP203"/>
  <c r="AQ203"/>
  <c r="AR203"/>
  <c r="AS203"/>
  <c r="AT203"/>
  <c r="AL204"/>
  <c r="AN204"/>
  <c r="AO204"/>
  <c r="AP204"/>
  <c r="AQ204"/>
  <c r="AR204"/>
  <c r="AS204"/>
  <c r="AT204"/>
  <c r="AL205"/>
  <c r="AN205"/>
  <c r="AO205"/>
  <c r="AP205"/>
  <c r="AQ205"/>
  <c r="AR205"/>
  <c r="AS205"/>
  <c r="AT205"/>
  <c r="AL206"/>
  <c r="AN206"/>
  <c r="AO206"/>
  <c r="AP206"/>
  <c r="AQ206"/>
  <c r="AR206"/>
  <c r="AS206"/>
  <c r="AT206"/>
  <c r="AL207"/>
  <c r="AN207"/>
  <c r="AO207"/>
  <c r="AP207"/>
  <c r="AQ207"/>
  <c r="AR207"/>
  <c r="AS207"/>
  <c r="AT207"/>
  <c r="AL208"/>
  <c r="AN208"/>
  <c r="AO208"/>
  <c r="AP208"/>
  <c r="AQ208"/>
  <c r="AR208"/>
  <c r="AS208"/>
  <c r="AT208"/>
  <c r="AL209"/>
  <c r="AN209"/>
  <c r="AO209"/>
  <c r="AP209"/>
  <c r="AQ209"/>
  <c r="AR209"/>
  <c r="AS209"/>
  <c r="AT209"/>
  <c r="AL210"/>
  <c r="AN210"/>
  <c r="AO210"/>
  <c r="AP210"/>
  <c r="AQ210"/>
  <c r="AR210"/>
  <c r="AS210"/>
  <c r="AT210"/>
  <c r="AL211"/>
  <c r="AN211"/>
  <c r="AO211"/>
  <c r="AP211"/>
  <c r="AQ211"/>
  <c r="AR211"/>
  <c r="AS211"/>
  <c r="AT211"/>
  <c r="AL212"/>
  <c r="AN212"/>
  <c r="AO212"/>
  <c r="AP212"/>
  <c r="AQ212"/>
  <c r="AR212"/>
  <c r="AS212"/>
  <c r="AT212"/>
  <c r="AL213"/>
  <c r="AN213"/>
  <c r="AO213"/>
  <c r="AP213"/>
  <c r="AQ213"/>
  <c r="AR213"/>
  <c r="AS213"/>
  <c r="AT213"/>
  <c r="AL214"/>
  <c r="AN214"/>
  <c r="AO214"/>
  <c r="AP214"/>
  <c r="AQ214"/>
  <c r="AR214"/>
  <c r="AS214"/>
  <c r="AT214"/>
  <c r="AL215"/>
  <c r="AN215"/>
  <c r="AO215"/>
  <c r="AP215"/>
  <c r="AQ215"/>
  <c r="AR215"/>
  <c r="AS215"/>
  <c r="AT215"/>
  <c r="AL216"/>
  <c r="AN216"/>
  <c r="AO216"/>
  <c r="AP216"/>
  <c r="AQ216"/>
  <c r="AR216"/>
  <c r="AS216"/>
  <c r="AT216"/>
  <c r="AL217"/>
  <c r="AN217"/>
  <c r="AO217"/>
  <c r="AP217"/>
  <c r="AQ217"/>
  <c r="AR217"/>
  <c r="AS217"/>
  <c r="AT217"/>
  <c r="AL218"/>
  <c r="AN218"/>
  <c r="AO218"/>
  <c r="AP218"/>
  <c r="AQ218"/>
  <c r="AR218"/>
  <c r="AS218"/>
  <c r="AT218"/>
  <c r="AL219"/>
  <c r="AN219"/>
  <c r="AO219"/>
  <c r="AP219"/>
  <c r="AQ219"/>
  <c r="AR219"/>
  <c r="AS219"/>
  <c r="AT219"/>
  <c r="AL220"/>
  <c r="AN220"/>
  <c r="AO220"/>
  <c r="AP220"/>
  <c r="AQ220"/>
  <c r="AR220"/>
  <c r="AS220"/>
  <c r="AT220"/>
  <c r="AL221"/>
  <c r="AN221"/>
  <c r="AO221"/>
  <c r="AP221"/>
  <c r="AQ221"/>
  <c r="AR221"/>
  <c r="AS221"/>
  <c r="AT221"/>
  <c r="AL222"/>
  <c r="AN222"/>
  <c r="AO222"/>
  <c r="AP222"/>
  <c r="AQ222"/>
  <c r="AR222"/>
  <c r="AS222"/>
  <c r="AT222"/>
  <c r="AL223"/>
  <c r="AN223"/>
  <c r="AO223"/>
  <c r="AP223"/>
  <c r="AQ223"/>
  <c r="AR223"/>
  <c r="AS223"/>
  <c r="AT223"/>
  <c r="AL224"/>
  <c r="AN224"/>
  <c r="AO224"/>
  <c r="AP224"/>
  <c r="AQ224"/>
  <c r="AR224"/>
  <c r="AS224"/>
  <c r="AT224"/>
  <c r="AL225"/>
  <c r="AN225"/>
  <c r="AO225"/>
  <c r="AP225"/>
  <c r="AQ225"/>
  <c r="AR225"/>
  <c r="AS225"/>
  <c r="AT225"/>
  <c r="AL226"/>
  <c r="AN226"/>
  <c r="AO226"/>
  <c r="AP226"/>
  <c r="AQ226"/>
  <c r="AR226"/>
  <c r="AS226"/>
  <c r="AT226"/>
  <c r="AL227"/>
  <c r="AN227"/>
  <c r="AO227"/>
  <c r="AP227"/>
  <c r="AQ227"/>
  <c r="AR227"/>
  <c r="AS227"/>
  <c r="AT227"/>
  <c r="AL228"/>
  <c r="AN228"/>
  <c r="AO228"/>
  <c r="AP228"/>
  <c r="AQ228"/>
  <c r="AR228"/>
  <c r="AS228"/>
  <c r="AT228"/>
  <c r="AL229"/>
  <c r="AN229"/>
  <c r="AO229"/>
  <c r="AP229"/>
  <c r="AQ229"/>
  <c r="AR229"/>
  <c r="AS229"/>
  <c r="AT229"/>
  <c r="AL230"/>
  <c r="AN230"/>
  <c r="AO230"/>
  <c r="AP230"/>
  <c r="AQ230"/>
  <c r="AR230"/>
  <c r="AS230"/>
  <c r="AT230"/>
  <c r="AL231"/>
  <c r="AN231"/>
  <c r="AO231"/>
  <c r="AP231"/>
  <c r="AQ231"/>
  <c r="AR231"/>
  <c r="AS231"/>
  <c r="AT231"/>
  <c r="AL232"/>
  <c r="AN232"/>
  <c r="AO232"/>
  <c r="AP232"/>
  <c r="AQ232"/>
  <c r="AR232"/>
  <c r="AS232"/>
  <c r="AT232"/>
  <c r="AL233"/>
  <c r="AN233"/>
  <c r="AO233"/>
  <c r="AP233"/>
  <c r="AQ233"/>
  <c r="AR233"/>
  <c r="AS233"/>
  <c r="AT233"/>
  <c r="AL234"/>
  <c r="AN234"/>
  <c r="AO234"/>
  <c r="AP234"/>
  <c r="AQ234"/>
  <c r="AR234"/>
  <c r="AS234"/>
  <c r="AT234"/>
  <c r="AL235"/>
  <c r="AN235"/>
  <c r="AO235"/>
  <c r="AP235"/>
  <c r="AQ235"/>
  <c r="AR235"/>
  <c r="AS235"/>
  <c r="AT235"/>
  <c r="AL236"/>
  <c r="AN236"/>
  <c r="AO236"/>
  <c r="AP236"/>
  <c r="AQ236"/>
  <c r="AR236"/>
  <c r="AS236"/>
  <c r="AT236"/>
  <c r="AL237"/>
  <c r="AN237"/>
  <c r="AO237"/>
  <c r="AP237"/>
  <c r="AQ237"/>
  <c r="AR237"/>
  <c r="AS237"/>
  <c r="AT237"/>
  <c r="AL238"/>
  <c r="AN238"/>
  <c r="AO238"/>
  <c r="AP238"/>
  <c r="AQ238"/>
  <c r="AR238"/>
  <c r="AS238"/>
  <c r="AT238"/>
  <c r="AL239"/>
  <c r="AN239"/>
  <c r="AO239"/>
  <c r="AP239"/>
  <c r="AQ239"/>
  <c r="AR239"/>
  <c r="AS239"/>
  <c r="AT239"/>
  <c r="AL240"/>
  <c r="AN240"/>
  <c r="AO240"/>
  <c r="AP240"/>
  <c r="AQ240"/>
  <c r="AR240"/>
  <c r="AS240"/>
  <c r="AT240"/>
  <c r="AL241"/>
  <c r="AN241"/>
  <c r="AO241"/>
  <c r="AP241"/>
  <c r="AQ241"/>
  <c r="AR241"/>
  <c r="AS241"/>
  <c r="AT241"/>
  <c r="AL242"/>
  <c r="AN242"/>
  <c r="AO242"/>
  <c r="AP242"/>
  <c r="AQ242"/>
  <c r="AR242"/>
  <c r="AS242"/>
  <c r="AT242"/>
  <c r="AL243"/>
  <c r="AN243"/>
  <c r="AO243"/>
  <c r="AP243"/>
  <c r="AQ243"/>
  <c r="AR243"/>
  <c r="AS243"/>
  <c r="AT243"/>
  <c r="AL244"/>
  <c r="AN244"/>
  <c r="AO244"/>
  <c r="AP244"/>
  <c r="AQ244"/>
  <c r="AR244"/>
  <c r="AS244"/>
  <c r="AT244"/>
  <c r="AL245"/>
  <c r="AN245"/>
  <c r="AO245"/>
  <c r="AP245"/>
  <c r="AQ245"/>
  <c r="AR245"/>
  <c r="AS245"/>
  <c r="AT245"/>
  <c r="AL246"/>
  <c r="AN246"/>
  <c r="AO246"/>
  <c r="AP246"/>
  <c r="AQ246"/>
  <c r="AR246"/>
  <c r="AS246"/>
  <c r="AT246"/>
  <c r="AL247"/>
  <c r="AN247"/>
  <c r="AO247"/>
  <c r="AP247"/>
  <c r="AQ247"/>
  <c r="AR247"/>
  <c r="AS247"/>
  <c r="AT247"/>
  <c r="AL248"/>
  <c r="AN248"/>
  <c r="AO248"/>
  <c r="AP248"/>
  <c r="AQ248"/>
  <c r="AR248"/>
  <c r="AS248"/>
  <c r="AT248"/>
  <c r="AL249"/>
  <c r="AN249"/>
  <c r="AO249"/>
  <c r="AP249"/>
  <c r="AQ249"/>
  <c r="AR249"/>
  <c r="AS249"/>
  <c r="AT249"/>
  <c r="AL250"/>
  <c r="AN250"/>
  <c r="AO250"/>
  <c r="AP250"/>
  <c r="AQ250"/>
  <c r="AR250"/>
  <c r="AS250"/>
  <c r="AT250"/>
  <c r="AL251"/>
  <c r="AN251"/>
  <c r="AO251"/>
  <c r="AP251"/>
  <c r="AQ251"/>
  <c r="AR251"/>
  <c r="AS251"/>
  <c r="AT251"/>
  <c r="AL252"/>
  <c r="AN252"/>
  <c r="AO252"/>
  <c r="AP252"/>
  <c r="AQ252"/>
  <c r="AR252"/>
  <c r="AS252"/>
  <c r="AT252"/>
  <c r="AL253"/>
  <c r="AN253"/>
  <c r="AO253"/>
  <c r="AP253"/>
  <c r="AQ253"/>
  <c r="AR253"/>
  <c r="AS253"/>
  <c r="AT253"/>
  <c r="AL254"/>
  <c r="AN254"/>
  <c r="AO254"/>
  <c r="AP254"/>
  <c r="AQ254"/>
  <c r="AR254"/>
  <c r="AS254"/>
  <c r="AT254"/>
  <c r="AL255"/>
  <c r="AN255"/>
  <c r="AO255"/>
  <c r="AP255"/>
  <c r="AQ255"/>
  <c r="AR255"/>
  <c r="AS255"/>
  <c r="AT255"/>
  <c r="AL256"/>
  <c r="AN256"/>
  <c r="AO256"/>
  <c r="AP256"/>
  <c r="AQ256"/>
  <c r="AR256"/>
  <c r="AS256"/>
  <c r="AT256"/>
  <c r="AL257"/>
  <c r="AN257"/>
  <c r="AO257"/>
  <c r="AP257"/>
  <c r="AQ257"/>
  <c r="AR257"/>
  <c r="AS257"/>
  <c r="AT257"/>
  <c r="AL258"/>
  <c r="AN258"/>
  <c r="AO258"/>
  <c r="AP258"/>
  <c r="AQ258"/>
  <c r="AR258"/>
  <c r="AS258"/>
  <c r="AT258"/>
  <c r="AL259"/>
  <c r="AN259"/>
  <c r="AO259"/>
  <c r="AP259"/>
  <c r="AQ259"/>
  <c r="AR259"/>
  <c r="AS259"/>
  <c r="AT259"/>
  <c r="AL260"/>
  <c r="AN260"/>
  <c r="AO260"/>
  <c r="AP260"/>
  <c r="AQ260"/>
  <c r="AR260"/>
  <c r="AS260"/>
  <c r="AT260"/>
  <c r="I16" i="32921"/>
  <c r="I18"/>
  <c r="I20"/>
  <c r="I22"/>
  <c r="I24"/>
  <c r="I26"/>
  <c r="I28"/>
  <c r="I30"/>
  <c r="I32"/>
  <c r="I34"/>
  <c r="I36"/>
  <c r="I38"/>
  <c r="I40"/>
  <c r="I42"/>
  <c r="I44"/>
  <c r="I46"/>
  <c r="I48"/>
  <c r="I50"/>
  <c r="I52"/>
  <c r="I54"/>
  <c r="I56"/>
  <c r="I58"/>
  <c r="I60"/>
  <c r="I62"/>
  <c r="I64"/>
  <c r="I66"/>
  <c r="I68"/>
  <c r="I71"/>
  <c r="I73"/>
  <c r="I75"/>
  <c r="I77"/>
  <c r="I80"/>
  <c r="I82"/>
  <c r="I84"/>
  <c r="I86"/>
  <c r="I88"/>
  <c r="I90"/>
  <c r="I92"/>
  <c r="I94"/>
  <c r="I96"/>
  <c r="I98"/>
  <c r="I100"/>
  <c r="I102"/>
  <c r="I104"/>
  <c r="I106"/>
  <c r="I108"/>
  <c r="I110"/>
  <c r="I113"/>
  <c r="I115"/>
  <c r="I117"/>
  <c r="I119"/>
  <c r="I122"/>
  <c r="I124"/>
  <c r="I126"/>
  <c r="I128"/>
  <c r="I130"/>
  <c r="I132"/>
  <c r="I136"/>
  <c r="I138"/>
  <c r="I140"/>
  <c r="I142"/>
  <c r="I145"/>
  <c r="I147"/>
  <c r="I149"/>
  <c r="I151"/>
  <c r="I153"/>
  <c r="I155"/>
  <c r="I157"/>
  <c r="I159"/>
  <c r="I161"/>
  <c r="I163"/>
  <c r="I165"/>
  <c r="I167"/>
  <c r="I170"/>
  <c r="I172"/>
  <c r="I174"/>
  <c r="I176"/>
  <c r="I178"/>
  <c r="I180"/>
  <c r="I182"/>
  <c r="I184"/>
  <c r="I186"/>
  <c r="I188"/>
  <c r="I190"/>
  <c r="I192"/>
  <c r="I194"/>
  <c r="I196"/>
  <c r="I198"/>
  <c r="I200"/>
  <c r="I202"/>
  <c r="I205"/>
  <c r="I207"/>
  <c r="I209"/>
  <c r="I211"/>
  <c r="I213"/>
  <c r="I215"/>
  <c r="I217"/>
  <c r="I219"/>
  <c r="I221"/>
  <c r="I223"/>
  <c r="I225"/>
  <c r="I227"/>
  <c r="I229"/>
  <c r="I231"/>
  <c r="I233"/>
  <c r="I235"/>
  <c r="I237"/>
  <c r="I239"/>
  <c r="I241"/>
  <c r="I243"/>
  <c r="I245"/>
  <c r="I247"/>
  <c r="I249"/>
  <c r="I251"/>
  <c r="I253"/>
  <c r="I255"/>
  <c r="I257"/>
  <c r="I259"/>
  <c r="I261"/>
  <c r="I263"/>
  <c r="I265"/>
  <c r="I267"/>
  <c r="I269"/>
  <c r="I271"/>
  <c r="I273"/>
  <c r="I275"/>
  <c r="I277"/>
  <c r="I279"/>
  <c r="I281"/>
  <c r="I283"/>
  <c r="I285"/>
  <c r="I287"/>
  <c r="I288"/>
  <c r="I289"/>
  <c r="I291"/>
  <c r="I293"/>
  <c r="I295"/>
  <c r="I297"/>
  <c r="I299"/>
  <c r="I301"/>
  <c r="I303"/>
  <c r="I305"/>
  <c r="I307"/>
  <c r="I309"/>
  <c r="I311"/>
  <c r="I313"/>
  <c r="I315"/>
  <c r="I317"/>
  <c r="I319"/>
  <c r="I321"/>
  <c r="I323"/>
  <c r="I325"/>
  <c r="I327"/>
  <c r="I329"/>
  <c r="I331"/>
  <c r="I333"/>
  <c r="I335"/>
  <c r="I337"/>
  <c r="I339"/>
  <c r="I341"/>
  <c r="I343"/>
  <c r="I345"/>
  <c r="I347"/>
  <c r="I349"/>
  <c r="I351"/>
  <c r="I353"/>
  <c r="I355"/>
  <c r="I357"/>
  <c r="I359"/>
  <c r="I361"/>
  <c r="I363"/>
  <c r="I365"/>
  <c r="I367"/>
  <c r="I370"/>
  <c r="I372"/>
  <c r="I374"/>
  <c r="I376"/>
  <c r="I379"/>
  <c r="I381"/>
  <c r="I383"/>
  <c r="I385"/>
  <c r="I387"/>
  <c r="I389"/>
  <c r="I392"/>
  <c r="I394"/>
  <c r="I396"/>
  <c r="I398"/>
  <c r="I401"/>
  <c r="I403"/>
  <c r="I405"/>
  <c r="I407"/>
  <c r="I409"/>
  <c r="I411"/>
  <c r="I413"/>
  <c r="I415"/>
  <c r="I417"/>
  <c r="I419"/>
  <c r="I421"/>
  <c r="I423"/>
  <c r="I425"/>
  <c r="I427"/>
  <c r="I429"/>
  <c r="I431"/>
  <c r="I433"/>
  <c r="I435"/>
  <c r="I437"/>
  <c r="I439"/>
  <c r="I441"/>
  <c r="I443"/>
  <c r="I445"/>
  <c r="I448"/>
  <c r="I450"/>
  <c r="I452"/>
  <c r="I454"/>
  <c r="I458"/>
  <c r="I460"/>
  <c r="I462"/>
  <c r="I463"/>
  <c r="I465"/>
  <c r="I468"/>
  <c r="I470"/>
  <c r="I472"/>
  <c r="I474"/>
  <c r="I476"/>
  <c r="I478"/>
  <c r="I480"/>
  <c r="I482"/>
  <c r="I484"/>
  <c r="I486"/>
  <c r="I488"/>
  <c r="I490"/>
  <c r="I491"/>
  <c r="I493"/>
  <c r="I496"/>
  <c r="I498"/>
  <c r="I500"/>
  <c r="I502"/>
  <c r="I504"/>
  <c r="I506"/>
  <c r="I509"/>
  <c r="I511"/>
  <c r="I513"/>
  <c r="I515"/>
  <c r="I518"/>
  <c r="I520"/>
  <c r="I522"/>
  <c r="I524"/>
  <c r="I526"/>
  <c r="I529"/>
  <c r="I531"/>
  <c r="I533"/>
  <c r="I535"/>
  <c r="I538"/>
  <c r="I540"/>
  <c r="I542"/>
  <c r="I544"/>
  <c r="I546"/>
  <c r="I548"/>
  <c r="I550"/>
  <c r="I552"/>
  <c r="I554"/>
  <c r="I556"/>
  <c r="I558"/>
  <c r="I560"/>
  <c r="I562"/>
  <c r="I564"/>
  <c r="I566"/>
  <c r="I568"/>
  <c r="I570"/>
  <c r="I573"/>
  <c r="I575"/>
  <c r="I577"/>
  <c r="I579"/>
  <c r="I582"/>
  <c r="I584"/>
  <c r="I586"/>
  <c r="I588"/>
  <c r="I590"/>
  <c r="I592"/>
  <c r="I594"/>
  <c r="I596"/>
  <c r="I598"/>
  <c r="I600"/>
  <c r="I602"/>
  <c r="I604"/>
  <c r="I606"/>
  <c r="I608"/>
  <c r="I610"/>
  <c r="I612"/>
  <c r="I614"/>
  <c r="I616"/>
  <c r="I618"/>
  <c r="I620"/>
  <c r="I622"/>
  <c r="I624"/>
  <c r="I626"/>
  <c r="I628"/>
  <c r="I630"/>
  <c r="I632"/>
  <c r="I634"/>
  <c r="I636"/>
  <c r="I638"/>
  <c r="I640"/>
  <c r="I642"/>
  <c r="I644"/>
  <c r="I646"/>
  <c r="I648"/>
  <c r="I650"/>
  <c r="I652"/>
  <c r="I654"/>
  <c r="I656"/>
  <c r="I658"/>
  <c r="I660"/>
  <c r="I661"/>
  <c r="I663"/>
  <c r="I665"/>
  <c r="I667"/>
  <c r="I669"/>
  <c r="I672"/>
  <c r="I674"/>
  <c r="I676"/>
  <c r="I678"/>
  <c r="I680"/>
  <c r="I682"/>
  <c r="I684"/>
  <c r="I686"/>
  <c r="I688"/>
  <c r="I690"/>
  <c r="I692"/>
  <c r="I694"/>
  <c r="I696"/>
  <c r="I698"/>
  <c r="I700"/>
  <c r="I702"/>
  <c r="I704"/>
  <c r="I706"/>
  <c r="I708"/>
  <c r="I710"/>
  <c r="I712"/>
  <c r="I714"/>
  <c r="I716"/>
  <c r="I718"/>
  <c r="I720"/>
  <c r="I722"/>
  <c r="I724"/>
  <c r="I726"/>
  <c r="I728"/>
  <c r="I730"/>
  <c r="I732"/>
  <c r="I734"/>
  <c r="I736"/>
  <c r="I737"/>
  <c r="I739"/>
  <c r="I741"/>
  <c r="I743"/>
  <c r="I745"/>
  <c r="I748"/>
  <c r="I750"/>
  <c r="I752"/>
  <c r="I754"/>
  <c r="I757"/>
  <c r="I759"/>
  <c r="I761"/>
  <c r="I763"/>
  <c r="I765"/>
  <c r="I767"/>
  <c r="I769"/>
  <c r="I771"/>
  <c r="I773"/>
  <c r="I775"/>
  <c r="I777"/>
  <c r="I779"/>
  <c r="I781"/>
  <c r="I785"/>
  <c r="I787"/>
  <c r="I789"/>
  <c r="I791"/>
  <c r="I794"/>
  <c r="I796"/>
  <c r="I798"/>
  <c r="I800"/>
  <c r="I802"/>
  <c r="I804"/>
  <c r="I806"/>
  <c r="I808"/>
  <c r="I810"/>
  <c r="I812"/>
  <c r="I814"/>
  <c r="I818"/>
  <c r="I820"/>
  <c r="I822"/>
  <c r="I824"/>
  <c r="I826"/>
  <c r="I828"/>
  <c r="I830"/>
  <c r="I832"/>
  <c r="I834"/>
  <c r="I836"/>
  <c r="I838"/>
  <c r="I840"/>
  <c r="I842"/>
  <c r="I844"/>
  <c r="I846"/>
  <c r="I848"/>
  <c r="I850"/>
  <c r="I852"/>
  <c r="I854"/>
  <c r="I856"/>
  <c r="I858"/>
  <c r="I860"/>
  <c r="I862"/>
  <c r="I864"/>
  <c r="I866"/>
  <c r="I868"/>
  <c r="I870"/>
  <c r="I872"/>
  <c r="I875"/>
  <c r="I877"/>
  <c r="I879"/>
  <c r="I881"/>
  <c r="I884"/>
  <c r="I886"/>
  <c r="I888"/>
  <c r="I890"/>
  <c r="I892"/>
  <c r="I894"/>
  <c r="I897"/>
  <c r="I899"/>
  <c r="I901"/>
  <c r="I903"/>
  <c r="I905"/>
  <c r="I906"/>
  <c r="I908"/>
  <c r="I910"/>
  <c r="I912"/>
  <c r="I914"/>
  <c r="I916"/>
  <c r="I918"/>
  <c r="I920"/>
  <c r="I922"/>
  <c r="I924"/>
  <c r="I926"/>
  <c r="I928"/>
  <c r="I930"/>
  <c r="I932"/>
  <c r="I934"/>
  <c r="I936"/>
  <c r="I938"/>
  <c r="I940"/>
  <c r="I943"/>
  <c r="I945"/>
  <c r="I947"/>
  <c r="I949"/>
  <c r="I952"/>
  <c r="I954"/>
  <c r="I956"/>
  <c r="I958"/>
  <c r="I960"/>
  <c r="I962"/>
  <c r="I964"/>
  <c r="I966"/>
  <c r="I968"/>
  <c r="I970"/>
  <c r="I972"/>
  <c r="I974"/>
  <c r="I976"/>
  <c r="I978"/>
  <c r="I980"/>
  <c r="I982"/>
  <c r="I984"/>
  <c r="I986"/>
  <c r="I988"/>
  <c r="I990"/>
  <c r="I992"/>
  <c r="I994"/>
  <c r="I996"/>
  <c r="I998"/>
  <c r="I1000"/>
  <c r="I1002"/>
  <c r="I1004"/>
  <c r="I1006"/>
  <c r="I1008"/>
  <c r="I1010"/>
  <c r="I1012"/>
  <c r="I1014"/>
  <c r="I1016"/>
  <c r="I1018"/>
  <c r="I1020"/>
  <c r="I1022"/>
  <c r="I1024"/>
  <c r="I1026"/>
  <c r="I1028"/>
  <c r="I1030"/>
  <c r="I1032"/>
  <c r="I1034"/>
  <c r="I1036"/>
  <c r="I1038"/>
  <c r="I1040"/>
  <c r="I1042"/>
  <c r="I1045"/>
  <c r="I1047"/>
  <c r="I1049"/>
  <c r="I1051"/>
  <c r="I1053"/>
  <c r="I1055"/>
  <c r="I1058"/>
  <c r="I1060"/>
  <c r="I1062"/>
  <c r="I1064"/>
  <c r="I1067"/>
  <c r="I1069"/>
  <c r="I1071"/>
  <c r="I1073"/>
  <c r="I1075"/>
  <c r="I1077"/>
  <c r="I1079"/>
  <c r="I1081"/>
  <c r="I1083"/>
  <c r="I1085"/>
  <c r="I1087"/>
  <c r="I1089"/>
  <c r="I1090"/>
  <c r="I1092"/>
  <c r="I1094"/>
  <c r="I1096"/>
  <c r="I1098"/>
  <c r="I1101"/>
  <c r="I1103"/>
  <c r="I1105"/>
  <c r="I1107"/>
  <c r="I1110"/>
  <c r="I1112"/>
  <c r="I1114"/>
  <c r="I1117"/>
  <c r="I1119"/>
  <c r="I1121"/>
  <c r="I1123"/>
  <c r="I1125"/>
  <c r="I1127"/>
  <c r="I1129"/>
  <c r="I1131"/>
  <c r="I1133"/>
  <c r="I1135"/>
  <c r="I1137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0"/>
  <c r="I12"/>
  <c r="I14"/>
  <c r="H10"/>
  <c r="H12"/>
  <c r="H14"/>
  <c r="H16"/>
  <c r="H18"/>
  <c r="H20"/>
  <c r="H22"/>
  <c r="H24"/>
  <c r="H26"/>
  <c r="H28"/>
  <c r="H30"/>
  <c r="H32"/>
  <c r="H34"/>
  <c r="H36"/>
  <c r="H38"/>
  <c r="H40"/>
  <c r="H42"/>
  <c r="H44"/>
  <c r="H46"/>
  <c r="H48"/>
  <c r="H50"/>
  <c r="H52"/>
  <c r="H54"/>
  <c r="H56"/>
  <c r="H58"/>
  <c r="H60"/>
  <c r="H62"/>
  <c r="H64"/>
  <c r="H66"/>
  <c r="H68"/>
  <c r="H71"/>
  <c r="H73"/>
  <c r="H75"/>
  <c r="H77"/>
  <c r="H80"/>
  <c r="H82"/>
  <c r="H84"/>
  <c r="H86"/>
  <c r="H88"/>
  <c r="H90"/>
  <c r="H92"/>
  <c r="H94"/>
  <c r="H96"/>
  <c r="H98"/>
  <c r="H100"/>
  <c r="H102"/>
  <c r="H104"/>
  <c r="H106"/>
  <c r="H108"/>
  <c r="H110"/>
  <c r="H113"/>
  <c r="H115"/>
  <c r="H117"/>
  <c r="H119"/>
  <c r="H122"/>
  <c r="H124"/>
  <c r="H126"/>
  <c r="H128"/>
  <c r="H130"/>
  <c r="H132"/>
  <c r="H136"/>
  <c r="H138"/>
  <c r="H140"/>
  <c r="H142"/>
  <c r="H145"/>
  <c r="H147"/>
  <c r="H149"/>
  <c r="H151"/>
  <c r="H153"/>
  <c r="H155"/>
  <c r="H157"/>
  <c r="H159"/>
  <c r="H161"/>
  <c r="H163"/>
  <c r="H165"/>
  <c r="H167"/>
  <c r="H170"/>
  <c r="H172"/>
  <c r="H174"/>
  <c r="H176"/>
  <c r="H178"/>
  <c r="H180"/>
  <c r="H182"/>
  <c r="H184"/>
  <c r="H186"/>
  <c r="H188"/>
  <c r="H190"/>
  <c r="H192"/>
  <c r="H194"/>
  <c r="H196"/>
  <c r="H198"/>
  <c r="H200"/>
  <c r="H202"/>
  <c r="H205"/>
  <c r="H207"/>
  <c r="H209"/>
  <c r="H211"/>
  <c r="H213"/>
  <c r="H215"/>
  <c r="H217"/>
  <c r="H219"/>
  <c r="H221"/>
  <c r="H223"/>
  <c r="H225"/>
  <c r="H227"/>
  <c r="H229"/>
  <c r="H231"/>
  <c r="H233"/>
  <c r="H235"/>
  <c r="H237"/>
  <c r="H239"/>
  <c r="H241"/>
  <c r="H243"/>
  <c r="H245"/>
  <c r="H247"/>
  <c r="H249"/>
  <c r="H251"/>
  <c r="H253"/>
  <c r="H255"/>
  <c r="H257"/>
  <c r="H259"/>
  <c r="H261"/>
  <c r="H263"/>
  <c r="H265"/>
  <c r="H267"/>
  <c r="H269"/>
  <c r="H271"/>
  <c r="H273"/>
  <c r="H275"/>
  <c r="H277"/>
  <c r="H279"/>
  <c r="H281"/>
  <c r="H283"/>
  <c r="H285"/>
  <c r="H287"/>
  <c r="H288"/>
  <c r="H289"/>
  <c r="H291"/>
  <c r="H293"/>
  <c r="H295"/>
  <c r="H297"/>
  <c r="H299"/>
  <c r="H301"/>
  <c r="H303"/>
  <c r="H305"/>
  <c r="H307"/>
  <c r="H309"/>
  <c r="H311"/>
  <c r="H313"/>
  <c r="H315"/>
  <c r="H317"/>
  <c r="H319"/>
  <c r="H321"/>
  <c r="H323"/>
  <c r="H325"/>
  <c r="H327"/>
  <c r="H329"/>
  <c r="H331"/>
  <c r="H333"/>
  <c r="H335"/>
  <c r="H337"/>
  <c r="H339"/>
  <c r="H341"/>
  <c r="H343"/>
  <c r="H345"/>
  <c r="H347"/>
  <c r="H349"/>
  <c r="H351"/>
  <c r="H353"/>
  <c r="H355"/>
  <c r="H357"/>
  <c r="H359"/>
  <c r="H361"/>
  <c r="H363"/>
  <c r="H365"/>
  <c r="H367"/>
  <c r="H370"/>
  <c r="H372"/>
  <c r="H374"/>
  <c r="H376"/>
  <c r="H379"/>
  <c r="H381"/>
  <c r="H383"/>
  <c r="H385"/>
  <c r="H387"/>
  <c r="H389"/>
  <c r="H392"/>
  <c r="H394"/>
  <c r="H396"/>
  <c r="H398"/>
  <c r="H401"/>
  <c r="H403"/>
  <c r="H405"/>
  <c r="H407"/>
  <c r="H409"/>
  <c r="H411"/>
  <c r="H413"/>
  <c r="H415"/>
  <c r="H417"/>
  <c r="H419"/>
  <c r="H421"/>
  <c r="H423"/>
  <c r="H425"/>
  <c r="H427"/>
  <c r="H429"/>
  <c r="H431"/>
  <c r="H433"/>
  <c r="H435"/>
  <c r="H437"/>
  <c r="H439"/>
  <c r="H441"/>
  <c r="H443"/>
  <c r="H445"/>
  <c r="H448"/>
  <c r="H450"/>
  <c r="H452"/>
  <c r="H454"/>
  <c r="H458"/>
  <c r="H460"/>
  <c r="H462"/>
  <c r="H463"/>
  <c r="H465"/>
  <c r="H468"/>
  <c r="H470"/>
  <c r="H472"/>
  <c r="H474"/>
  <c r="H476"/>
  <c r="H478"/>
  <c r="H480"/>
  <c r="H482"/>
  <c r="H484"/>
  <c r="H486"/>
  <c r="H488"/>
  <c r="H490"/>
  <c r="H491"/>
  <c r="H493"/>
  <c r="H496"/>
  <c r="H498"/>
  <c r="H500"/>
  <c r="H502"/>
  <c r="H504"/>
  <c r="H506"/>
  <c r="H509"/>
  <c r="H511"/>
  <c r="H513"/>
  <c r="H515"/>
  <c r="H518"/>
  <c r="H520"/>
  <c r="H522"/>
  <c r="H524"/>
  <c r="H526"/>
  <c r="H529"/>
  <c r="H531"/>
  <c r="H533"/>
  <c r="H535"/>
  <c r="H538"/>
  <c r="H540"/>
  <c r="H542"/>
  <c r="H544"/>
  <c r="H546"/>
  <c r="H548"/>
  <c r="H550"/>
  <c r="H552"/>
  <c r="H554"/>
  <c r="H556"/>
  <c r="H558"/>
  <c r="H560"/>
  <c r="H562"/>
  <c r="H564"/>
  <c r="H566"/>
  <c r="H568"/>
  <c r="H570"/>
  <c r="H573"/>
  <c r="H575"/>
  <c r="H577"/>
  <c r="H579"/>
  <c r="H582"/>
  <c r="H584"/>
  <c r="H586"/>
  <c r="H588"/>
  <c r="H590"/>
  <c r="H592"/>
  <c r="H594"/>
  <c r="H596"/>
  <c r="H598"/>
  <c r="H600"/>
  <c r="H602"/>
  <c r="H604"/>
  <c r="H606"/>
  <c r="H608"/>
  <c r="H610"/>
  <c r="H612"/>
  <c r="H614"/>
  <c r="H616"/>
  <c r="H618"/>
  <c r="H620"/>
  <c r="H622"/>
  <c r="H624"/>
  <c r="H626"/>
  <c r="H628"/>
  <c r="H630"/>
  <c r="H632"/>
  <c r="H634"/>
  <c r="H636"/>
  <c r="H638"/>
  <c r="H640"/>
  <c r="H642"/>
  <c r="H644"/>
  <c r="H646"/>
  <c r="H648"/>
  <c r="H650"/>
  <c r="H652"/>
  <c r="H654"/>
  <c r="H656"/>
  <c r="H658"/>
  <c r="H660"/>
  <c r="H661"/>
  <c r="H663"/>
  <c r="H665"/>
  <c r="H667"/>
  <c r="H669"/>
  <c r="H672"/>
  <c r="H674"/>
  <c r="H676"/>
  <c r="H678"/>
  <c r="H680"/>
  <c r="H682"/>
  <c r="H684"/>
  <c r="H686"/>
  <c r="H688"/>
  <c r="H690"/>
  <c r="H692"/>
  <c r="H694"/>
  <c r="H696"/>
  <c r="H698"/>
  <c r="H700"/>
  <c r="H702"/>
  <c r="H704"/>
  <c r="H706"/>
  <c r="H708"/>
  <c r="H710"/>
  <c r="H712"/>
  <c r="H714"/>
  <c r="H716"/>
  <c r="H718"/>
  <c r="H720"/>
  <c r="H722"/>
  <c r="H724"/>
  <c r="H726"/>
  <c r="H728"/>
  <c r="H730"/>
  <c r="H732"/>
  <c r="H734"/>
  <c r="H736"/>
  <c r="H737"/>
  <c r="H739"/>
  <c r="H741"/>
  <c r="H743"/>
  <c r="H745"/>
  <c r="H748"/>
  <c r="H750"/>
  <c r="H752"/>
  <c r="H754"/>
  <c r="H757"/>
  <c r="H759"/>
  <c r="H761"/>
  <c r="H763"/>
  <c r="H765"/>
  <c r="H767"/>
  <c r="H769"/>
  <c r="H771"/>
  <c r="H773"/>
  <c r="H775"/>
  <c r="H777"/>
  <c r="H779"/>
  <c r="H781"/>
  <c r="H785"/>
  <c r="H787"/>
  <c r="H789"/>
  <c r="H791"/>
  <c r="H794"/>
  <c r="H796"/>
  <c r="H798"/>
  <c r="H800"/>
  <c r="H802"/>
  <c r="H804"/>
  <c r="H806"/>
  <c r="H808"/>
  <c r="H810"/>
  <c r="H812"/>
  <c r="H814"/>
  <c r="H818"/>
  <c r="H820"/>
  <c r="H822"/>
  <c r="H824"/>
  <c r="H826"/>
  <c r="H828"/>
  <c r="H830"/>
  <c r="H832"/>
  <c r="H834"/>
  <c r="H836"/>
  <c r="H838"/>
  <c r="H840"/>
  <c r="H842"/>
  <c r="H844"/>
  <c r="H846"/>
  <c r="H848"/>
  <c r="H850"/>
  <c r="H852"/>
  <c r="H854"/>
  <c r="H856"/>
  <c r="H858"/>
  <c r="H860"/>
  <c r="H862"/>
  <c r="H864"/>
  <c r="H866"/>
  <c r="H868"/>
  <c r="H870"/>
  <c r="H872"/>
  <c r="H875"/>
  <c r="H877"/>
  <c r="H879"/>
  <c r="H881"/>
  <c r="H884"/>
  <c r="H886"/>
  <c r="H888"/>
  <c r="H890"/>
  <c r="H892"/>
  <c r="H894"/>
  <c r="H897"/>
  <c r="H899"/>
  <c r="H901"/>
  <c r="H903"/>
  <c r="H905"/>
  <c r="H906"/>
  <c r="H908"/>
  <c r="H910"/>
  <c r="H912"/>
  <c r="H914"/>
  <c r="H916"/>
  <c r="H918"/>
  <c r="H920"/>
  <c r="H922"/>
  <c r="H924"/>
  <c r="H926"/>
  <c r="H928"/>
  <c r="H930"/>
  <c r="H932"/>
  <c r="H934"/>
  <c r="H936"/>
  <c r="H938"/>
  <c r="H940"/>
  <c r="H943"/>
  <c r="H945"/>
  <c r="H947"/>
  <c r="H949"/>
  <c r="H952"/>
  <c r="H954"/>
  <c r="H956"/>
  <c r="H958"/>
  <c r="H960"/>
  <c r="H962"/>
  <c r="H964"/>
  <c r="H966"/>
  <c r="H968"/>
  <c r="H970"/>
  <c r="H972"/>
  <c r="H974"/>
  <c r="H976"/>
  <c r="H978"/>
  <c r="H980"/>
  <c r="H982"/>
  <c r="H984"/>
  <c r="H986"/>
  <c r="H988"/>
  <c r="H990"/>
  <c r="H992"/>
  <c r="H994"/>
  <c r="H996"/>
  <c r="H998"/>
  <c r="H1000"/>
  <c r="H1002"/>
  <c r="H1004"/>
  <c r="H1006"/>
  <c r="H1008"/>
  <c r="H1010"/>
  <c r="H1012"/>
  <c r="H1014"/>
  <c r="H1016"/>
  <c r="H1018"/>
  <c r="H1020"/>
  <c r="H1022"/>
  <c r="H1024"/>
  <c r="H1026"/>
  <c r="H1028"/>
  <c r="H1030"/>
  <c r="H1032"/>
  <c r="H1034"/>
  <c r="H1036"/>
  <c r="H1038"/>
  <c r="H1040"/>
  <c r="H1042"/>
  <c r="H1045"/>
  <c r="H1047"/>
  <c r="H1049"/>
  <c r="H1051"/>
  <c r="H1053"/>
  <c r="H1055"/>
  <c r="H1058"/>
  <c r="H1060"/>
  <c r="H1062"/>
  <c r="H1064"/>
  <c r="H1067"/>
  <c r="H1069"/>
  <c r="H1071"/>
  <c r="H1073"/>
  <c r="H1075"/>
  <c r="H1077"/>
  <c r="H1079"/>
  <c r="H1081"/>
  <c r="H1083"/>
  <c r="H1085"/>
  <c r="H1087"/>
  <c r="H1089"/>
  <c r="H1090"/>
  <c r="H1092"/>
  <c r="H1094"/>
  <c r="H1096"/>
  <c r="H1098"/>
  <c r="H1101"/>
  <c r="H1103"/>
  <c r="H1105"/>
  <c r="H1107"/>
  <c r="H1110"/>
  <c r="H1112"/>
  <c r="H1114"/>
  <c r="H1117"/>
  <c r="H1119"/>
  <c r="H1121"/>
  <c r="H1123"/>
  <c r="H1125"/>
  <c r="H1127"/>
  <c r="H1129"/>
  <c r="H1131"/>
  <c r="H1133"/>
  <c r="H1135"/>
  <c r="H1137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D10"/>
  <c r="D1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D1003" s="1"/>
  <c r="D1004" s="1"/>
  <c r="D1005" s="1"/>
  <c r="D1006" s="1"/>
  <c r="D1007" s="1"/>
  <c r="D1008" s="1"/>
  <c r="D1009" s="1"/>
  <c r="D1010" s="1"/>
  <c r="D1011" s="1"/>
  <c r="D1012" s="1"/>
  <c r="D1013" s="1"/>
  <c r="D1014" s="1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D1027" s="1"/>
  <c r="D1028" s="1"/>
  <c r="D1029" s="1"/>
  <c r="D1030" s="1"/>
  <c r="D1031" s="1"/>
  <c r="D1032" s="1"/>
  <c r="D1033" s="1"/>
  <c r="D1034" s="1"/>
  <c r="D1035" s="1"/>
  <c r="D1036" s="1"/>
  <c r="D1037" s="1"/>
  <c r="D1038" s="1"/>
  <c r="D1039" s="1"/>
  <c r="D1040" s="1"/>
  <c r="D1041" s="1"/>
  <c r="D1042" s="1"/>
  <c r="D1043" s="1"/>
  <c r="D1044" s="1"/>
  <c r="D1045" s="1"/>
  <c r="D1046" s="1"/>
  <c r="D1047" s="1"/>
  <c r="D1048" s="1"/>
  <c r="D1049" s="1"/>
  <c r="D1050" s="1"/>
  <c r="D1051" s="1"/>
  <c r="D1052" s="1"/>
  <c r="D1053" s="1"/>
  <c r="D1054" s="1"/>
  <c r="D1055" s="1"/>
  <c r="D1056" s="1"/>
  <c r="D1057" s="1"/>
  <c r="D1058" s="1"/>
  <c r="D1059" s="1"/>
  <c r="D1060" s="1"/>
  <c r="D1061" s="1"/>
  <c r="D1062" s="1"/>
  <c r="D1063" s="1"/>
  <c r="D1064" s="1"/>
  <c r="D1065" s="1"/>
  <c r="D1066" s="1"/>
  <c r="D1067" s="1"/>
  <c r="D1068" s="1"/>
  <c r="D1069" s="1"/>
  <c r="D1070" s="1"/>
  <c r="D1071" s="1"/>
  <c r="D1072" s="1"/>
  <c r="D1073" s="1"/>
  <c r="D1074" s="1"/>
  <c r="D1075" s="1"/>
  <c r="D1076" s="1"/>
  <c r="D1077" s="1"/>
  <c r="D1078" s="1"/>
  <c r="D1079" s="1"/>
  <c r="D1080" s="1"/>
  <c r="D1081" s="1"/>
  <c r="D1082" s="1"/>
  <c r="D1083" s="1"/>
  <c r="D1084" s="1"/>
  <c r="D1085" s="1"/>
  <c r="D1086" s="1"/>
  <c r="D1087" s="1"/>
  <c r="D1088" s="1"/>
  <c r="D1089" s="1"/>
  <c r="D1090" s="1"/>
  <c r="D1091" s="1"/>
  <c r="D1092" s="1"/>
  <c r="D1093" s="1"/>
  <c r="D1094" s="1"/>
  <c r="D1095" s="1"/>
  <c r="D1096" s="1"/>
  <c r="D1097" s="1"/>
  <c r="D1098" s="1"/>
  <c r="D1099" s="1"/>
  <c r="D1100" s="1"/>
  <c r="D1101" s="1"/>
  <c r="D1102" s="1"/>
  <c r="D1103" s="1"/>
  <c r="D1104" s="1"/>
  <c r="D1105" s="1"/>
  <c r="D1106" s="1"/>
  <c r="D1107" s="1"/>
  <c r="D1108" s="1"/>
  <c r="D1109" s="1"/>
  <c r="D1110" s="1"/>
  <c r="D1111" s="1"/>
  <c r="D1112" s="1"/>
  <c r="D1113" s="1"/>
  <c r="D1114" s="1"/>
  <c r="D1115" s="1"/>
  <c r="D1116" s="1"/>
  <c r="D1117" s="1"/>
  <c r="D1118" s="1"/>
  <c r="D1119" s="1"/>
  <c r="D1120" s="1"/>
  <c r="D1121" s="1"/>
  <c r="D1122" s="1"/>
  <c r="D1123" s="1"/>
  <c r="D1124" s="1"/>
  <c r="D1125" s="1"/>
  <c r="D1126" s="1"/>
  <c r="D1127" s="1"/>
  <c r="D1128" s="1"/>
  <c r="D1129" s="1"/>
  <c r="D1130" s="1"/>
  <c r="D1131" s="1"/>
  <c r="D1132" s="1"/>
  <c r="D1133" s="1"/>
  <c r="D1134" s="1"/>
  <c r="D1135" s="1"/>
  <c r="D1136" s="1"/>
  <c r="D1137" s="1"/>
  <c r="D1138" s="1"/>
  <c r="D1139" s="1"/>
  <c r="D1140" s="1"/>
  <c r="D1141" s="1"/>
  <c r="D1142" s="1"/>
  <c r="D1143" s="1"/>
  <c r="D1144" s="1"/>
  <c r="D1145" s="1"/>
  <c r="D1146" s="1"/>
  <c r="D1147" s="1"/>
  <c r="D1148" s="1"/>
  <c r="D1149" s="1"/>
  <c r="D1150" s="1"/>
  <c r="D1151" s="1"/>
  <c r="D1152" s="1"/>
  <c r="D1153" s="1"/>
  <c r="D1154" s="1"/>
  <c r="D1155" s="1"/>
  <c r="D1156" s="1"/>
  <c r="D1157" s="1"/>
  <c r="D1158" s="1"/>
  <c r="D1159" s="1"/>
  <c r="D1160" s="1"/>
  <c r="D1161" s="1"/>
  <c r="D1162" s="1"/>
  <c r="D1163" s="1"/>
  <c r="D1164" s="1"/>
  <c r="D1165" s="1"/>
  <c r="D1166" s="1"/>
  <c r="D1167" s="1"/>
  <c r="D1168" s="1"/>
  <c r="D1169" s="1"/>
  <c r="D1170" s="1"/>
  <c r="D1171" s="1"/>
  <c r="D1172" s="1"/>
  <c r="D1173" s="1"/>
  <c r="D1174" s="1"/>
  <c r="D1175" s="1"/>
  <c r="D1176" s="1"/>
  <c r="D1177" s="1"/>
  <c r="D1178" s="1"/>
  <c r="D1179" s="1"/>
  <c r="D1180" s="1"/>
  <c r="D1181" s="1"/>
  <c r="D1182" s="1"/>
  <c r="D1183" s="1"/>
  <c r="D1184" s="1"/>
  <c r="D1185" s="1"/>
  <c r="D1186" s="1"/>
  <c r="D1187" s="1"/>
  <c r="D1188" s="1"/>
  <c r="D1189" s="1"/>
  <c r="D1190" s="1"/>
  <c r="D1191" s="1"/>
  <c r="D1192" s="1"/>
  <c r="D1193" s="1"/>
  <c r="D1194" s="1"/>
  <c r="D1195" s="1"/>
  <c r="D1196" s="1"/>
  <c r="D1197" s="1"/>
  <c r="D1198" s="1"/>
  <c r="D1199" s="1"/>
  <c r="D1200" s="1"/>
  <c r="D1201" s="1"/>
  <c r="D1202" s="1"/>
  <c r="D1203" s="1"/>
  <c r="D1204" s="1"/>
  <c r="D1205" s="1"/>
  <c r="D1206" s="1"/>
  <c r="D1207" s="1"/>
  <c r="D1208" s="1"/>
  <c r="D1209" s="1"/>
  <c r="D1210" s="1"/>
  <c r="D1211" s="1"/>
  <c r="D1212" s="1"/>
  <c r="D1213" s="1"/>
  <c r="D1214" s="1"/>
  <c r="D1215" s="1"/>
  <c r="D1216" s="1"/>
  <c r="D1217" s="1"/>
  <c r="D1218" s="1"/>
  <c r="D1219" s="1"/>
  <c r="D1220" s="1"/>
  <c r="D1221" s="1"/>
  <c r="D1222" s="1"/>
  <c r="D1223" s="1"/>
  <c r="D1224" s="1"/>
  <c r="D1225" s="1"/>
  <c r="D1226" s="1"/>
  <c r="D1227" s="1"/>
  <c r="D1228" s="1"/>
  <c r="D1229" s="1"/>
  <c r="D1230" s="1"/>
  <c r="D1231" s="1"/>
  <c r="D1232" s="1"/>
  <c r="D1233" s="1"/>
  <c r="D1234" s="1"/>
  <c r="D1235" s="1"/>
  <c r="D1236" s="1"/>
  <c r="D1237" s="1"/>
  <c r="D1238" s="1"/>
  <c r="D1239" s="1"/>
  <c r="D1240" s="1"/>
  <c r="D1241" s="1"/>
  <c r="D1242" s="1"/>
  <c r="D1243" s="1"/>
  <c r="D1244" s="1"/>
  <c r="D1245" s="1"/>
  <c r="D1246" s="1"/>
  <c r="D1247" s="1"/>
  <c r="D1248" s="1"/>
  <c r="D1249" s="1"/>
  <c r="D1250" s="1"/>
  <c r="D1251" s="1"/>
  <c r="D1252" s="1"/>
  <c r="D1253" s="1"/>
  <c r="D1254" s="1"/>
  <c r="D1255" s="1"/>
  <c r="D1256" s="1"/>
  <c r="D1257" s="1"/>
  <c r="D1258" s="1"/>
  <c r="D1259" s="1"/>
  <c r="D1260" s="1"/>
  <c r="D1261" s="1"/>
  <c r="D1262" s="1"/>
  <c r="D1263" s="1"/>
  <c r="D1264" s="1"/>
  <c r="D1265" s="1"/>
  <c r="D1266" s="1"/>
  <c r="D1267" s="1"/>
  <c r="D1268" s="1"/>
  <c r="D1269" s="1"/>
  <c r="D1270" s="1"/>
  <c r="D1271" s="1"/>
  <c r="D1272" s="1"/>
  <c r="D1273" s="1"/>
  <c r="D1274" s="1"/>
  <c r="D1275" s="1"/>
  <c r="D1276" s="1"/>
  <c r="D1277" s="1"/>
  <c r="D1278" s="1"/>
  <c r="D1279" s="1"/>
  <c r="D1280" s="1"/>
  <c r="D1281" s="1"/>
  <c r="D1282" s="1"/>
  <c r="D1283" s="1"/>
  <c r="D1284" s="1"/>
  <c r="D1285" s="1"/>
  <c r="D1286" s="1"/>
  <c r="D1287" s="1"/>
  <c r="D1288" s="1"/>
  <c r="D1289" s="1"/>
  <c r="D1290" s="1"/>
  <c r="D1291" s="1"/>
  <c r="D1292" s="1"/>
  <c r="D1293" s="1"/>
  <c r="D1294" s="1"/>
  <c r="D1295" s="1"/>
  <c r="D1296" s="1"/>
  <c r="D1297" s="1"/>
  <c r="D1298" s="1"/>
  <c r="D1299" s="1"/>
  <c r="D1300" s="1"/>
  <c r="D1301" s="1"/>
  <c r="D1302" s="1"/>
  <c r="D1303" s="1"/>
  <c r="D1304" s="1"/>
  <c r="D1305" s="1"/>
  <c r="D1306" s="1"/>
  <c r="D1307" s="1"/>
  <c r="D1308" s="1"/>
  <c r="D1309" s="1"/>
  <c r="D1310" s="1"/>
  <c r="D1311" s="1"/>
  <c r="D1312" s="1"/>
  <c r="D1313" s="1"/>
  <c r="D1314" s="1"/>
  <c r="D1315" s="1"/>
  <c r="D1316" s="1"/>
  <c r="D1317" s="1"/>
  <c r="D1318" s="1"/>
  <c r="D1319" s="1"/>
  <c r="D1320" s="1"/>
  <c r="D1321" s="1"/>
  <c r="D1322" s="1"/>
  <c r="D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9"/>
  <c r="AN10" i="32917"/>
  <c r="A644" i="32921"/>
  <c r="E644" s="1"/>
  <c r="B644"/>
  <c r="F644"/>
  <c r="G644"/>
  <c r="A645"/>
  <c r="B645"/>
  <c r="E645"/>
  <c r="I645" s="1"/>
  <c r="F645"/>
  <c r="G645"/>
  <c r="A646"/>
  <c r="E646" s="1"/>
  <c r="B646"/>
  <c r="F646"/>
  <c r="G646"/>
  <c r="A647"/>
  <c r="B647"/>
  <c r="E647"/>
  <c r="I647" s="1"/>
  <c r="F647"/>
  <c r="G647"/>
  <c r="A648"/>
  <c r="E648" s="1"/>
  <c r="B648"/>
  <c r="F648"/>
  <c r="G648"/>
  <c r="A649"/>
  <c r="B649"/>
  <c r="E649"/>
  <c r="I649" s="1"/>
  <c r="F649"/>
  <c r="G649"/>
  <c r="A650"/>
  <c r="E650" s="1"/>
  <c r="B650"/>
  <c r="F650"/>
  <c r="G650"/>
  <c r="A651"/>
  <c r="B651"/>
  <c r="E651"/>
  <c r="I651" s="1"/>
  <c r="F651"/>
  <c r="G651"/>
  <c r="A652"/>
  <c r="E652" s="1"/>
  <c r="B652"/>
  <c r="F652"/>
  <c r="G652"/>
  <c r="A653"/>
  <c r="B653"/>
  <c r="E653"/>
  <c r="I653" s="1"/>
  <c r="F653"/>
  <c r="G653"/>
  <c r="A654"/>
  <c r="E654" s="1"/>
  <c r="B654"/>
  <c r="F654"/>
  <c r="G654"/>
  <c r="A655"/>
  <c r="B655"/>
  <c r="E655"/>
  <c r="I655" s="1"/>
  <c r="F655"/>
  <c r="G655"/>
  <c r="A656"/>
  <c r="E656" s="1"/>
  <c r="B656"/>
  <c r="F656"/>
  <c r="G656"/>
  <c r="A657"/>
  <c r="B657"/>
  <c r="E657"/>
  <c r="I657" s="1"/>
  <c r="F657"/>
  <c r="G657"/>
  <c r="A658"/>
  <c r="E658" s="1"/>
  <c r="B658"/>
  <c r="F658"/>
  <c r="G658"/>
  <c r="A659"/>
  <c r="H659" s="1"/>
  <c r="B659"/>
  <c r="E659"/>
  <c r="I659" s="1"/>
  <c r="F659"/>
  <c r="G659"/>
  <c r="A660"/>
  <c r="E660" s="1"/>
  <c r="B660"/>
  <c r="F660"/>
  <c r="G660"/>
  <c r="A661"/>
  <c r="B661"/>
  <c r="E661"/>
  <c r="F661"/>
  <c r="G661"/>
  <c r="A662"/>
  <c r="B662"/>
  <c r="F662"/>
  <c r="G662"/>
  <c r="A663"/>
  <c r="B663"/>
  <c r="E663"/>
  <c r="F663"/>
  <c r="G663"/>
  <c r="A664"/>
  <c r="B664"/>
  <c r="F664"/>
  <c r="G664"/>
  <c r="A665"/>
  <c r="B665"/>
  <c r="E665"/>
  <c r="F665"/>
  <c r="G665"/>
  <c r="A666"/>
  <c r="B666"/>
  <c r="F666"/>
  <c r="G666"/>
  <c r="A667"/>
  <c r="B667"/>
  <c r="E667"/>
  <c r="F667"/>
  <c r="G667"/>
  <c r="A668"/>
  <c r="B668"/>
  <c r="F668"/>
  <c r="G668"/>
  <c r="A669"/>
  <c r="B669"/>
  <c r="E669"/>
  <c r="F669"/>
  <c r="G669"/>
  <c r="A670"/>
  <c r="B670"/>
  <c r="F670"/>
  <c r="G670"/>
  <c r="A671"/>
  <c r="B671"/>
  <c r="E671"/>
  <c r="I671" s="1"/>
  <c r="F671"/>
  <c r="G671"/>
  <c r="A672"/>
  <c r="E672" s="1"/>
  <c r="B672"/>
  <c r="F672"/>
  <c r="G672"/>
  <c r="A673"/>
  <c r="B673"/>
  <c r="E673"/>
  <c r="I673" s="1"/>
  <c r="F673"/>
  <c r="G673"/>
  <c r="A674"/>
  <c r="E674" s="1"/>
  <c r="B674"/>
  <c r="F674"/>
  <c r="G674"/>
  <c r="A675"/>
  <c r="B675"/>
  <c r="E675"/>
  <c r="I675" s="1"/>
  <c r="F675"/>
  <c r="G675"/>
  <c r="A676"/>
  <c r="E676" s="1"/>
  <c r="B676"/>
  <c r="F676"/>
  <c r="G676"/>
  <c r="A677"/>
  <c r="B677"/>
  <c r="E677"/>
  <c r="I677" s="1"/>
  <c r="F677"/>
  <c r="G677"/>
  <c r="A678"/>
  <c r="E678" s="1"/>
  <c r="B678"/>
  <c r="F678"/>
  <c r="G678"/>
  <c r="A679"/>
  <c r="B679"/>
  <c r="E679"/>
  <c r="I679" s="1"/>
  <c r="F679"/>
  <c r="G679"/>
  <c r="A680"/>
  <c r="E680" s="1"/>
  <c r="B680"/>
  <c r="F680"/>
  <c r="G680"/>
  <c r="A681"/>
  <c r="B681"/>
  <c r="E681"/>
  <c r="I681" s="1"/>
  <c r="F681"/>
  <c r="G681"/>
  <c r="A682"/>
  <c r="E682" s="1"/>
  <c r="B682"/>
  <c r="F682"/>
  <c r="G682"/>
  <c r="A683"/>
  <c r="H683" s="1"/>
  <c r="B683"/>
  <c r="E683"/>
  <c r="I683" s="1"/>
  <c r="F683"/>
  <c r="G683"/>
  <c r="A684"/>
  <c r="E684" s="1"/>
  <c r="B684"/>
  <c r="F684"/>
  <c r="G684"/>
  <c r="A685"/>
  <c r="H685" s="1"/>
  <c r="B685"/>
  <c r="E685"/>
  <c r="I685" s="1"/>
  <c r="F685"/>
  <c r="G685"/>
  <c r="A686"/>
  <c r="E686" s="1"/>
  <c r="B686"/>
  <c r="F686"/>
  <c r="G686"/>
  <c r="A687"/>
  <c r="H687" s="1"/>
  <c r="B687"/>
  <c r="E687"/>
  <c r="I687" s="1"/>
  <c r="F687"/>
  <c r="G687"/>
  <c r="A688"/>
  <c r="E688" s="1"/>
  <c r="B688"/>
  <c r="F688"/>
  <c r="G688"/>
  <c r="A689"/>
  <c r="H689" s="1"/>
  <c r="B689"/>
  <c r="E689"/>
  <c r="I689" s="1"/>
  <c r="F689"/>
  <c r="G689"/>
  <c r="A690"/>
  <c r="E690" s="1"/>
  <c r="B690"/>
  <c r="F690"/>
  <c r="G690"/>
  <c r="A691"/>
  <c r="H691" s="1"/>
  <c r="B691"/>
  <c r="E691"/>
  <c r="I691" s="1"/>
  <c r="F691"/>
  <c r="G691"/>
  <c r="A692"/>
  <c r="E692" s="1"/>
  <c r="B692"/>
  <c r="F692"/>
  <c r="G692"/>
  <c r="A693"/>
  <c r="B693"/>
  <c r="E693"/>
  <c r="I693" s="1"/>
  <c r="F693"/>
  <c r="G693"/>
  <c r="A694"/>
  <c r="E694" s="1"/>
  <c r="B694"/>
  <c r="F694"/>
  <c r="G694"/>
  <c r="A695"/>
  <c r="B695"/>
  <c r="E695"/>
  <c r="I695" s="1"/>
  <c r="F695"/>
  <c r="G695"/>
  <c r="A696"/>
  <c r="E696" s="1"/>
  <c r="B696"/>
  <c r="F696"/>
  <c r="G696"/>
  <c r="A697"/>
  <c r="B697"/>
  <c r="E697"/>
  <c r="I697" s="1"/>
  <c r="F697"/>
  <c r="G697"/>
  <c r="A698"/>
  <c r="E698" s="1"/>
  <c r="B698"/>
  <c r="F698"/>
  <c r="G698"/>
  <c r="A699"/>
  <c r="B699"/>
  <c r="E699"/>
  <c r="I699" s="1"/>
  <c r="F699"/>
  <c r="G699"/>
  <c r="A700"/>
  <c r="E700" s="1"/>
  <c r="B700"/>
  <c r="F700"/>
  <c r="G700"/>
  <c r="A701"/>
  <c r="B701"/>
  <c r="E701"/>
  <c r="I701" s="1"/>
  <c r="F701"/>
  <c r="G701"/>
  <c r="A702"/>
  <c r="E702" s="1"/>
  <c r="B702"/>
  <c r="F702"/>
  <c r="G702"/>
  <c r="A703"/>
  <c r="B703"/>
  <c r="E703"/>
  <c r="I703" s="1"/>
  <c r="F703"/>
  <c r="G703"/>
  <c r="A704"/>
  <c r="E704" s="1"/>
  <c r="B704"/>
  <c r="F704"/>
  <c r="G704"/>
  <c r="A705"/>
  <c r="B705"/>
  <c r="E705"/>
  <c r="I705" s="1"/>
  <c r="F705"/>
  <c r="G705"/>
  <c r="A706"/>
  <c r="E706" s="1"/>
  <c r="B706"/>
  <c r="F706"/>
  <c r="G706"/>
  <c r="A707"/>
  <c r="B707"/>
  <c r="E707"/>
  <c r="I707" s="1"/>
  <c r="F707"/>
  <c r="G707"/>
  <c r="A708"/>
  <c r="E708" s="1"/>
  <c r="B708"/>
  <c r="F708"/>
  <c r="G708"/>
  <c r="A709"/>
  <c r="B709"/>
  <c r="E709"/>
  <c r="I709" s="1"/>
  <c r="F709"/>
  <c r="G709"/>
  <c r="A710"/>
  <c r="E710" s="1"/>
  <c r="B710"/>
  <c r="F710"/>
  <c r="G710"/>
  <c r="A711"/>
  <c r="B711"/>
  <c r="E711"/>
  <c r="I711" s="1"/>
  <c r="F711"/>
  <c r="G711"/>
  <c r="A712"/>
  <c r="E712" s="1"/>
  <c r="B712"/>
  <c r="F712"/>
  <c r="G712"/>
  <c r="A713"/>
  <c r="B713"/>
  <c r="E713"/>
  <c r="I713" s="1"/>
  <c r="F713"/>
  <c r="G713"/>
  <c r="A714"/>
  <c r="E714" s="1"/>
  <c r="B714"/>
  <c r="F714"/>
  <c r="G714"/>
  <c r="A715"/>
  <c r="B715"/>
  <c r="E715"/>
  <c r="I715" s="1"/>
  <c r="F715"/>
  <c r="G715"/>
  <c r="A716"/>
  <c r="E716" s="1"/>
  <c r="B716"/>
  <c r="F716"/>
  <c r="G716"/>
  <c r="A717"/>
  <c r="B717"/>
  <c r="E717"/>
  <c r="I717" s="1"/>
  <c r="F717"/>
  <c r="G717"/>
  <c r="A718"/>
  <c r="E718" s="1"/>
  <c r="B718"/>
  <c r="F718"/>
  <c r="G718"/>
  <c r="A719"/>
  <c r="B719"/>
  <c r="E719"/>
  <c r="I719" s="1"/>
  <c r="F719"/>
  <c r="G719"/>
  <c r="A720"/>
  <c r="E720" s="1"/>
  <c r="B720"/>
  <c r="F720"/>
  <c r="G720"/>
  <c r="A721"/>
  <c r="B721"/>
  <c r="E721"/>
  <c r="I721" s="1"/>
  <c r="F721"/>
  <c r="G721"/>
  <c r="A722"/>
  <c r="E722" s="1"/>
  <c r="B722"/>
  <c r="F722"/>
  <c r="G722"/>
  <c r="A723"/>
  <c r="B723"/>
  <c r="E723"/>
  <c r="I723" s="1"/>
  <c r="F723"/>
  <c r="G723"/>
  <c r="A724"/>
  <c r="E724" s="1"/>
  <c r="B724"/>
  <c r="F724"/>
  <c r="G724"/>
  <c r="A725"/>
  <c r="B725"/>
  <c r="E725"/>
  <c r="I725" s="1"/>
  <c r="F725"/>
  <c r="G725"/>
  <c r="A726"/>
  <c r="E726" s="1"/>
  <c r="B726"/>
  <c r="F726"/>
  <c r="G726"/>
  <c r="A727"/>
  <c r="B727"/>
  <c r="E727"/>
  <c r="I727" s="1"/>
  <c r="F727"/>
  <c r="G727"/>
  <c r="A728"/>
  <c r="E728" s="1"/>
  <c r="B728"/>
  <c r="F728"/>
  <c r="G728"/>
  <c r="A729"/>
  <c r="B729"/>
  <c r="E729"/>
  <c r="I729" s="1"/>
  <c r="F729"/>
  <c r="G729"/>
  <c r="A730"/>
  <c r="E730" s="1"/>
  <c r="B730"/>
  <c r="F730"/>
  <c r="G730"/>
  <c r="A731"/>
  <c r="B731"/>
  <c r="E731"/>
  <c r="I731" s="1"/>
  <c r="F731"/>
  <c r="G731"/>
  <c r="A732"/>
  <c r="E732" s="1"/>
  <c r="B732"/>
  <c r="F732"/>
  <c r="G732"/>
  <c r="A733"/>
  <c r="B733"/>
  <c r="E733"/>
  <c r="I733" s="1"/>
  <c r="F733"/>
  <c r="G733"/>
  <c r="A734"/>
  <c r="E734" s="1"/>
  <c r="B734"/>
  <c r="F734"/>
  <c r="G734"/>
  <c r="A735"/>
  <c r="B735"/>
  <c r="E735"/>
  <c r="I735" s="1"/>
  <c r="F735"/>
  <c r="G735"/>
  <c r="A736"/>
  <c r="E736" s="1"/>
  <c r="B736"/>
  <c r="F736"/>
  <c r="G736"/>
  <c r="A737"/>
  <c r="B737"/>
  <c r="E737"/>
  <c r="F737"/>
  <c r="G737"/>
  <c r="A738"/>
  <c r="B738"/>
  <c r="F738"/>
  <c r="G738"/>
  <c r="A739"/>
  <c r="B739"/>
  <c r="E739"/>
  <c r="F739"/>
  <c r="G739"/>
  <c r="A740"/>
  <c r="B740"/>
  <c r="F740"/>
  <c r="G740"/>
  <c r="A741"/>
  <c r="B741"/>
  <c r="E741"/>
  <c r="F741"/>
  <c r="G741"/>
  <c r="A742"/>
  <c r="B742"/>
  <c r="F742"/>
  <c r="G742"/>
  <c r="A743"/>
  <c r="B743"/>
  <c r="E743"/>
  <c r="F743"/>
  <c r="G743"/>
  <c r="A744"/>
  <c r="B744"/>
  <c r="F744"/>
  <c r="G744"/>
  <c r="A745"/>
  <c r="B745"/>
  <c r="E745"/>
  <c r="F745"/>
  <c r="G745"/>
  <c r="A746"/>
  <c r="B746"/>
  <c r="F746"/>
  <c r="G746"/>
  <c r="A747"/>
  <c r="B747"/>
  <c r="E747"/>
  <c r="I747" s="1"/>
  <c r="F747"/>
  <c r="G747"/>
  <c r="A748"/>
  <c r="E748" s="1"/>
  <c r="B748"/>
  <c r="F748"/>
  <c r="G748"/>
  <c r="A749"/>
  <c r="B749"/>
  <c r="E749"/>
  <c r="I749" s="1"/>
  <c r="F749"/>
  <c r="G749"/>
  <c r="A750"/>
  <c r="E750" s="1"/>
  <c r="B750"/>
  <c r="F750"/>
  <c r="G750"/>
  <c r="A751"/>
  <c r="B751"/>
  <c r="E751"/>
  <c r="I751" s="1"/>
  <c r="F751"/>
  <c r="G751"/>
  <c r="A752"/>
  <c r="E752" s="1"/>
  <c r="B752"/>
  <c r="F752"/>
  <c r="G752"/>
  <c r="A753"/>
  <c r="B753"/>
  <c r="E753"/>
  <c r="I753" s="1"/>
  <c r="F753"/>
  <c r="G753"/>
  <c r="A754"/>
  <c r="E754" s="1"/>
  <c r="B754"/>
  <c r="F754"/>
  <c r="G754"/>
  <c r="A755"/>
  <c r="B755"/>
  <c r="E755"/>
  <c r="I755" s="1"/>
  <c r="F755"/>
  <c r="G755"/>
  <c r="A756"/>
  <c r="B756"/>
  <c r="F756"/>
  <c r="G756"/>
  <c r="A757"/>
  <c r="B757"/>
  <c r="E757"/>
  <c r="F757"/>
  <c r="G757"/>
  <c r="A758"/>
  <c r="B758"/>
  <c r="F758"/>
  <c r="G758"/>
  <c r="A759"/>
  <c r="B759"/>
  <c r="E759"/>
  <c r="F759"/>
  <c r="G759"/>
  <c r="A760"/>
  <c r="B760"/>
  <c r="F760"/>
  <c r="G760"/>
  <c r="A761"/>
  <c r="B761"/>
  <c r="E761"/>
  <c r="F761"/>
  <c r="G761"/>
  <c r="A762"/>
  <c r="B762"/>
  <c r="F762"/>
  <c r="G762"/>
  <c r="A763"/>
  <c r="B763"/>
  <c r="E763"/>
  <c r="F763"/>
  <c r="G763"/>
  <c r="A764"/>
  <c r="B764"/>
  <c r="F764"/>
  <c r="G764"/>
  <c r="A765"/>
  <c r="B765"/>
  <c r="E765"/>
  <c r="F765"/>
  <c r="G765"/>
  <c r="A766"/>
  <c r="B766"/>
  <c r="F766"/>
  <c r="G766"/>
  <c r="A767"/>
  <c r="B767"/>
  <c r="E767"/>
  <c r="F767"/>
  <c r="G767"/>
  <c r="A768"/>
  <c r="B768"/>
  <c r="F768"/>
  <c r="G768"/>
  <c r="A769"/>
  <c r="B769"/>
  <c r="E769"/>
  <c r="F769"/>
  <c r="G769"/>
  <c r="A770"/>
  <c r="B770"/>
  <c r="F770"/>
  <c r="G770"/>
  <c r="A771"/>
  <c r="B771"/>
  <c r="E771"/>
  <c r="F771"/>
  <c r="G771"/>
  <c r="A772"/>
  <c r="B772"/>
  <c r="F772"/>
  <c r="G772"/>
  <c r="A773"/>
  <c r="B773"/>
  <c r="E773"/>
  <c r="F773"/>
  <c r="G773"/>
  <c r="A774"/>
  <c r="B774"/>
  <c r="F774"/>
  <c r="G774"/>
  <c r="A775"/>
  <c r="B775"/>
  <c r="E775"/>
  <c r="F775"/>
  <c r="G775"/>
  <c r="A776"/>
  <c r="B776"/>
  <c r="F776"/>
  <c r="G776"/>
  <c r="A777"/>
  <c r="B777"/>
  <c r="E777"/>
  <c r="F777"/>
  <c r="G777"/>
  <c r="A778"/>
  <c r="B778"/>
  <c r="F778"/>
  <c r="G778"/>
  <c r="A779"/>
  <c r="B779"/>
  <c r="E779"/>
  <c r="F779"/>
  <c r="G779"/>
  <c r="A780"/>
  <c r="B780"/>
  <c r="F780"/>
  <c r="G780"/>
  <c r="A781"/>
  <c r="B781"/>
  <c r="E781"/>
  <c r="F781"/>
  <c r="G781"/>
  <c r="A782"/>
  <c r="B782"/>
  <c r="F782"/>
  <c r="G782"/>
  <c r="A783"/>
  <c r="B783"/>
  <c r="E783"/>
  <c r="I783" s="1"/>
  <c r="F783"/>
  <c r="G783"/>
  <c r="A784"/>
  <c r="B784"/>
  <c r="F784"/>
  <c r="G784"/>
  <c r="A785"/>
  <c r="B785"/>
  <c r="E785"/>
  <c r="F785"/>
  <c r="G785"/>
  <c r="A786"/>
  <c r="B786"/>
  <c r="F786"/>
  <c r="G786"/>
  <c r="A787"/>
  <c r="B787"/>
  <c r="E787"/>
  <c r="F787"/>
  <c r="G787"/>
  <c r="A788"/>
  <c r="B788"/>
  <c r="F788"/>
  <c r="G788"/>
  <c r="A789"/>
  <c r="B789"/>
  <c r="E789"/>
  <c r="F789"/>
  <c r="G789"/>
  <c r="A790"/>
  <c r="B790"/>
  <c r="F790"/>
  <c r="G790"/>
  <c r="A791"/>
  <c r="B791"/>
  <c r="E791"/>
  <c r="F791"/>
  <c r="G791"/>
  <c r="A792"/>
  <c r="B792"/>
  <c r="F792"/>
  <c r="G792"/>
  <c r="A793"/>
  <c r="B793"/>
  <c r="E793"/>
  <c r="I793" s="1"/>
  <c r="F793"/>
  <c r="G793"/>
  <c r="A794"/>
  <c r="E794" s="1"/>
  <c r="B794"/>
  <c r="F794"/>
  <c r="G794"/>
  <c r="A795"/>
  <c r="B795"/>
  <c r="E795"/>
  <c r="I795" s="1"/>
  <c r="F795"/>
  <c r="G795"/>
  <c r="A796"/>
  <c r="E796" s="1"/>
  <c r="B796"/>
  <c r="F796"/>
  <c r="G796"/>
  <c r="A797"/>
  <c r="B797"/>
  <c r="E797"/>
  <c r="I797" s="1"/>
  <c r="F797"/>
  <c r="G797"/>
  <c r="A798"/>
  <c r="E798" s="1"/>
  <c r="B798"/>
  <c r="F798"/>
  <c r="G798"/>
  <c r="A799"/>
  <c r="B799"/>
  <c r="E799"/>
  <c r="I799" s="1"/>
  <c r="F799"/>
  <c r="G799"/>
  <c r="A800"/>
  <c r="E800" s="1"/>
  <c r="B800"/>
  <c r="F800"/>
  <c r="G800"/>
  <c r="A801"/>
  <c r="B801"/>
  <c r="E801"/>
  <c r="I801" s="1"/>
  <c r="F801"/>
  <c r="G801"/>
  <c r="A802"/>
  <c r="E802" s="1"/>
  <c r="B802"/>
  <c r="F802"/>
  <c r="G802"/>
  <c r="A803"/>
  <c r="B803"/>
  <c r="E803"/>
  <c r="I803" s="1"/>
  <c r="F803"/>
  <c r="G803"/>
  <c r="A804"/>
  <c r="E804" s="1"/>
  <c r="B804"/>
  <c r="F804"/>
  <c r="G804"/>
  <c r="A805"/>
  <c r="H805" s="1"/>
  <c r="B805"/>
  <c r="E805"/>
  <c r="I805" s="1"/>
  <c r="F805"/>
  <c r="G805"/>
  <c r="A806"/>
  <c r="E806" s="1"/>
  <c r="B806"/>
  <c r="F806"/>
  <c r="G806"/>
  <c r="A807"/>
  <c r="H807" s="1"/>
  <c r="B807"/>
  <c r="E807"/>
  <c r="I807" s="1"/>
  <c r="F807"/>
  <c r="G807"/>
  <c r="A808"/>
  <c r="E808" s="1"/>
  <c r="B808"/>
  <c r="F808"/>
  <c r="G808"/>
  <c r="A809"/>
  <c r="H809" s="1"/>
  <c r="B809"/>
  <c r="E809"/>
  <c r="I809" s="1"/>
  <c r="F809"/>
  <c r="G809"/>
  <c r="A810"/>
  <c r="E810" s="1"/>
  <c r="B810"/>
  <c r="F810"/>
  <c r="G810"/>
  <c r="A811"/>
  <c r="H811" s="1"/>
  <c r="B811"/>
  <c r="E811"/>
  <c r="I811" s="1"/>
  <c r="F811"/>
  <c r="G811"/>
  <c r="A812"/>
  <c r="E812" s="1"/>
  <c r="B812"/>
  <c r="F812"/>
  <c r="G812"/>
  <c r="A813"/>
  <c r="H813" s="1"/>
  <c r="B813"/>
  <c r="E813"/>
  <c r="I813" s="1"/>
  <c r="F813"/>
  <c r="G813"/>
  <c r="A814"/>
  <c r="E814" s="1"/>
  <c r="B814"/>
  <c r="F814"/>
  <c r="G814"/>
  <c r="A815"/>
  <c r="H815" s="1"/>
  <c r="B815"/>
  <c r="E815"/>
  <c r="I815" s="1"/>
  <c r="F815"/>
  <c r="G815"/>
  <c r="A816"/>
  <c r="B816"/>
  <c r="F816"/>
  <c r="G816"/>
  <c r="A817"/>
  <c r="B817"/>
  <c r="E817"/>
  <c r="I817" s="1"/>
  <c r="F817"/>
  <c r="G817"/>
  <c r="A818"/>
  <c r="E818" s="1"/>
  <c r="B818"/>
  <c r="F818"/>
  <c r="G818"/>
  <c r="A819"/>
  <c r="B819"/>
  <c r="E819"/>
  <c r="I819" s="1"/>
  <c r="F819"/>
  <c r="G819"/>
  <c r="A820"/>
  <c r="E820" s="1"/>
  <c r="B820"/>
  <c r="F820"/>
  <c r="G820"/>
  <c r="A821"/>
  <c r="B821"/>
  <c r="E821"/>
  <c r="I821" s="1"/>
  <c r="F821"/>
  <c r="G821"/>
  <c r="A822"/>
  <c r="E822" s="1"/>
  <c r="B822"/>
  <c r="F822"/>
  <c r="G822"/>
  <c r="A823"/>
  <c r="B823"/>
  <c r="E823"/>
  <c r="I823" s="1"/>
  <c r="F823"/>
  <c r="G823"/>
  <c r="A824"/>
  <c r="E824" s="1"/>
  <c r="B824"/>
  <c r="F824"/>
  <c r="G824"/>
  <c r="A825"/>
  <c r="B825"/>
  <c r="E825"/>
  <c r="I825" s="1"/>
  <c r="F825"/>
  <c r="G825"/>
  <c r="A826"/>
  <c r="E826" s="1"/>
  <c r="B826"/>
  <c r="F826"/>
  <c r="G826"/>
  <c r="A827"/>
  <c r="B827"/>
  <c r="E827"/>
  <c r="I827" s="1"/>
  <c r="F827"/>
  <c r="G827"/>
  <c r="A828"/>
  <c r="E828" s="1"/>
  <c r="B828"/>
  <c r="F828"/>
  <c r="G828"/>
  <c r="A829"/>
  <c r="B829"/>
  <c r="E829"/>
  <c r="I829" s="1"/>
  <c r="F829"/>
  <c r="G829"/>
  <c r="A830"/>
  <c r="E830" s="1"/>
  <c r="B830"/>
  <c r="F830"/>
  <c r="G830"/>
  <c r="A831"/>
  <c r="B831"/>
  <c r="E831"/>
  <c r="I831" s="1"/>
  <c r="F831"/>
  <c r="G831"/>
  <c r="A832"/>
  <c r="E832" s="1"/>
  <c r="B832"/>
  <c r="F832"/>
  <c r="G832"/>
  <c r="A833"/>
  <c r="B833"/>
  <c r="E833"/>
  <c r="I833" s="1"/>
  <c r="F833"/>
  <c r="G833"/>
  <c r="A834"/>
  <c r="E834" s="1"/>
  <c r="B834"/>
  <c r="F834"/>
  <c r="G834"/>
  <c r="A835"/>
  <c r="B835"/>
  <c r="E835"/>
  <c r="I835" s="1"/>
  <c r="F835"/>
  <c r="G835"/>
  <c r="A836"/>
  <c r="E836" s="1"/>
  <c r="B836"/>
  <c r="F836"/>
  <c r="G836"/>
  <c r="A837"/>
  <c r="B837"/>
  <c r="E837"/>
  <c r="I837" s="1"/>
  <c r="F837"/>
  <c r="G837"/>
  <c r="A838"/>
  <c r="E838" s="1"/>
  <c r="B838"/>
  <c r="F838"/>
  <c r="G838"/>
  <c r="A839"/>
  <c r="B839"/>
  <c r="E839"/>
  <c r="I839" s="1"/>
  <c r="F839"/>
  <c r="G839"/>
  <c r="A840"/>
  <c r="E840" s="1"/>
  <c r="B840"/>
  <c r="F840"/>
  <c r="G840"/>
  <c r="A841"/>
  <c r="H841" s="1"/>
  <c r="B841"/>
  <c r="E841"/>
  <c r="I841" s="1"/>
  <c r="F841"/>
  <c r="G841"/>
  <c r="A842"/>
  <c r="E842" s="1"/>
  <c r="B842"/>
  <c r="F842"/>
  <c r="G842"/>
  <c r="A843"/>
  <c r="H843" s="1"/>
  <c r="B843"/>
  <c r="E843"/>
  <c r="I843" s="1"/>
  <c r="F843"/>
  <c r="G843"/>
  <c r="A844"/>
  <c r="E844" s="1"/>
  <c r="B844"/>
  <c r="F844"/>
  <c r="G844"/>
  <c r="A845"/>
  <c r="H845" s="1"/>
  <c r="B845"/>
  <c r="E845"/>
  <c r="I845" s="1"/>
  <c r="F845"/>
  <c r="G845"/>
  <c r="A846"/>
  <c r="E846" s="1"/>
  <c r="B846"/>
  <c r="F846"/>
  <c r="G846"/>
  <c r="A847"/>
  <c r="H847" s="1"/>
  <c r="B847"/>
  <c r="E847"/>
  <c r="I847" s="1"/>
  <c r="F847"/>
  <c r="G847"/>
  <c r="A848"/>
  <c r="E848" s="1"/>
  <c r="B848"/>
  <c r="F848"/>
  <c r="G848"/>
  <c r="A849"/>
  <c r="H849" s="1"/>
  <c r="B849"/>
  <c r="E849"/>
  <c r="I849" s="1"/>
  <c r="F849"/>
  <c r="G849"/>
  <c r="A850"/>
  <c r="E850" s="1"/>
  <c r="B850"/>
  <c r="F850"/>
  <c r="G850"/>
  <c r="A851"/>
  <c r="H851" s="1"/>
  <c r="B851"/>
  <c r="E851"/>
  <c r="I851" s="1"/>
  <c r="F851"/>
  <c r="G851"/>
  <c r="A852"/>
  <c r="E852" s="1"/>
  <c r="B852"/>
  <c r="F852"/>
  <c r="G852"/>
  <c r="A853"/>
  <c r="B853"/>
  <c r="E853"/>
  <c r="I853" s="1"/>
  <c r="F853"/>
  <c r="G853"/>
  <c r="A854"/>
  <c r="E854" s="1"/>
  <c r="B854"/>
  <c r="F854"/>
  <c r="G854"/>
  <c r="A855"/>
  <c r="B855"/>
  <c r="E855"/>
  <c r="I855" s="1"/>
  <c r="F855"/>
  <c r="G855"/>
  <c r="A856"/>
  <c r="E856" s="1"/>
  <c r="B856"/>
  <c r="F856"/>
  <c r="G856"/>
  <c r="A857"/>
  <c r="B857"/>
  <c r="E857"/>
  <c r="I857" s="1"/>
  <c r="F857"/>
  <c r="G857"/>
  <c r="A858"/>
  <c r="E858" s="1"/>
  <c r="B858"/>
  <c r="F858"/>
  <c r="G858"/>
  <c r="A859"/>
  <c r="B859"/>
  <c r="E859"/>
  <c r="I859" s="1"/>
  <c r="F859"/>
  <c r="G859"/>
  <c r="A860"/>
  <c r="E860" s="1"/>
  <c r="B860"/>
  <c r="F860"/>
  <c r="G860"/>
  <c r="A861"/>
  <c r="B861"/>
  <c r="E861"/>
  <c r="I861" s="1"/>
  <c r="F861"/>
  <c r="G861"/>
  <c r="A862"/>
  <c r="E862" s="1"/>
  <c r="B862"/>
  <c r="F862"/>
  <c r="G862"/>
  <c r="A863"/>
  <c r="B863"/>
  <c r="E863"/>
  <c r="I863" s="1"/>
  <c r="F863"/>
  <c r="G863"/>
  <c r="A864"/>
  <c r="E864" s="1"/>
  <c r="B864"/>
  <c r="F864"/>
  <c r="G864"/>
  <c r="A865"/>
  <c r="B865"/>
  <c r="E865"/>
  <c r="I865" s="1"/>
  <c r="F865"/>
  <c r="G865"/>
  <c r="A866"/>
  <c r="E866" s="1"/>
  <c r="B866"/>
  <c r="F866"/>
  <c r="G866"/>
  <c r="A867"/>
  <c r="B867"/>
  <c r="E867"/>
  <c r="I867" s="1"/>
  <c r="F867"/>
  <c r="G867"/>
  <c r="A868"/>
  <c r="E868" s="1"/>
  <c r="B868"/>
  <c r="F868"/>
  <c r="G868"/>
  <c r="A869"/>
  <c r="B869"/>
  <c r="E869"/>
  <c r="I869" s="1"/>
  <c r="F869"/>
  <c r="G869"/>
  <c r="A870"/>
  <c r="E870" s="1"/>
  <c r="B870"/>
  <c r="F870"/>
  <c r="G870"/>
  <c r="A871"/>
  <c r="B871"/>
  <c r="E871"/>
  <c r="I871" s="1"/>
  <c r="F871"/>
  <c r="G871"/>
  <c r="A872"/>
  <c r="E872" s="1"/>
  <c r="B872"/>
  <c r="F872"/>
  <c r="G872"/>
  <c r="A873"/>
  <c r="B873"/>
  <c r="E873"/>
  <c r="I873" s="1"/>
  <c r="F873"/>
  <c r="G873"/>
  <c r="A874"/>
  <c r="B874"/>
  <c r="F874"/>
  <c r="G874"/>
  <c r="A875"/>
  <c r="B875"/>
  <c r="E875"/>
  <c r="F875"/>
  <c r="G875"/>
  <c r="A876"/>
  <c r="B876"/>
  <c r="F876"/>
  <c r="G876"/>
  <c r="A877"/>
  <c r="B877"/>
  <c r="E877"/>
  <c r="F877"/>
  <c r="G877"/>
  <c r="A878"/>
  <c r="B878"/>
  <c r="F878"/>
  <c r="G878"/>
  <c r="A879"/>
  <c r="B879"/>
  <c r="E879"/>
  <c r="F879"/>
  <c r="G879"/>
  <c r="A880"/>
  <c r="B880"/>
  <c r="F880"/>
  <c r="G880"/>
  <c r="A881"/>
  <c r="B881"/>
  <c r="E881"/>
  <c r="F881"/>
  <c r="G881"/>
  <c r="A882"/>
  <c r="B882"/>
  <c r="F882"/>
  <c r="G882"/>
  <c r="A883"/>
  <c r="B883"/>
  <c r="E883"/>
  <c r="I883" s="1"/>
  <c r="F883"/>
  <c r="G883"/>
  <c r="A884"/>
  <c r="E884" s="1"/>
  <c r="B884"/>
  <c r="F884"/>
  <c r="G884"/>
  <c r="A885"/>
  <c r="B885"/>
  <c r="E885"/>
  <c r="I885" s="1"/>
  <c r="F885"/>
  <c r="G885"/>
  <c r="A886"/>
  <c r="E886" s="1"/>
  <c r="B886"/>
  <c r="F886"/>
  <c r="G886"/>
  <c r="A887"/>
  <c r="B887"/>
  <c r="E887"/>
  <c r="I887" s="1"/>
  <c r="F887"/>
  <c r="G887"/>
  <c r="A888"/>
  <c r="E888" s="1"/>
  <c r="B888"/>
  <c r="F888"/>
  <c r="G888"/>
  <c r="A889"/>
  <c r="B889"/>
  <c r="E889"/>
  <c r="I889" s="1"/>
  <c r="F889"/>
  <c r="G889"/>
  <c r="A890"/>
  <c r="E890" s="1"/>
  <c r="B890"/>
  <c r="F890"/>
  <c r="G890"/>
  <c r="A891"/>
  <c r="B891"/>
  <c r="E891"/>
  <c r="I891" s="1"/>
  <c r="F891"/>
  <c r="G891"/>
  <c r="A892"/>
  <c r="E892" s="1"/>
  <c r="B892"/>
  <c r="F892"/>
  <c r="G892"/>
  <c r="A893"/>
  <c r="B893"/>
  <c r="E893"/>
  <c r="I893" s="1"/>
  <c r="F893"/>
  <c r="G893"/>
  <c r="A894"/>
  <c r="E894" s="1"/>
  <c r="B894"/>
  <c r="F894"/>
  <c r="G894"/>
  <c r="A895"/>
  <c r="B895"/>
  <c r="E895"/>
  <c r="I895" s="1"/>
  <c r="F895"/>
  <c r="G895"/>
  <c r="A896"/>
  <c r="B896"/>
  <c r="F896"/>
  <c r="G896"/>
  <c r="A897"/>
  <c r="B897"/>
  <c r="E897"/>
  <c r="F897"/>
  <c r="G897"/>
  <c r="A898"/>
  <c r="B898"/>
  <c r="F898"/>
  <c r="G898"/>
  <c r="A899"/>
  <c r="B899"/>
  <c r="E899"/>
  <c r="F899"/>
  <c r="G899"/>
  <c r="A900"/>
  <c r="B900"/>
  <c r="F900"/>
  <c r="G900"/>
  <c r="A901"/>
  <c r="B901"/>
  <c r="E901"/>
  <c r="F901"/>
  <c r="G901"/>
  <c r="A902"/>
  <c r="B902"/>
  <c r="F902"/>
  <c r="G902"/>
  <c r="A903"/>
  <c r="B903"/>
  <c r="E903"/>
  <c r="F903"/>
  <c r="G903"/>
  <c r="A904"/>
  <c r="B904"/>
  <c r="F904"/>
  <c r="G904"/>
  <c r="A905"/>
  <c r="B905"/>
  <c r="E905"/>
  <c r="F905"/>
  <c r="G905"/>
  <c r="A906"/>
  <c r="E906" s="1"/>
  <c r="B906"/>
  <c r="F906"/>
  <c r="G906"/>
  <c r="A907"/>
  <c r="H907" s="1"/>
  <c r="B907"/>
  <c r="E907"/>
  <c r="I907" s="1"/>
  <c r="F907"/>
  <c r="G907"/>
  <c r="A908"/>
  <c r="E908" s="1"/>
  <c r="B908"/>
  <c r="F908"/>
  <c r="G908"/>
  <c r="A909"/>
  <c r="H909" s="1"/>
  <c r="B909"/>
  <c r="E909"/>
  <c r="I909" s="1"/>
  <c r="F909"/>
  <c r="G909"/>
  <c r="A910"/>
  <c r="E910" s="1"/>
  <c r="B910"/>
  <c r="F910"/>
  <c r="G910"/>
  <c r="A911"/>
  <c r="H911" s="1"/>
  <c r="B911"/>
  <c r="E911"/>
  <c r="I911" s="1"/>
  <c r="F911"/>
  <c r="G911"/>
  <c r="A912"/>
  <c r="E912" s="1"/>
  <c r="B912"/>
  <c r="F912"/>
  <c r="G912"/>
  <c r="A913"/>
  <c r="H913" s="1"/>
  <c r="B913"/>
  <c r="E913"/>
  <c r="I913" s="1"/>
  <c r="F913"/>
  <c r="G913"/>
  <c r="A914"/>
  <c r="E914" s="1"/>
  <c r="B914"/>
  <c r="F914"/>
  <c r="G914"/>
  <c r="A915"/>
  <c r="H915" s="1"/>
  <c r="B915"/>
  <c r="E915"/>
  <c r="I915" s="1"/>
  <c r="F915"/>
  <c r="G915"/>
  <c r="A916"/>
  <c r="E916" s="1"/>
  <c r="B916"/>
  <c r="F916"/>
  <c r="G916"/>
  <c r="A917"/>
  <c r="B917"/>
  <c r="E917"/>
  <c r="I917" s="1"/>
  <c r="F917"/>
  <c r="G917"/>
  <c r="A918"/>
  <c r="E918" s="1"/>
  <c r="B918"/>
  <c r="F918"/>
  <c r="G918"/>
  <c r="A919"/>
  <c r="B919"/>
  <c r="E919"/>
  <c r="I919" s="1"/>
  <c r="F919"/>
  <c r="G919"/>
  <c r="A920"/>
  <c r="E920" s="1"/>
  <c r="B920"/>
  <c r="F920"/>
  <c r="G920"/>
  <c r="A921"/>
  <c r="B921"/>
  <c r="E921"/>
  <c r="I921" s="1"/>
  <c r="F921"/>
  <c r="G921"/>
  <c r="A922"/>
  <c r="E922" s="1"/>
  <c r="B922"/>
  <c r="F922"/>
  <c r="G922"/>
  <c r="A923"/>
  <c r="B923"/>
  <c r="E923"/>
  <c r="I923" s="1"/>
  <c r="F923"/>
  <c r="G923"/>
  <c r="A924"/>
  <c r="E924" s="1"/>
  <c r="B924"/>
  <c r="F924"/>
  <c r="G924"/>
  <c r="A925"/>
  <c r="B925"/>
  <c r="E925"/>
  <c r="I925" s="1"/>
  <c r="F925"/>
  <c r="G925"/>
  <c r="A926"/>
  <c r="E926" s="1"/>
  <c r="B926"/>
  <c r="F926"/>
  <c r="G926"/>
  <c r="A927"/>
  <c r="B927"/>
  <c r="E927"/>
  <c r="I927" s="1"/>
  <c r="F927"/>
  <c r="G927"/>
  <c r="A928"/>
  <c r="E928" s="1"/>
  <c r="B928"/>
  <c r="F928"/>
  <c r="G928"/>
  <c r="A929"/>
  <c r="B929"/>
  <c r="E929"/>
  <c r="I929" s="1"/>
  <c r="F929"/>
  <c r="G929"/>
  <c r="A930"/>
  <c r="E930" s="1"/>
  <c r="B930"/>
  <c r="F930"/>
  <c r="G930"/>
  <c r="A931"/>
  <c r="B931"/>
  <c r="E931"/>
  <c r="I931" s="1"/>
  <c r="F931"/>
  <c r="G931"/>
  <c r="A932"/>
  <c r="E932" s="1"/>
  <c r="B932"/>
  <c r="F932"/>
  <c r="G932"/>
  <c r="A933"/>
  <c r="B933"/>
  <c r="E933"/>
  <c r="I933" s="1"/>
  <c r="F933"/>
  <c r="G933"/>
  <c r="A934"/>
  <c r="E934" s="1"/>
  <c r="B934"/>
  <c r="F934"/>
  <c r="G934"/>
  <c r="A935"/>
  <c r="B935"/>
  <c r="E935"/>
  <c r="I935" s="1"/>
  <c r="F935"/>
  <c r="G935"/>
  <c r="A936"/>
  <c r="E936" s="1"/>
  <c r="B936"/>
  <c r="F936"/>
  <c r="G936"/>
  <c r="A937"/>
  <c r="B937"/>
  <c r="E937"/>
  <c r="I937" s="1"/>
  <c r="F937"/>
  <c r="G937"/>
  <c r="A938"/>
  <c r="E938" s="1"/>
  <c r="B938"/>
  <c r="F938"/>
  <c r="G938"/>
  <c r="A939"/>
  <c r="B939"/>
  <c r="E939"/>
  <c r="I939" s="1"/>
  <c r="F939"/>
  <c r="G939"/>
  <c r="A940"/>
  <c r="E940" s="1"/>
  <c r="B940"/>
  <c r="F940"/>
  <c r="G940"/>
  <c r="A941"/>
  <c r="B941"/>
  <c r="E941"/>
  <c r="I941" s="1"/>
  <c r="F941"/>
  <c r="G941"/>
  <c r="A942"/>
  <c r="B942"/>
  <c r="F942"/>
  <c r="G942"/>
  <c r="A943"/>
  <c r="B943"/>
  <c r="E943"/>
  <c r="F943"/>
  <c r="G943"/>
  <c r="A944"/>
  <c r="B944"/>
  <c r="F944"/>
  <c r="G944"/>
  <c r="A945"/>
  <c r="B945"/>
  <c r="E945"/>
  <c r="F945"/>
  <c r="G945"/>
  <c r="A946"/>
  <c r="B946"/>
  <c r="F946"/>
  <c r="G946"/>
  <c r="A947"/>
  <c r="B947"/>
  <c r="E947"/>
  <c r="F947"/>
  <c r="G947"/>
  <c r="A948"/>
  <c r="B948"/>
  <c r="F948"/>
  <c r="G948"/>
  <c r="A949"/>
  <c r="B949"/>
  <c r="E949"/>
  <c r="F949"/>
  <c r="G949"/>
  <c r="A950"/>
  <c r="B950"/>
  <c r="F950"/>
  <c r="G950"/>
  <c r="A951"/>
  <c r="B951"/>
  <c r="E951"/>
  <c r="I951" s="1"/>
  <c r="F951"/>
  <c r="G951"/>
  <c r="A952"/>
  <c r="E952" s="1"/>
  <c r="B952"/>
  <c r="F952"/>
  <c r="G952"/>
  <c r="A953"/>
  <c r="B953"/>
  <c r="E953"/>
  <c r="I953" s="1"/>
  <c r="F953"/>
  <c r="G953"/>
  <c r="A954"/>
  <c r="E954" s="1"/>
  <c r="B954"/>
  <c r="F954"/>
  <c r="G954"/>
  <c r="A955"/>
  <c r="B955"/>
  <c r="E955"/>
  <c r="I955" s="1"/>
  <c r="F955"/>
  <c r="G955"/>
  <c r="A956"/>
  <c r="E956" s="1"/>
  <c r="B956"/>
  <c r="F956"/>
  <c r="G956"/>
  <c r="A957"/>
  <c r="B957"/>
  <c r="E957"/>
  <c r="I957" s="1"/>
  <c r="F957"/>
  <c r="G957"/>
  <c r="A958"/>
  <c r="E958" s="1"/>
  <c r="B958"/>
  <c r="F958"/>
  <c r="G958"/>
  <c r="A959"/>
  <c r="B959"/>
  <c r="E959"/>
  <c r="I959" s="1"/>
  <c r="F959"/>
  <c r="G959"/>
  <c r="A960"/>
  <c r="E960" s="1"/>
  <c r="B960"/>
  <c r="F960"/>
  <c r="G960"/>
  <c r="A961"/>
  <c r="B961"/>
  <c r="E961"/>
  <c r="I961" s="1"/>
  <c r="F961"/>
  <c r="G961"/>
  <c r="A962"/>
  <c r="E962" s="1"/>
  <c r="B962"/>
  <c r="F962"/>
  <c r="G962"/>
  <c r="A963"/>
  <c r="B963"/>
  <c r="E963"/>
  <c r="I963" s="1"/>
  <c r="F963"/>
  <c r="G963"/>
  <c r="A964"/>
  <c r="E964" s="1"/>
  <c r="B964"/>
  <c r="F964"/>
  <c r="G964"/>
  <c r="A965"/>
  <c r="B965"/>
  <c r="E965"/>
  <c r="I965" s="1"/>
  <c r="F965"/>
  <c r="G965"/>
  <c r="A966"/>
  <c r="E966" s="1"/>
  <c r="B966"/>
  <c r="F966"/>
  <c r="G966"/>
  <c r="A967"/>
  <c r="B967"/>
  <c r="E967"/>
  <c r="I967" s="1"/>
  <c r="F967"/>
  <c r="G967"/>
  <c r="A968"/>
  <c r="E968" s="1"/>
  <c r="B968"/>
  <c r="F968"/>
  <c r="G968"/>
  <c r="A969"/>
  <c r="B969"/>
  <c r="E969"/>
  <c r="I969" s="1"/>
  <c r="F969"/>
  <c r="G969"/>
  <c r="A970"/>
  <c r="E970" s="1"/>
  <c r="B970"/>
  <c r="F970"/>
  <c r="G970"/>
  <c r="A971"/>
  <c r="B971"/>
  <c r="E971"/>
  <c r="I971" s="1"/>
  <c r="F971"/>
  <c r="G971"/>
  <c r="A972"/>
  <c r="E972" s="1"/>
  <c r="B972"/>
  <c r="F972"/>
  <c r="G972"/>
  <c r="A973"/>
  <c r="B973"/>
  <c r="E973"/>
  <c r="I973" s="1"/>
  <c r="F973"/>
  <c r="G973"/>
  <c r="A974"/>
  <c r="E974" s="1"/>
  <c r="B974"/>
  <c r="F974"/>
  <c r="G974"/>
  <c r="A975"/>
  <c r="B975"/>
  <c r="E975"/>
  <c r="I975" s="1"/>
  <c r="F975"/>
  <c r="G975"/>
  <c r="A976"/>
  <c r="E976" s="1"/>
  <c r="B976"/>
  <c r="F976"/>
  <c r="G976"/>
  <c r="A977"/>
  <c r="B977"/>
  <c r="E977"/>
  <c r="I977" s="1"/>
  <c r="F977"/>
  <c r="G977"/>
  <c r="A978"/>
  <c r="E978" s="1"/>
  <c r="B978"/>
  <c r="F978"/>
  <c r="G978"/>
  <c r="A979"/>
  <c r="B979"/>
  <c r="E979"/>
  <c r="I979" s="1"/>
  <c r="F979"/>
  <c r="G979"/>
  <c r="A980"/>
  <c r="E980" s="1"/>
  <c r="B980"/>
  <c r="F980"/>
  <c r="G980"/>
  <c r="A981"/>
  <c r="B981"/>
  <c r="E981"/>
  <c r="I981" s="1"/>
  <c r="F981"/>
  <c r="G981"/>
  <c r="A982"/>
  <c r="E982" s="1"/>
  <c r="B982"/>
  <c r="F982"/>
  <c r="G982"/>
  <c r="A983"/>
  <c r="B983"/>
  <c r="E983"/>
  <c r="I983" s="1"/>
  <c r="F983"/>
  <c r="G983"/>
  <c r="A984"/>
  <c r="E984" s="1"/>
  <c r="B984"/>
  <c r="F984"/>
  <c r="G984"/>
  <c r="A985"/>
  <c r="B985"/>
  <c r="E985"/>
  <c r="I985" s="1"/>
  <c r="F985"/>
  <c r="G985"/>
  <c r="A986"/>
  <c r="E986" s="1"/>
  <c r="B986"/>
  <c r="F986"/>
  <c r="G986"/>
  <c r="A987"/>
  <c r="H987" s="1"/>
  <c r="B987"/>
  <c r="E987"/>
  <c r="I987" s="1"/>
  <c r="F987"/>
  <c r="G987"/>
  <c r="A988"/>
  <c r="E988" s="1"/>
  <c r="B988"/>
  <c r="F988"/>
  <c r="G988"/>
  <c r="A989"/>
  <c r="H989" s="1"/>
  <c r="B989"/>
  <c r="E989"/>
  <c r="I989" s="1"/>
  <c r="F989"/>
  <c r="G989"/>
  <c r="A990"/>
  <c r="E990" s="1"/>
  <c r="B990"/>
  <c r="F990"/>
  <c r="G990"/>
  <c r="A991"/>
  <c r="H991" s="1"/>
  <c r="B991"/>
  <c r="E991"/>
  <c r="I991" s="1"/>
  <c r="F991"/>
  <c r="G991"/>
  <c r="A992"/>
  <c r="E992" s="1"/>
  <c r="B992"/>
  <c r="F992"/>
  <c r="G992"/>
  <c r="A993"/>
  <c r="H993" s="1"/>
  <c r="B993"/>
  <c r="E993"/>
  <c r="I993" s="1"/>
  <c r="F993"/>
  <c r="G993"/>
  <c r="A994"/>
  <c r="E994" s="1"/>
  <c r="B994"/>
  <c r="F994"/>
  <c r="G994"/>
  <c r="A995"/>
  <c r="H995" s="1"/>
  <c r="B995"/>
  <c r="E995"/>
  <c r="I995" s="1"/>
  <c r="F995"/>
  <c r="G995"/>
  <c r="A996"/>
  <c r="E996" s="1"/>
  <c r="B996"/>
  <c r="F996"/>
  <c r="G996"/>
  <c r="A997"/>
  <c r="H997" s="1"/>
  <c r="B997"/>
  <c r="E997"/>
  <c r="I997" s="1"/>
  <c r="F997"/>
  <c r="G997"/>
  <c r="A998"/>
  <c r="E998" s="1"/>
  <c r="B998"/>
  <c r="F998"/>
  <c r="G998"/>
  <c r="A999"/>
  <c r="B999"/>
  <c r="E999"/>
  <c r="I999" s="1"/>
  <c r="F999"/>
  <c r="G999"/>
  <c r="A1000"/>
  <c r="E1000" s="1"/>
  <c r="B1000"/>
  <c r="F1000"/>
  <c r="G1000"/>
  <c r="A1001"/>
  <c r="B1001"/>
  <c r="E1001"/>
  <c r="I1001" s="1"/>
  <c r="F1001"/>
  <c r="G1001"/>
  <c r="A1002"/>
  <c r="E1002" s="1"/>
  <c r="B1002"/>
  <c r="F1002"/>
  <c r="G1002"/>
  <c r="A1003"/>
  <c r="B1003"/>
  <c r="E1003"/>
  <c r="I1003" s="1"/>
  <c r="F1003"/>
  <c r="G1003"/>
  <c r="A1004"/>
  <c r="E1004" s="1"/>
  <c r="B1004"/>
  <c r="F1004"/>
  <c r="G1004"/>
  <c r="A1005"/>
  <c r="B1005"/>
  <c r="E1005"/>
  <c r="I1005" s="1"/>
  <c r="F1005"/>
  <c r="G1005"/>
  <c r="A1006"/>
  <c r="E1006" s="1"/>
  <c r="B1006"/>
  <c r="F1006"/>
  <c r="G1006"/>
  <c r="A1007"/>
  <c r="B1007"/>
  <c r="E1007"/>
  <c r="I1007" s="1"/>
  <c r="F1007"/>
  <c r="G1007"/>
  <c r="A1008"/>
  <c r="E1008" s="1"/>
  <c r="B1008"/>
  <c r="F1008"/>
  <c r="G1008"/>
  <c r="A1009"/>
  <c r="B1009"/>
  <c r="E1009"/>
  <c r="I1009" s="1"/>
  <c r="F1009"/>
  <c r="G1009"/>
  <c r="A1010"/>
  <c r="E1010" s="1"/>
  <c r="B1010"/>
  <c r="F1010"/>
  <c r="G1010"/>
  <c r="A1011"/>
  <c r="B1011"/>
  <c r="E1011"/>
  <c r="I1011" s="1"/>
  <c r="F1011"/>
  <c r="G1011"/>
  <c r="A1012"/>
  <c r="E1012" s="1"/>
  <c r="B1012"/>
  <c r="F1012"/>
  <c r="G1012"/>
  <c r="A1013"/>
  <c r="B1013"/>
  <c r="E1013"/>
  <c r="I1013" s="1"/>
  <c r="F1013"/>
  <c r="G1013"/>
  <c r="A1014"/>
  <c r="E1014" s="1"/>
  <c r="B1014"/>
  <c r="F1014"/>
  <c r="G1014"/>
  <c r="A1015"/>
  <c r="B1015"/>
  <c r="E1015"/>
  <c r="I1015" s="1"/>
  <c r="F1015"/>
  <c r="G1015"/>
  <c r="A1016"/>
  <c r="E1016" s="1"/>
  <c r="B1016"/>
  <c r="F1016"/>
  <c r="G1016"/>
  <c r="A1017"/>
  <c r="B1017"/>
  <c r="E1017"/>
  <c r="I1017" s="1"/>
  <c r="F1017"/>
  <c r="G1017"/>
  <c r="A1018"/>
  <c r="E1018" s="1"/>
  <c r="B1018"/>
  <c r="F1018"/>
  <c r="G1018"/>
  <c r="A1019"/>
  <c r="B1019"/>
  <c r="E1019"/>
  <c r="I1019" s="1"/>
  <c r="F1019"/>
  <c r="G1019"/>
  <c r="A1020"/>
  <c r="E1020" s="1"/>
  <c r="B1020"/>
  <c r="F1020"/>
  <c r="G1020"/>
  <c r="A1021"/>
  <c r="B1021"/>
  <c r="E1021"/>
  <c r="I1021" s="1"/>
  <c r="F1021"/>
  <c r="G1021"/>
  <c r="A1022"/>
  <c r="E1022" s="1"/>
  <c r="B1022"/>
  <c r="F1022"/>
  <c r="G1022"/>
  <c r="A1023"/>
  <c r="B1023"/>
  <c r="E1023"/>
  <c r="I1023" s="1"/>
  <c r="F1023"/>
  <c r="G1023"/>
  <c r="A1024"/>
  <c r="E1024" s="1"/>
  <c r="B1024"/>
  <c r="F1024"/>
  <c r="G1024"/>
  <c r="A1025"/>
  <c r="B1025"/>
  <c r="E1025"/>
  <c r="I1025" s="1"/>
  <c r="F1025"/>
  <c r="G1025"/>
  <c r="A1026"/>
  <c r="E1026" s="1"/>
  <c r="B1026"/>
  <c r="F1026"/>
  <c r="G1026"/>
  <c r="A1027"/>
  <c r="B1027"/>
  <c r="E1027"/>
  <c r="I1027" s="1"/>
  <c r="F1027"/>
  <c r="G1027"/>
  <c r="A1028"/>
  <c r="E1028" s="1"/>
  <c r="B1028"/>
  <c r="F1028"/>
  <c r="G1028"/>
  <c r="A1029"/>
  <c r="B1029"/>
  <c r="E1029"/>
  <c r="I1029" s="1"/>
  <c r="F1029"/>
  <c r="G1029"/>
  <c r="A1030"/>
  <c r="E1030" s="1"/>
  <c r="B1030"/>
  <c r="F1030"/>
  <c r="G1030"/>
  <c r="A1031"/>
  <c r="B1031"/>
  <c r="E1031"/>
  <c r="I1031" s="1"/>
  <c r="F1031"/>
  <c r="G1031"/>
  <c r="A1032"/>
  <c r="E1032" s="1"/>
  <c r="B1032"/>
  <c r="F1032"/>
  <c r="G1032"/>
  <c r="A1033"/>
  <c r="B1033"/>
  <c r="E1033"/>
  <c r="I1033" s="1"/>
  <c r="F1033"/>
  <c r="G1033"/>
  <c r="A1034"/>
  <c r="E1034" s="1"/>
  <c r="B1034"/>
  <c r="F1034"/>
  <c r="G1034"/>
  <c r="A1035"/>
  <c r="B1035"/>
  <c r="E1035"/>
  <c r="I1035" s="1"/>
  <c r="F1035"/>
  <c r="G1035"/>
  <c r="A1036"/>
  <c r="E1036" s="1"/>
  <c r="B1036"/>
  <c r="F1036"/>
  <c r="G1036"/>
  <c r="A1037"/>
  <c r="B1037"/>
  <c r="E1037"/>
  <c r="I1037" s="1"/>
  <c r="F1037"/>
  <c r="G1037"/>
  <c r="A1038"/>
  <c r="E1038" s="1"/>
  <c r="B1038"/>
  <c r="F1038"/>
  <c r="G1038"/>
  <c r="A1039"/>
  <c r="B1039"/>
  <c r="E1039"/>
  <c r="I1039" s="1"/>
  <c r="F1039"/>
  <c r="G1039"/>
  <c r="A1040"/>
  <c r="E1040" s="1"/>
  <c r="B1040"/>
  <c r="F1040"/>
  <c r="G1040"/>
  <c r="A1041"/>
  <c r="B1041"/>
  <c r="E1041"/>
  <c r="I1041" s="1"/>
  <c r="F1041"/>
  <c r="G1041"/>
  <c r="A1042"/>
  <c r="E1042" s="1"/>
  <c r="B1042"/>
  <c r="F1042"/>
  <c r="G1042"/>
  <c r="A1043"/>
  <c r="B1043"/>
  <c r="E1043"/>
  <c r="I1043" s="1"/>
  <c r="F1043"/>
  <c r="G1043"/>
  <c r="A1044"/>
  <c r="E1044" s="1"/>
  <c r="I1044" s="1"/>
  <c r="B1044"/>
  <c r="F1044"/>
  <c r="G1044"/>
  <c r="A1045"/>
  <c r="B1045"/>
  <c r="E1045"/>
  <c r="F1045"/>
  <c r="G1045"/>
  <c r="A1046"/>
  <c r="E1046" s="1"/>
  <c r="I1046" s="1"/>
  <c r="B1046"/>
  <c r="F1046"/>
  <c r="G1046"/>
  <c r="A1047"/>
  <c r="B1047"/>
  <c r="E1047"/>
  <c r="F1047"/>
  <c r="G1047"/>
  <c r="A1048"/>
  <c r="E1048" s="1"/>
  <c r="I1048" s="1"/>
  <c r="B1048"/>
  <c r="F1048"/>
  <c r="G1048"/>
  <c r="A1049"/>
  <c r="B1049"/>
  <c r="E1049"/>
  <c r="F1049"/>
  <c r="G1049"/>
  <c r="A1050"/>
  <c r="E1050" s="1"/>
  <c r="I1050" s="1"/>
  <c r="B1050"/>
  <c r="F1050"/>
  <c r="G1050"/>
  <c r="A1051"/>
  <c r="B1051"/>
  <c r="E1051"/>
  <c r="F1051"/>
  <c r="G1051"/>
  <c r="A1052"/>
  <c r="E1052" s="1"/>
  <c r="I1052" s="1"/>
  <c r="B1052"/>
  <c r="F1052"/>
  <c r="G1052"/>
  <c r="A1053"/>
  <c r="B1053"/>
  <c r="E1053"/>
  <c r="F1053"/>
  <c r="G1053"/>
  <c r="A1054"/>
  <c r="E1054" s="1"/>
  <c r="I1054" s="1"/>
  <c r="B1054"/>
  <c r="F1054"/>
  <c r="G1054"/>
  <c r="A1055"/>
  <c r="B1055"/>
  <c r="E1055"/>
  <c r="F1055"/>
  <c r="G1055"/>
  <c r="A1056"/>
  <c r="E1056" s="1"/>
  <c r="I1056" s="1"/>
  <c r="B1056"/>
  <c r="F1056"/>
  <c r="G1056"/>
  <c r="A1057"/>
  <c r="B1057"/>
  <c r="E1057"/>
  <c r="I1057" s="1"/>
  <c r="F1057"/>
  <c r="G1057"/>
  <c r="A1058"/>
  <c r="E1058" s="1"/>
  <c r="B1058"/>
  <c r="F1058"/>
  <c r="G1058"/>
  <c r="A1059"/>
  <c r="B1059"/>
  <c r="E1059"/>
  <c r="I1059" s="1"/>
  <c r="F1059"/>
  <c r="G1059"/>
  <c r="A1060"/>
  <c r="E1060" s="1"/>
  <c r="B1060"/>
  <c r="F1060"/>
  <c r="G1060"/>
  <c r="A1061"/>
  <c r="B1061"/>
  <c r="E1061"/>
  <c r="I1061" s="1"/>
  <c r="F1061"/>
  <c r="G1061"/>
  <c r="A1062"/>
  <c r="E1062" s="1"/>
  <c r="B1062"/>
  <c r="F1062"/>
  <c r="G1062"/>
  <c r="A1063"/>
  <c r="B1063"/>
  <c r="E1063"/>
  <c r="I1063" s="1"/>
  <c r="F1063"/>
  <c r="G1063"/>
  <c r="A1064"/>
  <c r="E1064" s="1"/>
  <c r="B1064"/>
  <c r="F1064"/>
  <c r="G1064"/>
  <c r="A1065"/>
  <c r="B1065"/>
  <c r="E1065"/>
  <c r="I1065" s="1"/>
  <c r="F1065"/>
  <c r="G1065"/>
  <c r="A1066"/>
  <c r="E1066" s="1"/>
  <c r="I1066" s="1"/>
  <c r="B1066"/>
  <c r="F1066"/>
  <c r="G1066"/>
  <c r="A1067"/>
  <c r="B1067"/>
  <c r="E1067"/>
  <c r="F1067"/>
  <c r="G1067"/>
  <c r="A1068"/>
  <c r="E1068" s="1"/>
  <c r="I1068" s="1"/>
  <c r="B1068"/>
  <c r="F1068"/>
  <c r="G1068"/>
  <c r="A1069"/>
  <c r="B1069"/>
  <c r="E1069"/>
  <c r="F1069"/>
  <c r="G1069"/>
  <c r="A1070"/>
  <c r="E1070" s="1"/>
  <c r="I1070" s="1"/>
  <c r="B1070"/>
  <c r="F1070"/>
  <c r="G1070"/>
  <c r="A1071"/>
  <c r="B1071"/>
  <c r="E1071"/>
  <c r="F1071"/>
  <c r="G1071"/>
  <c r="A1072"/>
  <c r="E1072" s="1"/>
  <c r="I1072" s="1"/>
  <c r="B1072"/>
  <c r="F1072"/>
  <c r="G1072"/>
  <c r="A1073"/>
  <c r="B1073"/>
  <c r="E1073"/>
  <c r="F1073"/>
  <c r="G1073"/>
  <c r="A1074"/>
  <c r="E1074" s="1"/>
  <c r="I1074" s="1"/>
  <c r="B1074"/>
  <c r="F1074"/>
  <c r="G1074"/>
  <c r="A1075"/>
  <c r="B1075"/>
  <c r="E1075"/>
  <c r="F1075"/>
  <c r="G1075"/>
  <c r="A1076"/>
  <c r="E1076" s="1"/>
  <c r="I1076" s="1"/>
  <c r="B1076"/>
  <c r="F1076"/>
  <c r="G1076"/>
  <c r="A1077"/>
  <c r="B1077"/>
  <c r="E1077"/>
  <c r="F1077"/>
  <c r="G1077"/>
  <c r="A1078"/>
  <c r="E1078" s="1"/>
  <c r="I1078" s="1"/>
  <c r="B1078"/>
  <c r="F1078"/>
  <c r="G1078"/>
  <c r="A1079"/>
  <c r="B1079"/>
  <c r="E1079"/>
  <c r="F1079"/>
  <c r="G1079"/>
  <c r="A1080"/>
  <c r="E1080" s="1"/>
  <c r="I1080" s="1"/>
  <c r="B1080"/>
  <c r="F1080"/>
  <c r="G1080"/>
  <c r="A1081"/>
  <c r="B1081"/>
  <c r="E1081"/>
  <c r="F1081"/>
  <c r="G1081"/>
  <c r="A1082"/>
  <c r="E1082" s="1"/>
  <c r="I1082" s="1"/>
  <c r="B1082"/>
  <c r="F1082"/>
  <c r="G1082"/>
  <c r="A1083"/>
  <c r="B1083"/>
  <c r="E1083"/>
  <c r="F1083"/>
  <c r="G1083"/>
  <c r="A1084"/>
  <c r="E1084" s="1"/>
  <c r="I1084" s="1"/>
  <c r="B1084"/>
  <c r="F1084"/>
  <c r="G1084"/>
  <c r="A1085"/>
  <c r="B1085"/>
  <c r="E1085"/>
  <c r="F1085"/>
  <c r="G1085"/>
  <c r="A1086"/>
  <c r="E1086" s="1"/>
  <c r="I1086" s="1"/>
  <c r="B1086"/>
  <c r="F1086"/>
  <c r="G1086"/>
  <c r="A1087"/>
  <c r="B1087"/>
  <c r="E1087"/>
  <c r="F1087"/>
  <c r="G1087"/>
  <c r="A1088"/>
  <c r="E1088" s="1"/>
  <c r="I1088" s="1"/>
  <c r="B1088"/>
  <c r="F1088"/>
  <c r="G1088"/>
  <c r="A1089"/>
  <c r="B1089"/>
  <c r="E1089"/>
  <c r="F1089"/>
  <c r="G1089"/>
  <c r="A1090"/>
  <c r="E1090" s="1"/>
  <c r="B1090"/>
  <c r="F1090"/>
  <c r="G1090"/>
  <c r="A1091"/>
  <c r="H1091" s="1"/>
  <c r="B1091"/>
  <c r="E1091"/>
  <c r="I1091" s="1"/>
  <c r="F1091"/>
  <c r="G1091"/>
  <c r="A1092"/>
  <c r="E1092" s="1"/>
  <c r="B1092"/>
  <c r="F1092"/>
  <c r="G1092"/>
  <c r="A1093"/>
  <c r="H1093" s="1"/>
  <c r="B1093"/>
  <c r="E1093"/>
  <c r="I1093" s="1"/>
  <c r="F1093"/>
  <c r="G1093"/>
  <c r="A1094"/>
  <c r="E1094" s="1"/>
  <c r="B1094"/>
  <c r="F1094"/>
  <c r="G1094"/>
  <c r="A1095"/>
  <c r="H1095" s="1"/>
  <c r="B1095"/>
  <c r="E1095"/>
  <c r="I1095" s="1"/>
  <c r="F1095"/>
  <c r="G1095"/>
  <c r="A1096"/>
  <c r="E1096" s="1"/>
  <c r="B1096"/>
  <c r="F1096"/>
  <c r="G1096"/>
  <c r="A1097"/>
  <c r="H1097" s="1"/>
  <c r="B1097"/>
  <c r="E1097"/>
  <c r="I1097" s="1"/>
  <c r="F1097"/>
  <c r="G1097"/>
  <c r="A1098"/>
  <c r="E1098" s="1"/>
  <c r="B1098"/>
  <c r="F1098"/>
  <c r="G1098"/>
  <c r="A1099"/>
  <c r="H1099" s="1"/>
  <c r="B1099"/>
  <c r="E1099"/>
  <c r="I1099" s="1"/>
  <c r="F1099"/>
  <c r="G1099"/>
  <c r="A1100"/>
  <c r="E1100" s="1"/>
  <c r="I1100" s="1"/>
  <c r="B1100"/>
  <c r="F1100"/>
  <c r="G1100"/>
  <c r="A1101"/>
  <c r="B1101"/>
  <c r="E1101"/>
  <c r="F1101"/>
  <c r="G1101"/>
  <c r="A1102"/>
  <c r="E1102" s="1"/>
  <c r="I1102" s="1"/>
  <c r="B1102"/>
  <c r="F1102"/>
  <c r="G1102"/>
  <c r="A1103"/>
  <c r="B1103"/>
  <c r="E1103"/>
  <c r="F1103"/>
  <c r="G1103"/>
  <c r="A1104"/>
  <c r="E1104" s="1"/>
  <c r="I1104" s="1"/>
  <c r="B1104"/>
  <c r="F1104"/>
  <c r="G1104"/>
  <c r="A1105"/>
  <c r="B1105"/>
  <c r="E1105"/>
  <c r="F1105"/>
  <c r="G1105"/>
  <c r="A1106"/>
  <c r="E1106" s="1"/>
  <c r="I1106" s="1"/>
  <c r="B1106"/>
  <c r="F1106"/>
  <c r="G1106"/>
  <c r="A1107"/>
  <c r="B1107"/>
  <c r="E1107"/>
  <c r="F1107"/>
  <c r="G1107"/>
  <c r="A1108"/>
  <c r="E1108" s="1"/>
  <c r="I1108" s="1"/>
  <c r="B1108"/>
  <c r="F1108"/>
  <c r="G1108"/>
  <c r="A1109"/>
  <c r="B1109"/>
  <c r="E1109"/>
  <c r="I1109" s="1"/>
  <c r="F1109"/>
  <c r="G1109"/>
  <c r="A1110"/>
  <c r="E1110" s="1"/>
  <c r="B1110"/>
  <c r="F1110"/>
  <c r="G1110"/>
  <c r="A1111"/>
  <c r="B1111"/>
  <c r="E1111"/>
  <c r="I1111" s="1"/>
  <c r="F1111"/>
  <c r="G1111"/>
  <c r="A1112"/>
  <c r="E1112" s="1"/>
  <c r="B1112"/>
  <c r="F1112"/>
  <c r="G1112"/>
  <c r="A1113"/>
  <c r="B1113"/>
  <c r="E1113"/>
  <c r="I1113" s="1"/>
  <c r="F1113"/>
  <c r="G1113"/>
  <c r="A1114"/>
  <c r="E1114" s="1"/>
  <c r="B1114"/>
  <c r="F1114"/>
  <c r="G1114"/>
  <c r="A1115"/>
  <c r="B1115"/>
  <c r="E1115"/>
  <c r="I1115" s="1"/>
  <c r="F1115"/>
  <c r="G1115"/>
  <c r="A1116"/>
  <c r="E1116" s="1"/>
  <c r="I1116" s="1"/>
  <c r="B1116"/>
  <c r="F1116"/>
  <c r="G1116"/>
  <c r="A1117"/>
  <c r="B1117"/>
  <c r="E1117"/>
  <c r="F1117"/>
  <c r="G1117"/>
  <c r="A1118"/>
  <c r="E1118" s="1"/>
  <c r="I1118" s="1"/>
  <c r="B1118"/>
  <c r="F1118"/>
  <c r="G1118"/>
  <c r="A1119"/>
  <c r="B1119"/>
  <c r="E1119"/>
  <c r="F1119"/>
  <c r="G1119"/>
  <c r="A1120"/>
  <c r="E1120" s="1"/>
  <c r="I1120" s="1"/>
  <c r="B1120"/>
  <c r="F1120"/>
  <c r="G1120"/>
  <c r="A1121"/>
  <c r="B1121"/>
  <c r="E1121"/>
  <c r="F1121"/>
  <c r="G1121"/>
  <c r="A1122"/>
  <c r="E1122" s="1"/>
  <c r="I1122" s="1"/>
  <c r="B1122"/>
  <c r="F1122"/>
  <c r="G1122"/>
  <c r="A1123"/>
  <c r="B1123"/>
  <c r="E1123"/>
  <c r="F1123"/>
  <c r="G1123"/>
  <c r="A1124"/>
  <c r="E1124" s="1"/>
  <c r="I1124" s="1"/>
  <c r="B1124"/>
  <c r="F1124"/>
  <c r="G1124"/>
  <c r="A1125"/>
  <c r="B1125"/>
  <c r="E1125"/>
  <c r="F1125"/>
  <c r="G1125"/>
  <c r="A1126"/>
  <c r="E1126" s="1"/>
  <c r="I1126" s="1"/>
  <c r="B1126"/>
  <c r="F1126"/>
  <c r="G1126"/>
  <c r="A1127"/>
  <c r="B1127"/>
  <c r="E1127"/>
  <c r="F1127"/>
  <c r="G1127"/>
  <c r="A1128"/>
  <c r="E1128" s="1"/>
  <c r="I1128" s="1"/>
  <c r="B1128"/>
  <c r="F1128"/>
  <c r="G1128"/>
  <c r="A1129"/>
  <c r="B1129"/>
  <c r="E1129"/>
  <c r="F1129"/>
  <c r="G1129"/>
  <c r="A1130"/>
  <c r="E1130" s="1"/>
  <c r="I1130" s="1"/>
  <c r="B1130"/>
  <c r="F1130"/>
  <c r="G1130"/>
  <c r="A1131"/>
  <c r="B1131"/>
  <c r="E1131"/>
  <c r="F1131"/>
  <c r="G1131"/>
  <c r="A1132"/>
  <c r="E1132" s="1"/>
  <c r="I1132" s="1"/>
  <c r="B1132"/>
  <c r="F1132"/>
  <c r="G1132"/>
  <c r="A1133"/>
  <c r="B1133"/>
  <c r="E1133"/>
  <c r="F1133"/>
  <c r="G1133"/>
  <c r="A1134"/>
  <c r="E1134" s="1"/>
  <c r="I1134" s="1"/>
  <c r="B1134"/>
  <c r="F1134"/>
  <c r="G1134"/>
  <c r="A1135"/>
  <c r="B1135"/>
  <c r="E1135"/>
  <c r="F1135"/>
  <c r="G1135"/>
  <c r="A1136"/>
  <c r="E1136" s="1"/>
  <c r="I1136" s="1"/>
  <c r="B1136"/>
  <c r="F1136"/>
  <c r="G1136"/>
  <c r="A1137"/>
  <c r="B1137"/>
  <c r="E1137"/>
  <c r="F1137"/>
  <c r="G1137"/>
  <c r="A1138"/>
  <c r="E1138" s="1"/>
  <c r="I1138" s="1"/>
  <c r="B1138"/>
  <c r="F1138"/>
  <c r="G1138"/>
  <c r="A1139"/>
  <c r="B1139"/>
  <c r="E1139"/>
  <c r="F1139"/>
  <c r="G1139"/>
  <c r="A1140"/>
  <c r="E1140" s="1"/>
  <c r="B1140"/>
  <c r="F1140"/>
  <c r="G1140"/>
  <c r="A1141"/>
  <c r="B1141"/>
  <c r="E1141"/>
  <c r="F1141"/>
  <c r="G1141"/>
  <c r="A1142"/>
  <c r="E1142" s="1"/>
  <c r="B1142"/>
  <c r="F1142"/>
  <c r="G1142"/>
  <c r="A1143"/>
  <c r="B1143"/>
  <c r="E1143"/>
  <c r="F1143"/>
  <c r="G1143"/>
  <c r="A1144"/>
  <c r="E1144" s="1"/>
  <c r="B1144"/>
  <c r="F1144"/>
  <c r="G1144"/>
  <c r="A1145"/>
  <c r="B1145"/>
  <c r="E1145"/>
  <c r="F1145"/>
  <c r="G1145"/>
  <c r="A1146"/>
  <c r="E1146" s="1"/>
  <c r="B1146"/>
  <c r="F1146"/>
  <c r="G1146"/>
  <c r="A1147"/>
  <c r="B1147"/>
  <c r="E1147"/>
  <c r="F1147"/>
  <c r="G1147"/>
  <c r="A1148"/>
  <c r="E1148" s="1"/>
  <c r="B1148"/>
  <c r="F1148"/>
  <c r="G1148"/>
  <c r="A1149"/>
  <c r="B1149"/>
  <c r="E1149"/>
  <c r="F1149"/>
  <c r="G1149"/>
  <c r="A1150"/>
  <c r="E1150" s="1"/>
  <c r="B1150"/>
  <c r="F1150"/>
  <c r="G1150"/>
  <c r="A1151"/>
  <c r="B1151"/>
  <c r="E1151"/>
  <c r="F1151"/>
  <c r="G1151"/>
  <c r="A1152"/>
  <c r="E1152" s="1"/>
  <c r="B1152"/>
  <c r="F1152"/>
  <c r="G1152"/>
  <c r="A1153"/>
  <c r="B1153"/>
  <c r="E1153"/>
  <c r="F1153"/>
  <c r="G1153"/>
  <c r="A1154"/>
  <c r="E1154" s="1"/>
  <c r="B1154"/>
  <c r="F1154"/>
  <c r="G1154"/>
  <c r="A1155"/>
  <c r="E1155" s="1"/>
  <c r="B1155"/>
  <c r="F1155"/>
  <c r="G1155"/>
  <c r="A1156"/>
  <c r="B1156"/>
  <c r="E1156"/>
  <c r="F1156"/>
  <c r="G1156"/>
  <c r="A1157"/>
  <c r="E1157" s="1"/>
  <c r="B1157"/>
  <c r="F1157"/>
  <c r="G1157"/>
  <c r="A1158"/>
  <c r="B1158"/>
  <c r="E1158"/>
  <c r="F1158"/>
  <c r="G1158"/>
  <c r="A1159"/>
  <c r="E1159" s="1"/>
  <c r="B1159"/>
  <c r="F1159"/>
  <c r="G1159"/>
  <c r="A1160"/>
  <c r="B1160"/>
  <c r="E1160"/>
  <c r="F1160"/>
  <c r="G1160"/>
  <c r="A1161"/>
  <c r="E1161" s="1"/>
  <c r="B1161"/>
  <c r="F1161"/>
  <c r="G1161"/>
  <c r="A1162"/>
  <c r="B1162"/>
  <c r="E1162"/>
  <c r="F1162"/>
  <c r="G1162"/>
  <c r="A1163"/>
  <c r="E1163" s="1"/>
  <c r="B1163"/>
  <c r="F1163"/>
  <c r="G1163"/>
  <c r="A1164"/>
  <c r="B1164"/>
  <c r="E1164"/>
  <c r="F1164"/>
  <c r="G1164"/>
  <c r="A1165"/>
  <c r="E1165" s="1"/>
  <c r="B1165"/>
  <c r="F1165"/>
  <c r="G1165"/>
  <c r="A1166"/>
  <c r="B1166"/>
  <c r="E1166"/>
  <c r="F1166"/>
  <c r="G1166"/>
  <c r="A1167"/>
  <c r="E1167" s="1"/>
  <c r="B1167"/>
  <c r="F1167"/>
  <c r="G1167"/>
  <c r="A1168"/>
  <c r="B1168"/>
  <c r="E1168"/>
  <c r="F1168"/>
  <c r="G1168"/>
  <c r="A1169"/>
  <c r="E1169" s="1"/>
  <c r="B1169"/>
  <c r="F1169"/>
  <c r="G1169"/>
  <c r="A1170"/>
  <c r="B1170"/>
  <c r="E1170"/>
  <c r="F1170"/>
  <c r="G1170"/>
  <c r="A1171"/>
  <c r="E1171" s="1"/>
  <c r="B1171"/>
  <c r="F1171"/>
  <c r="G1171"/>
  <c r="A1172"/>
  <c r="B1172"/>
  <c r="E1172"/>
  <c r="F1172"/>
  <c r="G1172"/>
  <c r="A1173"/>
  <c r="E1173" s="1"/>
  <c r="B1173"/>
  <c r="F1173"/>
  <c r="G1173"/>
  <c r="A1174"/>
  <c r="B1174"/>
  <c r="E1174"/>
  <c r="F1174"/>
  <c r="G1174"/>
  <c r="A1175"/>
  <c r="E1175" s="1"/>
  <c r="B1175"/>
  <c r="F1175"/>
  <c r="G1175"/>
  <c r="A1176"/>
  <c r="B1176"/>
  <c r="E1176"/>
  <c r="F1176"/>
  <c r="G1176"/>
  <c r="A1177"/>
  <c r="E1177" s="1"/>
  <c r="B1177"/>
  <c r="F1177"/>
  <c r="G1177"/>
  <c r="A1178"/>
  <c r="B1178"/>
  <c r="E1178"/>
  <c r="F1178"/>
  <c r="G1178"/>
  <c r="A1179"/>
  <c r="E1179" s="1"/>
  <c r="B1179"/>
  <c r="F1179"/>
  <c r="G1179"/>
  <c r="A1180"/>
  <c r="B1180"/>
  <c r="E1180"/>
  <c r="F1180"/>
  <c r="G1180"/>
  <c r="A1181"/>
  <c r="E1181" s="1"/>
  <c r="B1181"/>
  <c r="F1181"/>
  <c r="G1181"/>
  <c r="A1182"/>
  <c r="B1182"/>
  <c r="E1182"/>
  <c r="F1182"/>
  <c r="G1182"/>
  <c r="A1183"/>
  <c r="E1183" s="1"/>
  <c r="B1183"/>
  <c r="F1183"/>
  <c r="G1183"/>
  <c r="A1184"/>
  <c r="B1184"/>
  <c r="E1184"/>
  <c r="F1184"/>
  <c r="G1184"/>
  <c r="A1185"/>
  <c r="E1185" s="1"/>
  <c r="B1185"/>
  <c r="F1185"/>
  <c r="G1185"/>
  <c r="A1186"/>
  <c r="B1186"/>
  <c r="E1186"/>
  <c r="F1186"/>
  <c r="G1186"/>
  <c r="A1187"/>
  <c r="E1187" s="1"/>
  <c r="B1187"/>
  <c r="F1187"/>
  <c r="G1187"/>
  <c r="A1188"/>
  <c r="B1188"/>
  <c r="E1188"/>
  <c r="F1188"/>
  <c r="G1188"/>
  <c r="A1189"/>
  <c r="E1189" s="1"/>
  <c r="B1189"/>
  <c r="F1189"/>
  <c r="G1189"/>
  <c r="A1190"/>
  <c r="B1190"/>
  <c r="E1190"/>
  <c r="F1190"/>
  <c r="G1190"/>
  <c r="A1191"/>
  <c r="E1191" s="1"/>
  <c r="B1191"/>
  <c r="F1191"/>
  <c r="G1191"/>
  <c r="A1192"/>
  <c r="B1192"/>
  <c r="E1192"/>
  <c r="F1192"/>
  <c r="G1192"/>
  <c r="A1193"/>
  <c r="E1193" s="1"/>
  <c r="B1193"/>
  <c r="F1193"/>
  <c r="G1193"/>
  <c r="A1194"/>
  <c r="B1194"/>
  <c r="E1194"/>
  <c r="F1194"/>
  <c r="G1194"/>
  <c r="A1195"/>
  <c r="E1195" s="1"/>
  <c r="B1195"/>
  <c r="F1195"/>
  <c r="G1195"/>
  <c r="A1196"/>
  <c r="B1196"/>
  <c r="E1196"/>
  <c r="F1196"/>
  <c r="G1196"/>
  <c r="A1197"/>
  <c r="E1197" s="1"/>
  <c r="B1197"/>
  <c r="F1197"/>
  <c r="G1197"/>
  <c r="A1198"/>
  <c r="B1198"/>
  <c r="E1198"/>
  <c r="F1198"/>
  <c r="G1198"/>
  <c r="A1199"/>
  <c r="E1199" s="1"/>
  <c r="B1199"/>
  <c r="F1199"/>
  <c r="G1199"/>
  <c r="A1200"/>
  <c r="B1200"/>
  <c r="E1200"/>
  <c r="F1200"/>
  <c r="G1200"/>
  <c r="A1201"/>
  <c r="E1201" s="1"/>
  <c r="B1201"/>
  <c r="F1201"/>
  <c r="G1201"/>
  <c r="A1202"/>
  <c r="B1202"/>
  <c r="E1202"/>
  <c r="F1202"/>
  <c r="G1202"/>
  <c r="A1203"/>
  <c r="E1203" s="1"/>
  <c r="B1203"/>
  <c r="F1203"/>
  <c r="G1203"/>
  <c r="A1204"/>
  <c r="B1204"/>
  <c r="E1204"/>
  <c r="F1204"/>
  <c r="G1204"/>
  <c r="A1205"/>
  <c r="E1205" s="1"/>
  <c r="B1205"/>
  <c r="F1205"/>
  <c r="G1205"/>
  <c r="A1206"/>
  <c r="B1206"/>
  <c r="E1206"/>
  <c r="F1206"/>
  <c r="G1206"/>
  <c r="A1207"/>
  <c r="E1207" s="1"/>
  <c r="B1207"/>
  <c r="F1207"/>
  <c r="G1207"/>
  <c r="A1208"/>
  <c r="B1208"/>
  <c r="E1208"/>
  <c r="F1208"/>
  <c r="G1208"/>
  <c r="A1209"/>
  <c r="E1209" s="1"/>
  <c r="B1209"/>
  <c r="F1209"/>
  <c r="G1209"/>
  <c r="A1210"/>
  <c r="B1210"/>
  <c r="E1210"/>
  <c r="F1210"/>
  <c r="G1210"/>
  <c r="A1211"/>
  <c r="E1211" s="1"/>
  <c r="B1211"/>
  <c r="F1211"/>
  <c r="G1211"/>
  <c r="A1212"/>
  <c r="B1212"/>
  <c r="E1212"/>
  <c r="F1212"/>
  <c r="G1212"/>
  <c r="A1213"/>
  <c r="E1213" s="1"/>
  <c r="B1213"/>
  <c r="F1213"/>
  <c r="G1213"/>
  <c r="A1214"/>
  <c r="B1214"/>
  <c r="E1214"/>
  <c r="F1214"/>
  <c r="G1214"/>
  <c r="A1215"/>
  <c r="E1215" s="1"/>
  <c r="B1215"/>
  <c r="F1215"/>
  <c r="G1215"/>
  <c r="A1216"/>
  <c r="B1216"/>
  <c r="E1216"/>
  <c r="F1216"/>
  <c r="G1216"/>
  <c r="A1217"/>
  <c r="E1217" s="1"/>
  <c r="B1217"/>
  <c r="F1217"/>
  <c r="G1217"/>
  <c r="A1218"/>
  <c r="B1218"/>
  <c r="E1218"/>
  <c r="F1218"/>
  <c r="G1218"/>
  <c r="A1219"/>
  <c r="E1219" s="1"/>
  <c r="B1219"/>
  <c r="F1219"/>
  <c r="G1219"/>
  <c r="A1220"/>
  <c r="B1220"/>
  <c r="E1220"/>
  <c r="F1220"/>
  <c r="G1220"/>
  <c r="A1221"/>
  <c r="E1221" s="1"/>
  <c r="B1221"/>
  <c r="F1221"/>
  <c r="G1221"/>
  <c r="A1222"/>
  <c r="B1222"/>
  <c r="E1222"/>
  <c r="F1222"/>
  <c r="G1222"/>
  <c r="A1223"/>
  <c r="E1223" s="1"/>
  <c r="B1223"/>
  <c r="F1223"/>
  <c r="G1223"/>
  <c r="A1224"/>
  <c r="B1224"/>
  <c r="E1224"/>
  <c r="F1224"/>
  <c r="G1224"/>
  <c r="A1225"/>
  <c r="E1225" s="1"/>
  <c r="B1225"/>
  <c r="F1225"/>
  <c r="G1225"/>
  <c r="A1226"/>
  <c r="B1226"/>
  <c r="E1226"/>
  <c r="F1226"/>
  <c r="G1226"/>
  <c r="A1227"/>
  <c r="E1227" s="1"/>
  <c r="B1227"/>
  <c r="F1227"/>
  <c r="G1227"/>
  <c r="A1228"/>
  <c r="B1228"/>
  <c r="E1228"/>
  <c r="F1228"/>
  <c r="G1228"/>
  <c r="A1229"/>
  <c r="E1229" s="1"/>
  <c r="B1229"/>
  <c r="F1229"/>
  <c r="G1229"/>
  <c r="A1230"/>
  <c r="B1230"/>
  <c r="E1230"/>
  <c r="F1230"/>
  <c r="G1230"/>
  <c r="A1231"/>
  <c r="E1231" s="1"/>
  <c r="B1231"/>
  <c r="F1231"/>
  <c r="G1231"/>
  <c r="A1232"/>
  <c r="B1232"/>
  <c r="E1232"/>
  <c r="F1232"/>
  <c r="G1232"/>
  <c r="A1233"/>
  <c r="E1233" s="1"/>
  <c r="B1233"/>
  <c r="F1233"/>
  <c r="G1233"/>
  <c r="A1234"/>
  <c r="B1234"/>
  <c r="E1234"/>
  <c r="F1234"/>
  <c r="G1234"/>
  <c r="A1235"/>
  <c r="E1235" s="1"/>
  <c r="B1235"/>
  <c r="F1235"/>
  <c r="G1235"/>
  <c r="A1236"/>
  <c r="B1236"/>
  <c r="E1236"/>
  <c r="F1236"/>
  <c r="G1236"/>
  <c r="A1237"/>
  <c r="E1237" s="1"/>
  <c r="B1237"/>
  <c r="F1237"/>
  <c r="G1237"/>
  <c r="A1238"/>
  <c r="B1238"/>
  <c r="E1238"/>
  <c r="F1238"/>
  <c r="G1238"/>
  <c r="A1239"/>
  <c r="E1239" s="1"/>
  <c r="B1239"/>
  <c r="F1239"/>
  <c r="G1239"/>
  <c r="A1240"/>
  <c r="B1240"/>
  <c r="E1240"/>
  <c r="F1240"/>
  <c r="G1240"/>
  <c r="A1241"/>
  <c r="E1241" s="1"/>
  <c r="B1241"/>
  <c r="F1241"/>
  <c r="G1241"/>
  <c r="A1242"/>
  <c r="B1242"/>
  <c r="E1242"/>
  <c r="F1242"/>
  <c r="G1242"/>
  <c r="A1243"/>
  <c r="E1243" s="1"/>
  <c r="B1243"/>
  <c r="F1243"/>
  <c r="G1243"/>
  <c r="A1244"/>
  <c r="B1244"/>
  <c r="E1244"/>
  <c r="F1244"/>
  <c r="G1244"/>
  <c r="A1245"/>
  <c r="E1245" s="1"/>
  <c r="B1245"/>
  <c r="F1245"/>
  <c r="G1245"/>
  <c r="A1246"/>
  <c r="B1246"/>
  <c r="E1246"/>
  <c r="F1246"/>
  <c r="G1246"/>
  <c r="A1247"/>
  <c r="E1247" s="1"/>
  <c r="B1247"/>
  <c r="F1247"/>
  <c r="G1247"/>
  <c r="A1248"/>
  <c r="B1248"/>
  <c r="E1248"/>
  <c r="F1248"/>
  <c r="G1248"/>
  <c r="A1249"/>
  <c r="E1249" s="1"/>
  <c r="B1249"/>
  <c r="F1249"/>
  <c r="G1249"/>
  <c r="A1250"/>
  <c r="B1250"/>
  <c r="E1250"/>
  <c r="F1250"/>
  <c r="G1250"/>
  <c r="A1251"/>
  <c r="E1251" s="1"/>
  <c r="B1251"/>
  <c r="F1251"/>
  <c r="G1251"/>
  <c r="A1252"/>
  <c r="B1252"/>
  <c r="E1252"/>
  <c r="F1252"/>
  <c r="G1252"/>
  <c r="A1253"/>
  <c r="E1253" s="1"/>
  <c r="B1253"/>
  <c r="F1253"/>
  <c r="G1253"/>
  <c r="A1254"/>
  <c r="B1254"/>
  <c r="E1254"/>
  <c r="F1254"/>
  <c r="G1254"/>
  <c r="A1255"/>
  <c r="E1255" s="1"/>
  <c r="B1255"/>
  <c r="F1255"/>
  <c r="G1255"/>
  <c r="A1256"/>
  <c r="B1256"/>
  <c r="E1256"/>
  <c r="F1256"/>
  <c r="G1256"/>
  <c r="A1257"/>
  <c r="E1257" s="1"/>
  <c r="B1257"/>
  <c r="F1257"/>
  <c r="G1257"/>
  <c r="A1258"/>
  <c r="B1258"/>
  <c r="E1258"/>
  <c r="F1258"/>
  <c r="G1258"/>
  <c r="A1259"/>
  <c r="E1259" s="1"/>
  <c r="B1259"/>
  <c r="F1259"/>
  <c r="G1259"/>
  <c r="A1260"/>
  <c r="B1260"/>
  <c r="E1260"/>
  <c r="F1260"/>
  <c r="G1260"/>
  <c r="A1261"/>
  <c r="E1261" s="1"/>
  <c r="B1261"/>
  <c r="F1261"/>
  <c r="G1261"/>
  <c r="A1262"/>
  <c r="B1262"/>
  <c r="E1262"/>
  <c r="F1262"/>
  <c r="G1262"/>
  <c r="A1263"/>
  <c r="E1263" s="1"/>
  <c r="B1263"/>
  <c r="F1263"/>
  <c r="G1263"/>
  <c r="A1264"/>
  <c r="B1264"/>
  <c r="E1264"/>
  <c r="F1264"/>
  <c r="G1264"/>
  <c r="A1265"/>
  <c r="E1265" s="1"/>
  <c r="B1265"/>
  <c r="F1265"/>
  <c r="G1265"/>
  <c r="A1266"/>
  <c r="B1266"/>
  <c r="E1266"/>
  <c r="F1266"/>
  <c r="G1266"/>
  <c r="A1267"/>
  <c r="E1267" s="1"/>
  <c r="B1267"/>
  <c r="F1267"/>
  <c r="G1267"/>
  <c r="A1268"/>
  <c r="B1268"/>
  <c r="E1268"/>
  <c r="F1268"/>
  <c r="G1268"/>
  <c r="A1269"/>
  <c r="E1269" s="1"/>
  <c r="B1269"/>
  <c r="F1269"/>
  <c r="G1269"/>
  <c r="A1270"/>
  <c r="B1270"/>
  <c r="E1270"/>
  <c r="F1270"/>
  <c r="G1270"/>
  <c r="A1271"/>
  <c r="E1271" s="1"/>
  <c r="B1271"/>
  <c r="F1271"/>
  <c r="G1271"/>
  <c r="A1272"/>
  <c r="B1272"/>
  <c r="E1272"/>
  <c r="F1272"/>
  <c r="G1272"/>
  <c r="A1273"/>
  <c r="E1273" s="1"/>
  <c r="B1273"/>
  <c r="F1273"/>
  <c r="G1273"/>
  <c r="A1274"/>
  <c r="B1274"/>
  <c r="E1274"/>
  <c r="F1274"/>
  <c r="G1274"/>
  <c r="A1275"/>
  <c r="E1275" s="1"/>
  <c r="B1275"/>
  <c r="F1275"/>
  <c r="G1275"/>
  <c r="A1276"/>
  <c r="B1276"/>
  <c r="E1276"/>
  <c r="F1276"/>
  <c r="G1276"/>
  <c r="A1277"/>
  <c r="E1277" s="1"/>
  <c r="B1277"/>
  <c r="F1277"/>
  <c r="G1277"/>
  <c r="A1278"/>
  <c r="B1278"/>
  <c r="E1278"/>
  <c r="F1278"/>
  <c r="G1278"/>
  <c r="A1279"/>
  <c r="E1279" s="1"/>
  <c r="B1279"/>
  <c r="F1279"/>
  <c r="G1279"/>
  <c r="A1280"/>
  <c r="B1280"/>
  <c r="E1280"/>
  <c r="F1280"/>
  <c r="G1280"/>
  <c r="A1281"/>
  <c r="E1281" s="1"/>
  <c r="B1281"/>
  <c r="F1281"/>
  <c r="G1281"/>
  <c r="A1282"/>
  <c r="B1282"/>
  <c r="E1282"/>
  <c r="F1282"/>
  <c r="G1282"/>
  <c r="A1283"/>
  <c r="E1283" s="1"/>
  <c r="B1283"/>
  <c r="F1283"/>
  <c r="G1283"/>
  <c r="A1284"/>
  <c r="B1284"/>
  <c r="E1284"/>
  <c r="F1284"/>
  <c r="G1284"/>
  <c r="A1285"/>
  <c r="E1285" s="1"/>
  <c r="B1285"/>
  <c r="F1285"/>
  <c r="G1285"/>
  <c r="A1286"/>
  <c r="B1286"/>
  <c r="E1286"/>
  <c r="F1286"/>
  <c r="G1286"/>
  <c r="A1287"/>
  <c r="E1287" s="1"/>
  <c r="B1287"/>
  <c r="F1287"/>
  <c r="G1287"/>
  <c r="A1288"/>
  <c r="B1288"/>
  <c r="E1288"/>
  <c r="F1288"/>
  <c r="G1288"/>
  <c r="A1289"/>
  <c r="E1289" s="1"/>
  <c r="B1289"/>
  <c r="F1289"/>
  <c r="G1289"/>
  <c r="A1290"/>
  <c r="B1290"/>
  <c r="E1290"/>
  <c r="F1290"/>
  <c r="G1290"/>
  <c r="A1291"/>
  <c r="E1291" s="1"/>
  <c r="B1291"/>
  <c r="F1291"/>
  <c r="G1291"/>
  <c r="A1292"/>
  <c r="B1292"/>
  <c r="E1292"/>
  <c r="F1292"/>
  <c r="G1292"/>
  <c r="A1293"/>
  <c r="E1293" s="1"/>
  <c r="B1293"/>
  <c r="F1293"/>
  <c r="G1293"/>
  <c r="A1294"/>
  <c r="B1294"/>
  <c r="E1294"/>
  <c r="F1294"/>
  <c r="G1294"/>
  <c r="A1295"/>
  <c r="B1295"/>
  <c r="F1295"/>
  <c r="G1295"/>
  <c r="A1296"/>
  <c r="B1296"/>
  <c r="E1296"/>
  <c r="F1296"/>
  <c r="G1296"/>
  <c r="A1297"/>
  <c r="E1297" s="1"/>
  <c r="B1297"/>
  <c r="F1297"/>
  <c r="G1297"/>
  <c r="A1298"/>
  <c r="B1298"/>
  <c r="E1298"/>
  <c r="F1298"/>
  <c r="G1298"/>
  <c r="A1299"/>
  <c r="E1299" s="1"/>
  <c r="B1299"/>
  <c r="F1299"/>
  <c r="G1299"/>
  <c r="A1300"/>
  <c r="B1300"/>
  <c r="E1300"/>
  <c r="F1300"/>
  <c r="G1300"/>
  <c r="A1301"/>
  <c r="E1301" s="1"/>
  <c r="B1301"/>
  <c r="F1301"/>
  <c r="G1301"/>
  <c r="A1302"/>
  <c r="B1302"/>
  <c r="E1302"/>
  <c r="F1302"/>
  <c r="G1302"/>
  <c r="A1303"/>
  <c r="E1303" s="1"/>
  <c r="B1303"/>
  <c r="F1303"/>
  <c r="G1303"/>
  <c r="A1304"/>
  <c r="B1304"/>
  <c r="E1304"/>
  <c r="F1304"/>
  <c r="G1304"/>
  <c r="A1305"/>
  <c r="E1305" s="1"/>
  <c r="B1305"/>
  <c r="F1305"/>
  <c r="G1305"/>
  <c r="A1306"/>
  <c r="B1306"/>
  <c r="E1306"/>
  <c r="F1306"/>
  <c r="G1306"/>
  <c r="A1307"/>
  <c r="E1307" s="1"/>
  <c r="B1307"/>
  <c r="F1307"/>
  <c r="G1307"/>
  <c r="A1308"/>
  <c r="B1308"/>
  <c r="E1308"/>
  <c r="F1308"/>
  <c r="G1308"/>
  <c r="A1309"/>
  <c r="E1309" s="1"/>
  <c r="B1309"/>
  <c r="F1309"/>
  <c r="G1309"/>
  <c r="A1310"/>
  <c r="B1310"/>
  <c r="E1310"/>
  <c r="F1310"/>
  <c r="G1310"/>
  <c r="A1311"/>
  <c r="E1311" s="1"/>
  <c r="B1311"/>
  <c r="F1311"/>
  <c r="G1311"/>
  <c r="A1312"/>
  <c r="B1312"/>
  <c r="E1312"/>
  <c r="F1312"/>
  <c r="G1312"/>
  <c r="A1313"/>
  <c r="E1313" s="1"/>
  <c r="B1313"/>
  <c r="F1313"/>
  <c r="G1313"/>
  <c r="A1314"/>
  <c r="B1314"/>
  <c r="E1314"/>
  <c r="F1314"/>
  <c r="G1314"/>
  <c r="A1315"/>
  <c r="E1315" s="1"/>
  <c r="B1315"/>
  <c r="F1315"/>
  <c r="G1315"/>
  <c r="A1316"/>
  <c r="B1316"/>
  <c r="E1316"/>
  <c r="F1316"/>
  <c r="G1316"/>
  <c r="A1317"/>
  <c r="E1317" s="1"/>
  <c r="B1317"/>
  <c r="F1317"/>
  <c r="G1317"/>
  <c r="A1318"/>
  <c r="B1318"/>
  <c r="E1318"/>
  <c r="F1318"/>
  <c r="G1318"/>
  <c r="A1319"/>
  <c r="E1319" s="1"/>
  <c r="B1319"/>
  <c r="F1319"/>
  <c r="G1319"/>
  <c r="A1320"/>
  <c r="B1320"/>
  <c r="E1320"/>
  <c r="F1320"/>
  <c r="G1320"/>
  <c r="A1321"/>
  <c r="E1321" s="1"/>
  <c r="B1321"/>
  <c r="F1321"/>
  <c r="G1321"/>
  <c r="A1322"/>
  <c r="B1322"/>
  <c r="E1322"/>
  <c r="F1322"/>
  <c r="G1322"/>
  <c r="A10"/>
  <c r="E10" s="1"/>
  <c r="B10"/>
  <c r="F10"/>
  <c r="G10"/>
  <c r="A11"/>
  <c r="B11"/>
  <c r="E11"/>
  <c r="I11" s="1"/>
  <c r="F11"/>
  <c r="G11"/>
  <c r="A12"/>
  <c r="E12" s="1"/>
  <c r="B12"/>
  <c r="F12"/>
  <c r="G12"/>
  <c r="A13"/>
  <c r="B13"/>
  <c r="E13"/>
  <c r="I13" s="1"/>
  <c r="F13"/>
  <c r="G13"/>
  <c r="A14"/>
  <c r="E14" s="1"/>
  <c r="B14"/>
  <c r="F14"/>
  <c r="G14"/>
  <c r="A15"/>
  <c r="B15"/>
  <c r="E15"/>
  <c r="I15" s="1"/>
  <c r="F15"/>
  <c r="G15"/>
  <c r="A16"/>
  <c r="E16" s="1"/>
  <c r="B16"/>
  <c r="F16"/>
  <c r="G16"/>
  <c r="A17"/>
  <c r="B17"/>
  <c r="E17"/>
  <c r="I17" s="1"/>
  <c r="F17"/>
  <c r="G17"/>
  <c r="A18"/>
  <c r="E18" s="1"/>
  <c r="B18"/>
  <c r="F18"/>
  <c r="G18"/>
  <c r="A19"/>
  <c r="B19"/>
  <c r="E19"/>
  <c r="I19" s="1"/>
  <c r="F19"/>
  <c r="G19"/>
  <c r="A20"/>
  <c r="E20" s="1"/>
  <c r="B20"/>
  <c r="F20"/>
  <c r="G20"/>
  <c r="A21"/>
  <c r="B21"/>
  <c r="E21"/>
  <c r="I21" s="1"/>
  <c r="F21"/>
  <c r="G21"/>
  <c r="A22"/>
  <c r="E22" s="1"/>
  <c r="B22"/>
  <c r="F22"/>
  <c r="G22"/>
  <c r="A23"/>
  <c r="B23"/>
  <c r="E23"/>
  <c r="I23" s="1"/>
  <c r="F23"/>
  <c r="G23"/>
  <c r="A24"/>
  <c r="E24" s="1"/>
  <c r="B24"/>
  <c r="F24"/>
  <c r="G24"/>
  <c r="A25"/>
  <c r="B25"/>
  <c r="E25"/>
  <c r="I25" s="1"/>
  <c r="F25"/>
  <c r="G25"/>
  <c r="A26"/>
  <c r="E26" s="1"/>
  <c r="B26"/>
  <c r="F26"/>
  <c r="G26"/>
  <c r="A27"/>
  <c r="B27"/>
  <c r="E27"/>
  <c r="I27" s="1"/>
  <c r="F27"/>
  <c r="G27"/>
  <c r="A28"/>
  <c r="E28" s="1"/>
  <c r="B28"/>
  <c r="F28"/>
  <c r="G28"/>
  <c r="A29"/>
  <c r="B29"/>
  <c r="E29"/>
  <c r="I29" s="1"/>
  <c r="F29"/>
  <c r="G29"/>
  <c r="A30"/>
  <c r="E30" s="1"/>
  <c r="B30"/>
  <c r="F30"/>
  <c r="G30"/>
  <c r="A31"/>
  <c r="B31"/>
  <c r="E31"/>
  <c r="I31" s="1"/>
  <c r="F31"/>
  <c r="G31"/>
  <c r="A32"/>
  <c r="E32" s="1"/>
  <c r="B32"/>
  <c r="F32"/>
  <c r="G32"/>
  <c r="A33"/>
  <c r="B33"/>
  <c r="E33"/>
  <c r="I33" s="1"/>
  <c r="F33"/>
  <c r="G33"/>
  <c r="A34"/>
  <c r="E34" s="1"/>
  <c r="B34"/>
  <c r="F34"/>
  <c r="G34"/>
  <c r="A35"/>
  <c r="B35"/>
  <c r="E35"/>
  <c r="I35" s="1"/>
  <c r="F35"/>
  <c r="G35"/>
  <c r="A36"/>
  <c r="E36" s="1"/>
  <c r="B36"/>
  <c r="F36"/>
  <c r="G36"/>
  <c r="A37"/>
  <c r="B37"/>
  <c r="E37"/>
  <c r="I37" s="1"/>
  <c r="F37"/>
  <c r="G37"/>
  <c r="A38"/>
  <c r="E38" s="1"/>
  <c r="B38"/>
  <c r="F38"/>
  <c r="G38"/>
  <c r="A39"/>
  <c r="B39"/>
  <c r="E39"/>
  <c r="I39" s="1"/>
  <c r="F39"/>
  <c r="G39"/>
  <c r="A40"/>
  <c r="E40" s="1"/>
  <c r="B40"/>
  <c r="F40"/>
  <c r="G40"/>
  <c r="A41"/>
  <c r="B41"/>
  <c r="E41"/>
  <c r="I41" s="1"/>
  <c r="F41"/>
  <c r="G41"/>
  <c r="A42"/>
  <c r="E42" s="1"/>
  <c r="B42"/>
  <c r="F42"/>
  <c r="G42"/>
  <c r="A43"/>
  <c r="B43"/>
  <c r="E43"/>
  <c r="I43" s="1"/>
  <c r="F43"/>
  <c r="G43"/>
  <c r="A44"/>
  <c r="E44" s="1"/>
  <c r="B44"/>
  <c r="F44"/>
  <c r="G44"/>
  <c r="A45"/>
  <c r="B45"/>
  <c r="E45"/>
  <c r="I45" s="1"/>
  <c r="F45"/>
  <c r="G45"/>
  <c r="A46"/>
  <c r="E46" s="1"/>
  <c r="B46"/>
  <c r="F46"/>
  <c r="G46"/>
  <c r="A47"/>
  <c r="B47"/>
  <c r="E47"/>
  <c r="I47" s="1"/>
  <c r="F47"/>
  <c r="G47"/>
  <c r="A48"/>
  <c r="E48" s="1"/>
  <c r="B48"/>
  <c r="F48"/>
  <c r="G48"/>
  <c r="A49"/>
  <c r="B49"/>
  <c r="E49"/>
  <c r="I49" s="1"/>
  <c r="F49"/>
  <c r="G49"/>
  <c r="A50"/>
  <c r="E50" s="1"/>
  <c r="B50"/>
  <c r="F50"/>
  <c r="G50"/>
  <c r="A51"/>
  <c r="B51"/>
  <c r="E51"/>
  <c r="I51" s="1"/>
  <c r="F51"/>
  <c r="G51"/>
  <c r="A52"/>
  <c r="E52" s="1"/>
  <c r="B52"/>
  <c r="F52"/>
  <c r="G52"/>
  <c r="A53"/>
  <c r="B53"/>
  <c r="E53"/>
  <c r="I53" s="1"/>
  <c r="F53"/>
  <c r="G53"/>
  <c r="A54"/>
  <c r="E54" s="1"/>
  <c r="B54"/>
  <c r="F54"/>
  <c r="G54"/>
  <c r="A55"/>
  <c r="B55"/>
  <c r="E55"/>
  <c r="I55" s="1"/>
  <c r="F55"/>
  <c r="G55"/>
  <c r="A56"/>
  <c r="E56" s="1"/>
  <c r="B56"/>
  <c r="F56"/>
  <c r="G56"/>
  <c r="A57"/>
  <c r="B57"/>
  <c r="E57"/>
  <c r="I57" s="1"/>
  <c r="F57"/>
  <c r="G57"/>
  <c r="A58"/>
  <c r="E58" s="1"/>
  <c r="B58"/>
  <c r="F58"/>
  <c r="G58"/>
  <c r="A59"/>
  <c r="B59"/>
  <c r="E59"/>
  <c r="I59" s="1"/>
  <c r="F59"/>
  <c r="G59"/>
  <c r="A60"/>
  <c r="E60" s="1"/>
  <c r="B60"/>
  <c r="F60"/>
  <c r="G60"/>
  <c r="A61"/>
  <c r="B61"/>
  <c r="E61"/>
  <c r="I61" s="1"/>
  <c r="F61"/>
  <c r="G61"/>
  <c r="A62"/>
  <c r="E62" s="1"/>
  <c r="B62"/>
  <c r="F62"/>
  <c r="G62"/>
  <c r="A63"/>
  <c r="B63"/>
  <c r="E63"/>
  <c r="I63" s="1"/>
  <c r="F63"/>
  <c r="G63"/>
  <c r="A64"/>
  <c r="E64" s="1"/>
  <c r="B64"/>
  <c r="F64"/>
  <c r="G64"/>
  <c r="A65"/>
  <c r="B65"/>
  <c r="E65"/>
  <c r="I65" s="1"/>
  <c r="F65"/>
  <c r="G65"/>
  <c r="A66"/>
  <c r="E66" s="1"/>
  <c r="B66"/>
  <c r="F66"/>
  <c r="G66"/>
  <c r="A67"/>
  <c r="B67"/>
  <c r="E67"/>
  <c r="I67" s="1"/>
  <c r="F67"/>
  <c r="G67"/>
  <c r="A68"/>
  <c r="E68" s="1"/>
  <c r="B68"/>
  <c r="F68"/>
  <c r="G68"/>
  <c r="A69"/>
  <c r="B69"/>
  <c r="E69"/>
  <c r="I69" s="1"/>
  <c r="F69"/>
  <c r="G69"/>
  <c r="A70"/>
  <c r="B70"/>
  <c r="F70"/>
  <c r="G70"/>
  <c r="A71"/>
  <c r="B71"/>
  <c r="E71"/>
  <c r="F71"/>
  <c r="G71"/>
  <c r="A72"/>
  <c r="B72"/>
  <c r="F72"/>
  <c r="G72"/>
  <c r="A73"/>
  <c r="B73"/>
  <c r="E73"/>
  <c r="F73"/>
  <c r="G73"/>
  <c r="A74"/>
  <c r="B74"/>
  <c r="F74"/>
  <c r="G74"/>
  <c r="A75"/>
  <c r="B75"/>
  <c r="E75"/>
  <c r="F75"/>
  <c r="G75"/>
  <c r="A76"/>
  <c r="B76"/>
  <c r="F76"/>
  <c r="G76"/>
  <c r="A77"/>
  <c r="B77"/>
  <c r="E77"/>
  <c r="F77"/>
  <c r="G77"/>
  <c r="A78"/>
  <c r="B78"/>
  <c r="F78"/>
  <c r="G78"/>
  <c r="A79"/>
  <c r="B79"/>
  <c r="E79"/>
  <c r="I79" s="1"/>
  <c r="F79"/>
  <c r="G79"/>
  <c r="A80"/>
  <c r="E80" s="1"/>
  <c r="B80"/>
  <c r="F80"/>
  <c r="G80"/>
  <c r="A81"/>
  <c r="B81"/>
  <c r="E81"/>
  <c r="I81" s="1"/>
  <c r="F81"/>
  <c r="G81"/>
  <c r="A82"/>
  <c r="E82" s="1"/>
  <c r="B82"/>
  <c r="F82"/>
  <c r="G82"/>
  <c r="A83"/>
  <c r="B83"/>
  <c r="E83"/>
  <c r="I83" s="1"/>
  <c r="F83"/>
  <c r="G83"/>
  <c r="A84"/>
  <c r="E84" s="1"/>
  <c r="B84"/>
  <c r="F84"/>
  <c r="G84"/>
  <c r="A85"/>
  <c r="B85"/>
  <c r="E85"/>
  <c r="I85" s="1"/>
  <c r="F85"/>
  <c r="G85"/>
  <c r="A86"/>
  <c r="E86" s="1"/>
  <c r="B86"/>
  <c r="F86"/>
  <c r="G86"/>
  <c r="A87"/>
  <c r="B87"/>
  <c r="E87"/>
  <c r="I87" s="1"/>
  <c r="F87"/>
  <c r="G87"/>
  <c r="A88"/>
  <c r="E88" s="1"/>
  <c r="B88"/>
  <c r="F88"/>
  <c r="G88"/>
  <c r="A89"/>
  <c r="B89"/>
  <c r="E89"/>
  <c r="I89" s="1"/>
  <c r="F89"/>
  <c r="G89"/>
  <c r="A90"/>
  <c r="E90" s="1"/>
  <c r="B90"/>
  <c r="F90"/>
  <c r="G90"/>
  <c r="A91"/>
  <c r="B91"/>
  <c r="E91"/>
  <c r="I91" s="1"/>
  <c r="F91"/>
  <c r="G91"/>
  <c r="A92"/>
  <c r="E92" s="1"/>
  <c r="B92"/>
  <c r="F92"/>
  <c r="G92"/>
  <c r="A93"/>
  <c r="B93"/>
  <c r="E93"/>
  <c r="I93" s="1"/>
  <c r="F93"/>
  <c r="G93"/>
  <c r="A94"/>
  <c r="E94" s="1"/>
  <c r="B94"/>
  <c r="F94"/>
  <c r="G94"/>
  <c r="A95"/>
  <c r="B95"/>
  <c r="E95"/>
  <c r="I95" s="1"/>
  <c r="F95"/>
  <c r="G95"/>
  <c r="A96"/>
  <c r="E96" s="1"/>
  <c r="B96"/>
  <c r="F96"/>
  <c r="G96"/>
  <c r="A97"/>
  <c r="B97"/>
  <c r="E97"/>
  <c r="I97" s="1"/>
  <c r="F97"/>
  <c r="G97"/>
  <c r="A98"/>
  <c r="E98" s="1"/>
  <c r="B98"/>
  <c r="F98"/>
  <c r="G98"/>
  <c r="A99"/>
  <c r="B99"/>
  <c r="E99"/>
  <c r="I99" s="1"/>
  <c r="F99"/>
  <c r="G99"/>
  <c r="A100"/>
  <c r="E100" s="1"/>
  <c r="B100"/>
  <c r="F100"/>
  <c r="G100"/>
  <c r="A101"/>
  <c r="B101"/>
  <c r="E101"/>
  <c r="I101" s="1"/>
  <c r="F101"/>
  <c r="G101"/>
  <c r="A102"/>
  <c r="E102" s="1"/>
  <c r="B102"/>
  <c r="F102"/>
  <c r="G102"/>
  <c r="A103"/>
  <c r="B103"/>
  <c r="E103"/>
  <c r="I103" s="1"/>
  <c r="F103"/>
  <c r="G103"/>
  <c r="A104"/>
  <c r="E104" s="1"/>
  <c r="B104"/>
  <c r="F104"/>
  <c r="G104"/>
  <c r="A105"/>
  <c r="B105"/>
  <c r="E105"/>
  <c r="I105" s="1"/>
  <c r="F105"/>
  <c r="G105"/>
  <c r="A106"/>
  <c r="E106" s="1"/>
  <c r="B106"/>
  <c r="F106"/>
  <c r="G106"/>
  <c r="A107"/>
  <c r="B107"/>
  <c r="E107"/>
  <c r="I107" s="1"/>
  <c r="F107"/>
  <c r="G107"/>
  <c r="A108"/>
  <c r="E108" s="1"/>
  <c r="B108"/>
  <c r="F108"/>
  <c r="G108"/>
  <c r="A109"/>
  <c r="B109"/>
  <c r="E109"/>
  <c r="I109" s="1"/>
  <c r="F109"/>
  <c r="G109"/>
  <c r="A110"/>
  <c r="E110" s="1"/>
  <c r="B110"/>
  <c r="F110"/>
  <c r="G110"/>
  <c r="A111"/>
  <c r="B111"/>
  <c r="E111"/>
  <c r="I111" s="1"/>
  <c r="F111"/>
  <c r="G111"/>
  <c r="A112"/>
  <c r="B112"/>
  <c r="F112"/>
  <c r="G112"/>
  <c r="A113"/>
  <c r="B113"/>
  <c r="E113"/>
  <c r="F113"/>
  <c r="G113"/>
  <c r="A114"/>
  <c r="B114"/>
  <c r="F114"/>
  <c r="G114"/>
  <c r="A115"/>
  <c r="B115"/>
  <c r="E115"/>
  <c r="F115"/>
  <c r="G115"/>
  <c r="A116"/>
  <c r="B116"/>
  <c r="F116"/>
  <c r="G116"/>
  <c r="A117"/>
  <c r="B117"/>
  <c r="E117"/>
  <c r="F117"/>
  <c r="G117"/>
  <c r="A118"/>
  <c r="B118"/>
  <c r="F118"/>
  <c r="G118"/>
  <c r="A119"/>
  <c r="B119"/>
  <c r="E119"/>
  <c r="F119"/>
  <c r="G119"/>
  <c r="A120"/>
  <c r="B120"/>
  <c r="F120"/>
  <c r="G120"/>
  <c r="A121"/>
  <c r="B121"/>
  <c r="E121"/>
  <c r="I121" s="1"/>
  <c r="F121"/>
  <c r="G121"/>
  <c r="A122"/>
  <c r="E122" s="1"/>
  <c r="B122"/>
  <c r="F122"/>
  <c r="G122"/>
  <c r="A123"/>
  <c r="B123"/>
  <c r="E123"/>
  <c r="I123" s="1"/>
  <c r="F123"/>
  <c r="G123"/>
  <c r="A124"/>
  <c r="E124" s="1"/>
  <c r="B124"/>
  <c r="F124"/>
  <c r="G124"/>
  <c r="A125"/>
  <c r="B125"/>
  <c r="E125"/>
  <c r="I125" s="1"/>
  <c r="F125"/>
  <c r="G125"/>
  <c r="A126"/>
  <c r="E126" s="1"/>
  <c r="B126"/>
  <c r="F126"/>
  <c r="G126"/>
  <c r="A127"/>
  <c r="B127"/>
  <c r="E127"/>
  <c r="I127" s="1"/>
  <c r="F127"/>
  <c r="G127"/>
  <c r="A128"/>
  <c r="E128" s="1"/>
  <c r="B128"/>
  <c r="F128"/>
  <c r="G128"/>
  <c r="A129"/>
  <c r="B129"/>
  <c r="E129"/>
  <c r="I129" s="1"/>
  <c r="F129"/>
  <c r="G129"/>
  <c r="A130"/>
  <c r="E130" s="1"/>
  <c r="B130"/>
  <c r="F130"/>
  <c r="G130"/>
  <c r="A131"/>
  <c r="B131"/>
  <c r="E131"/>
  <c r="I131" s="1"/>
  <c r="F131"/>
  <c r="G131"/>
  <c r="A132"/>
  <c r="E132" s="1"/>
  <c r="B132"/>
  <c r="F132"/>
  <c r="G132"/>
  <c r="A133"/>
  <c r="B133"/>
  <c r="E133"/>
  <c r="I133" s="1"/>
  <c r="F133"/>
  <c r="G133"/>
  <c r="A134"/>
  <c r="B134"/>
  <c r="F134"/>
  <c r="G134"/>
  <c r="A135"/>
  <c r="H135" s="1"/>
  <c r="B135"/>
  <c r="E135"/>
  <c r="I135" s="1"/>
  <c r="F135"/>
  <c r="G135"/>
  <c r="A136"/>
  <c r="E136" s="1"/>
  <c r="B136"/>
  <c r="F136"/>
  <c r="G136"/>
  <c r="A137"/>
  <c r="H137" s="1"/>
  <c r="B137"/>
  <c r="E137"/>
  <c r="I137" s="1"/>
  <c r="F137"/>
  <c r="G137"/>
  <c r="A138"/>
  <c r="E138" s="1"/>
  <c r="B138"/>
  <c r="F138"/>
  <c r="G138"/>
  <c r="A139"/>
  <c r="H139" s="1"/>
  <c r="B139"/>
  <c r="E139"/>
  <c r="I139" s="1"/>
  <c r="F139"/>
  <c r="G139"/>
  <c r="A140"/>
  <c r="E140" s="1"/>
  <c r="B140"/>
  <c r="F140"/>
  <c r="G140"/>
  <c r="A141"/>
  <c r="H141" s="1"/>
  <c r="B141"/>
  <c r="E141"/>
  <c r="I141" s="1"/>
  <c r="F141"/>
  <c r="G141"/>
  <c r="A142"/>
  <c r="E142" s="1"/>
  <c r="B142"/>
  <c r="F142"/>
  <c r="G142"/>
  <c r="A143"/>
  <c r="H143" s="1"/>
  <c r="B143"/>
  <c r="E143"/>
  <c r="I143" s="1"/>
  <c r="F143"/>
  <c r="G143"/>
  <c r="A144"/>
  <c r="B144"/>
  <c r="F144"/>
  <c r="G144"/>
  <c r="A145"/>
  <c r="B145"/>
  <c r="E145"/>
  <c r="F145"/>
  <c r="G145"/>
  <c r="A146"/>
  <c r="B146"/>
  <c r="F146"/>
  <c r="G146"/>
  <c r="A147"/>
  <c r="B147"/>
  <c r="E147"/>
  <c r="F147"/>
  <c r="G147"/>
  <c r="A148"/>
  <c r="B148"/>
  <c r="F148"/>
  <c r="G148"/>
  <c r="A149"/>
  <c r="B149"/>
  <c r="E149"/>
  <c r="F149"/>
  <c r="G149"/>
  <c r="A150"/>
  <c r="B150"/>
  <c r="F150"/>
  <c r="G150"/>
  <c r="A151"/>
  <c r="B151"/>
  <c r="E151"/>
  <c r="F151"/>
  <c r="G151"/>
  <c r="A152"/>
  <c r="B152"/>
  <c r="F152"/>
  <c r="G152"/>
  <c r="A153"/>
  <c r="B153"/>
  <c r="E153"/>
  <c r="F153"/>
  <c r="G153"/>
  <c r="A154"/>
  <c r="B154"/>
  <c r="F154"/>
  <c r="G154"/>
  <c r="A155"/>
  <c r="B155"/>
  <c r="E155"/>
  <c r="F155"/>
  <c r="G155"/>
  <c r="A156"/>
  <c r="B156"/>
  <c r="F156"/>
  <c r="G156"/>
  <c r="A157"/>
  <c r="B157"/>
  <c r="E157"/>
  <c r="F157"/>
  <c r="G157"/>
  <c r="A158"/>
  <c r="B158"/>
  <c r="F158"/>
  <c r="G158"/>
  <c r="A159"/>
  <c r="B159"/>
  <c r="E159"/>
  <c r="F159"/>
  <c r="G159"/>
  <c r="A160"/>
  <c r="B160"/>
  <c r="F160"/>
  <c r="G160"/>
  <c r="A161"/>
  <c r="B161"/>
  <c r="E161"/>
  <c r="F161"/>
  <c r="G161"/>
  <c r="A162"/>
  <c r="B162"/>
  <c r="F162"/>
  <c r="G162"/>
  <c r="A163"/>
  <c r="B163"/>
  <c r="E163"/>
  <c r="F163"/>
  <c r="G163"/>
  <c r="A164"/>
  <c r="B164"/>
  <c r="F164"/>
  <c r="G164"/>
  <c r="A165"/>
  <c r="B165"/>
  <c r="E165"/>
  <c r="F165"/>
  <c r="G165"/>
  <c r="A166"/>
  <c r="B166"/>
  <c r="F166"/>
  <c r="G166"/>
  <c r="A167"/>
  <c r="B167"/>
  <c r="E167"/>
  <c r="F167"/>
  <c r="G167"/>
  <c r="A168"/>
  <c r="B168"/>
  <c r="F168"/>
  <c r="G168"/>
  <c r="A169"/>
  <c r="B169"/>
  <c r="E169"/>
  <c r="I169" s="1"/>
  <c r="F169"/>
  <c r="G169"/>
  <c r="A170"/>
  <c r="E170" s="1"/>
  <c r="B170"/>
  <c r="F170"/>
  <c r="G170"/>
  <c r="A171"/>
  <c r="B171"/>
  <c r="E171"/>
  <c r="I171" s="1"/>
  <c r="F171"/>
  <c r="G171"/>
  <c r="A172"/>
  <c r="E172" s="1"/>
  <c r="B172"/>
  <c r="F172"/>
  <c r="G172"/>
  <c r="A173"/>
  <c r="B173"/>
  <c r="E173"/>
  <c r="I173" s="1"/>
  <c r="F173"/>
  <c r="G173"/>
  <c r="A174"/>
  <c r="E174" s="1"/>
  <c r="B174"/>
  <c r="F174"/>
  <c r="G174"/>
  <c r="A175"/>
  <c r="B175"/>
  <c r="E175"/>
  <c r="I175" s="1"/>
  <c r="F175"/>
  <c r="G175"/>
  <c r="A176"/>
  <c r="E176" s="1"/>
  <c r="B176"/>
  <c r="F176"/>
  <c r="G176"/>
  <c r="A177"/>
  <c r="B177"/>
  <c r="E177"/>
  <c r="I177" s="1"/>
  <c r="F177"/>
  <c r="G177"/>
  <c r="A178"/>
  <c r="E178" s="1"/>
  <c r="B178"/>
  <c r="F178"/>
  <c r="G178"/>
  <c r="A179"/>
  <c r="B179"/>
  <c r="E179"/>
  <c r="I179" s="1"/>
  <c r="F179"/>
  <c r="G179"/>
  <c r="A180"/>
  <c r="E180" s="1"/>
  <c r="B180"/>
  <c r="F180"/>
  <c r="G180"/>
  <c r="A181"/>
  <c r="B181"/>
  <c r="E181"/>
  <c r="I181" s="1"/>
  <c r="F181"/>
  <c r="G181"/>
  <c r="A182"/>
  <c r="E182" s="1"/>
  <c r="B182"/>
  <c r="F182"/>
  <c r="G182"/>
  <c r="A183"/>
  <c r="B183"/>
  <c r="E183"/>
  <c r="I183" s="1"/>
  <c r="F183"/>
  <c r="G183"/>
  <c r="A184"/>
  <c r="E184" s="1"/>
  <c r="B184"/>
  <c r="F184"/>
  <c r="G184"/>
  <c r="A185"/>
  <c r="B185"/>
  <c r="E185"/>
  <c r="I185" s="1"/>
  <c r="F185"/>
  <c r="G185"/>
  <c r="A186"/>
  <c r="E186" s="1"/>
  <c r="B186"/>
  <c r="F186"/>
  <c r="G186"/>
  <c r="A187"/>
  <c r="B187"/>
  <c r="E187"/>
  <c r="I187" s="1"/>
  <c r="F187"/>
  <c r="G187"/>
  <c r="A188"/>
  <c r="E188" s="1"/>
  <c r="B188"/>
  <c r="F188"/>
  <c r="G188"/>
  <c r="A189"/>
  <c r="B189"/>
  <c r="E189"/>
  <c r="I189" s="1"/>
  <c r="F189"/>
  <c r="G189"/>
  <c r="A190"/>
  <c r="E190" s="1"/>
  <c r="B190"/>
  <c r="F190"/>
  <c r="G190"/>
  <c r="A191"/>
  <c r="B191"/>
  <c r="E191"/>
  <c r="I191" s="1"/>
  <c r="F191"/>
  <c r="G191"/>
  <c r="A192"/>
  <c r="E192" s="1"/>
  <c r="B192"/>
  <c r="F192"/>
  <c r="G192"/>
  <c r="A193"/>
  <c r="H193" s="1"/>
  <c r="B193"/>
  <c r="E193"/>
  <c r="I193" s="1"/>
  <c r="F193"/>
  <c r="G193"/>
  <c r="A194"/>
  <c r="E194" s="1"/>
  <c r="B194"/>
  <c r="F194"/>
  <c r="G194"/>
  <c r="A195"/>
  <c r="H195" s="1"/>
  <c r="B195"/>
  <c r="E195"/>
  <c r="I195" s="1"/>
  <c r="F195"/>
  <c r="G195"/>
  <c r="A196"/>
  <c r="E196" s="1"/>
  <c r="B196"/>
  <c r="F196"/>
  <c r="G196"/>
  <c r="A197"/>
  <c r="H197" s="1"/>
  <c r="B197"/>
  <c r="E197"/>
  <c r="I197" s="1"/>
  <c r="F197"/>
  <c r="G197"/>
  <c r="A198"/>
  <c r="E198" s="1"/>
  <c r="B198"/>
  <c r="F198"/>
  <c r="G198"/>
  <c r="A199"/>
  <c r="H199" s="1"/>
  <c r="B199"/>
  <c r="E199"/>
  <c r="I199" s="1"/>
  <c r="F199"/>
  <c r="G199"/>
  <c r="A200"/>
  <c r="E200" s="1"/>
  <c r="B200"/>
  <c r="F200"/>
  <c r="G200"/>
  <c r="A201"/>
  <c r="H201" s="1"/>
  <c r="B201"/>
  <c r="E201"/>
  <c r="I201" s="1"/>
  <c r="F201"/>
  <c r="G201"/>
  <c r="A202"/>
  <c r="E202" s="1"/>
  <c r="B202"/>
  <c r="F202"/>
  <c r="G202"/>
  <c r="A203"/>
  <c r="H203" s="1"/>
  <c r="B203"/>
  <c r="E203"/>
  <c r="I203" s="1"/>
  <c r="F203"/>
  <c r="G203"/>
  <c r="A204"/>
  <c r="B204"/>
  <c r="F204"/>
  <c r="G204"/>
  <c r="A205"/>
  <c r="B205"/>
  <c r="E205"/>
  <c r="F205"/>
  <c r="G205"/>
  <c r="A206"/>
  <c r="B206"/>
  <c r="F206"/>
  <c r="G206"/>
  <c r="A207"/>
  <c r="B207"/>
  <c r="E207"/>
  <c r="F207"/>
  <c r="G207"/>
  <c r="A208"/>
  <c r="B208"/>
  <c r="F208"/>
  <c r="G208"/>
  <c r="A209"/>
  <c r="B209"/>
  <c r="E209"/>
  <c r="F209"/>
  <c r="G209"/>
  <c r="A210"/>
  <c r="B210"/>
  <c r="F210"/>
  <c r="G210"/>
  <c r="A211"/>
  <c r="B211"/>
  <c r="E211"/>
  <c r="F211"/>
  <c r="G211"/>
  <c r="A212"/>
  <c r="B212"/>
  <c r="F212"/>
  <c r="G212"/>
  <c r="A213"/>
  <c r="B213"/>
  <c r="E213"/>
  <c r="F213"/>
  <c r="G213"/>
  <c r="A214"/>
  <c r="B214"/>
  <c r="F214"/>
  <c r="G214"/>
  <c r="A215"/>
  <c r="B215"/>
  <c r="E215"/>
  <c r="F215"/>
  <c r="G215"/>
  <c r="A216"/>
  <c r="B216"/>
  <c r="F216"/>
  <c r="G216"/>
  <c r="A217"/>
  <c r="B217"/>
  <c r="E217"/>
  <c r="F217"/>
  <c r="G217"/>
  <c r="A218"/>
  <c r="B218"/>
  <c r="F218"/>
  <c r="G218"/>
  <c r="A219"/>
  <c r="B219"/>
  <c r="E219"/>
  <c r="F219"/>
  <c r="G219"/>
  <c r="A220"/>
  <c r="B220"/>
  <c r="F220"/>
  <c r="G220"/>
  <c r="A221"/>
  <c r="B221"/>
  <c r="E221"/>
  <c r="F221"/>
  <c r="G221"/>
  <c r="A222"/>
  <c r="B222"/>
  <c r="F222"/>
  <c r="G222"/>
  <c r="A223"/>
  <c r="B223"/>
  <c r="E223"/>
  <c r="F223"/>
  <c r="G223"/>
  <c r="A224"/>
  <c r="B224"/>
  <c r="F224"/>
  <c r="G224"/>
  <c r="A225"/>
  <c r="B225"/>
  <c r="E225"/>
  <c r="F225"/>
  <c r="G225"/>
  <c r="A226"/>
  <c r="B226"/>
  <c r="F226"/>
  <c r="G226"/>
  <c r="A227"/>
  <c r="B227"/>
  <c r="E227"/>
  <c r="F227"/>
  <c r="G227"/>
  <c r="A228"/>
  <c r="B228"/>
  <c r="F228"/>
  <c r="G228"/>
  <c r="A229"/>
  <c r="B229"/>
  <c r="E229"/>
  <c r="F229"/>
  <c r="G229"/>
  <c r="A230"/>
  <c r="B230"/>
  <c r="F230"/>
  <c r="G230"/>
  <c r="A231"/>
  <c r="B231"/>
  <c r="E231"/>
  <c r="F231"/>
  <c r="G231"/>
  <c r="A232"/>
  <c r="B232"/>
  <c r="F232"/>
  <c r="G232"/>
  <c r="A233"/>
  <c r="B233"/>
  <c r="E233"/>
  <c r="F233"/>
  <c r="G233"/>
  <c r="A234"/>
  <c r="B234"/>
  <c r="F234"/>
  <c r="G234"/>
  <c r="A235"/>
  <c r="B235"/>
  <c r="E235"/>
  <c r="F235"/>
  <c r="G235"/>
  <c r="A236"/>
  <c r="B236"/>
  <c r="F236"/>
  <c r="G236"/>
  <c r="A237"/>
  <c r="B237"/>
  <c r="E237"/>
  <c r="F237"/>
  <c r="G237"/>
  <c r="A238"/>
  <c r="B238"/>
  <c r="F238"/>
  <c r="G238"/>
  <c r="A239"/>
  <c r="B239"/>
  <c r="E239"/>
  <c r="F239"/>
  <c r="G239"/>
  <c r="A240"/>
  <c r="B240"/>
  <c r="F240"/>
  <c r="G240"/>
  <c r="A241"/>
  <c r="B241"/>
  <c r="E241"/>
  <c r="F241"/>
  <c r="G241"/>
  <c r="A242"/>
  <c r="B242"/>
  <c r="F242"/>
  <c r="G242"/>
  <c r="A243"/>
  <c r="B243"/>
  <c r="E243"/>
  <c r="F243"/>
  <c r="G243"/>
  <c r="A244"/>
  <c r="B244"/>
  <c r="F244"/>
  <c r="G244"/>
  <c r="A245"/>
  <c r="B245"/>
  <c r="E245"/>
  <c r="F245"/>
  <c r="G245"/>
  <c r="A246"/>
  <c r="B246"/>
  <c r="F246"/>
  <c r="G246"/>
  <c r="A247"/>
  <c r="B247"/>
  <c r="E247"/>
  <c r="F247"/>
  <c r="G247"/>
  <c r="A248"/>
  <c r="B248"/>
  <c r="F248"/>
  <c r="G248"/>
  <c r="A249"/>
  <c r="B249"/>
  <c r="E249"/>
  <c r="F249"/>
  <c r="G249"/>
  <c r="A250"/>
  <c r="B250"/>
  <c r="F250"/>
  <c r="G250"/>
  <c r="A251"/>
  <c r="B251"/>
  <c r="E251"/>
  <c r="F251"/>
  <c r="G251"/>
  <c r="A252"/>
  <c r="B252"/>
  <c r="F252"/>
  <c r="G252"/>
  <c r="A253"/>
  <c r="B253"/>
  <c r="E253"/>
  <c r="F253"/>
  <c r="G253"/>
  <c r="A254"/>
  <c r="B254"/>
  <c r="F254"/>
  <c r="G254"/>
  <c r="A255"/>
  <c r="B255"/>
  <c r="E255"/>
  <c r="F255"/>
  <c r="G255"/>
  <c r="A256"/>
  <c r="B256"/>
  <c r="F256"/>
  <c r="G256"/>
  <c r="A257"/>
  <c r="B257"/>
  <c r="E257"/>
  <c r="F257"/>
  <c r="G257"/>
  <c r="A258"/>
  <c r="B258"/>
  <c r="F258"/>
  <c r="G258"/>
  <c r="A259"/>
  <c r="B259"/>
  <c r="E259"/>
  <c r="F259"/>
  <c r="G259"/>
  <c r="A260"/>
  <c r="B260"/>
  <c r="F260"/>
  <c r="G260"/>
  <c r="A261"/>
  <c r="B261"/>
  <c r="E261"/>
  <c r="F261"/>
  <c r="G261"/>
  <c r="A262"/>
  <c r="B262"/>
  <c r="F262"/>
  <c r="G262"/>
  <c r="A263"/>
  <c r="B263"/>
  <c r="E263"/>
  <c r="F263"/>
  <c r="G263"/>
  <c r="A264"/>
  <c r="B264"/>
  <c r="F264"/>
  <c r="G264"/>
  <c r="A265"/>
  <c r="B265"/>
  <c r="E265"/>
  <c r="F265"/>
  <c r="G265"/>
  <c r="A266"/>
  <c r="B266"/>
  <c r="F266"/>
  <c r="G266"/>
  <c r="A267"/>
  <c r="B267"/>
  <c r="E267"/>
  <c r="F267"/>
  <c r="G267"/>
  <c r="A268"/>
  <c r="B268"/>
  <c r="F268"/>
  <c r="G268"/>
  <c r="A269"/>
  <c r="B269"/>
  <c r="E269"/>
  <c r="F269"/>
  <c r="G269"/>
  <c r="A270"/>
  <c r="B270"/>
  <c r="F270"/>
  <c r="G270"/>
  <c r="A271"/>
  <c r="B271"/>
  <c r="E271"/>
  <c r="F271"/>
  <c r="G271"/>
  <c r="A272"/>
  <c r="B272"/>
  <c r="F272"/>
  <c r="G272"/>
  <c r="A273"/>
  <c r="B273"/>
  <c r="E273"/>
  <c r="F273"/>
  <c r="G273"/>
  <c r="A274"/>
  <c r="B274"/>
  <c r="F274"/>
  <c r="G274"/>
  <c r="A275"/>
  <c r="B275"/>
  <c r="E275"/>
  <c r="F275"/>
  <c r="G275"/>
  <c r="A276"/>
  <c r="B276"/>
  <c r="F276"/>
  <c r="G276"/>
  <c r="A277"/>
  <c r="B277"/>
  <c r="E277"/>
  <c r="F277"/>
  <c r="G277"/>
  <c r="A278"/>
  <c r="B278"/>
  <c r="F278"/>
  <c r="G278"/>
  <c r="A279"/>
  <c r="B279"/>
  <c r="E279"/>
  <c r="F279"/>
  <c r="G279"/>
  <c r="A280"/>
  <c r="B280"/>
  <c r="F280"/>
  <c r="G280"/>
  <c r="A281"/>
  <c r="B281"/>
  <c r="E281"/>
  <c r="F281"/>
  <c r="G281"/>
  <c r="A282"/>
  <c r="B282"/>
  <c r="F282"/>
  <c r="G282"/>
  <c r="A283"/>
  <c r="B283"/>
  <c r="E283"/>
  <c r="F283"/>
  <c r="G283"/>
  <c r="A284"/>
  <c r="B284"/>
  <c r="F284"/>
  <c r="G284"/>
  <c r="A285"/>
  <c r="B285"/>
  <c r="E285"/>
  <c r="F285"/>
  <c r="G285"/>
  <c r="A286"/>
  <c r="B286"/>
  <c r="F286"/>
  <c r="G286"/>
  <c r="A287"/>
  <c r="B287"/>
  <c r="E287"/>
  <c r="F287"/>
  <c r="G287"/>
  <c r="A288"/>
  <c r="E288" s="1"/>
  <c r="B288"/>
  <c r="F288"/>
  <c r="G288"/>
  <c r="A289"/>
  <c r="B289"/>
  <c r="E289"/>
  <c r="F289"/>
  <c r="G289"/>
  <c r="A290"/>
  <c r="B290"/>
  <c r="F290"/>
  <c r="G290"/>
  <c r="A291"/>
  <c r="B291"/>
  <c r="E291"/>
  <c r="F291"/>
  <c r="G291"/>
  <c r="A292"/>
  <c r="B292"/>
  <c r="F292"/>
  <c r="G292"/>
  <c r="A293"/>
  <c r="B293"/>
  <c r="E293"/>
  <c r="F293"/>
  <c r="G293"/>
  <c r="A294"/>
  <c r="B294"/>
  <c r="F294"/>
  <c r="G294"/>
  <c r="A295"/>
  <c r="B295"/>
  <c r="E295"/>
  <c r="F295"/>
  <c r="G295"/>
  <c r="A296"/>
  <c r="B296"/>
  <c r="F296"/>
  <c r="G296"/>
  <c r="A297"/>
  <c r="B297"/>
  <c r="E297"/>
  <c r="F297"/>
  <c r="G297"/>
  <c r="A298"/>
  <c r="B298"/>
  <c r="F298"/>
  <c r="G298"/>
  <c r="A299"/>
  <c r="B299"/>
  <c r="E299"/>
  <c r="F299"/>
  <c r="G299"/>
  <c r="A300"/>
  <c r="B300"/>
  <c r="F300"/>
  <c r="G300"/>
  <c r="A301"/>
  <c r="B301"/>
  <c r="E301"/>
  <c r="F301"/>
  <c r="G301"/>
  <c r="A302"/>
  <c r="B302"/>
  <c r="F302"/>
  <c r="G302"/>
  <c r="A303"/>
  <c r="B303"/>
  <c r="E303"/>
  <c r="F303"/>
  <c r="G303"/>
  <c r="A304"/>
  <c r="B304"/>
  <c r="F304"/>
  <c r="G304"/>
  <c r="A305"/>
  <c r="B305"/>
  <c r="E305"/>
  <c r="F305"/>
  <c r="G305"/>
  <c r="A306"/>
  <c r="B306"/>
  <c r="F306"/>
  <c r="G306"/>
  <c r="A307"/>
  <c r="B307"/>
  <c r="E307"/>
  <c r="F307"/>
  <c r="G307"/>
  <c r="A308"/>
  <c r="B308"/>
  <c r="F308"/>
  <c r="G308"/>
  <c r="A309"/>
  <c r="B309"/>
  <c r="E309"/>
  <c r="F309"/>
  <c r="G309"/>
  <c r="A310"/>
  <c r="B310"/>
  <c r="F310"/>
  <c r="G310"/>
  <c r="A311"/>
  <c r="B311"/>
  <c r="E311"/>
  <c r="F311"/>
  <c r="G311"/>
  <c r="A312"/>
  <c r="B312"/>
  <c r="F312"/>
  <c r="G312"/>
  <c r="A313"/>
  <c r="B313"/>
  <c r="E313"/>
  <c r="F313"/>
  <c r="G313"/>
  <c r="A314"/>
  <c r="B314"/>
  <c r="F314"/>
  <c r="G314"/>
  <c r="A315"/>
  <c r="B315"/>
  <c r="E315"/>
  <c r="F315"/>
  <c r="G315"/>
  <c r="A316"/>
  <c r="B316"/>
  <c r="F316"/>
  <c r="G316"/>
  <c r="A317"/>
  <c r="B317"/>
  <c r="E317"/>
  <c r="F317"/>
  <c r="G317"/>
  <c r="A318"/>
  <c r="B318"/>
  <c r="F318"/>
  <c r="G318"/>
  <c r="A319"/>
  <c r="B319"/>
  <c r="E319"/>
  <c r="F319"/>
  <c r="G319"/>
  <c r="A320"/>
  <c r="B320"/>
  <c r="F320"/>
  <c r="G320"/>
  <c r="A321"/>
  <c r="B321"/>
  <c r="E321"/>
  <c r="F321"/>
  <c r="G321"/>
  <c r="A322"/>
  <c r="B322"/>
  <c r="F322"/>
  <c r="G322"/>
  <c r="A323"/>
  <c r="B323"/>
  <c r="E323"/>
  <c r="F323"/>
  <c r="G323"/>
  <c r="A324"/>
  <c r="B324"/>
  <c r="F324"/>
  <c r="G324"/>
  <c r="A325"/>
  <c r="B325"/>
  <c r="E325"/>
  <c r="F325"/>
  <c r="G325"/>
  <c r="A326"/>
  <c r="B326"/>
  <c r="F326"/>
  <c r="G326"/>
  <c r="A327"/>
  <c r="B327"/>
  <c r="E327"/>
  <c r="F327"/>
  <c r="G327"/>
  <c r="A328"/>
  <c r="B328"/>
  <c r="F328"/>
  <c r="G328"/>
  <c r="A329"/>
  <c r="B329"/>
  <c r="E329"/>
  <c r="F329"/>
  <c r="G329"/>
  <c r="A330"/>
  <c r="B330"/>
  <c r="F330"/>
  <c r="G330"/>
  <c r="A331"/>
  <c r="B331"/>
  <c r="E331"/>
  <c r="F331"/>
  <c r="G331"/>
  <c r="A332"/>
  <c r="B332"/>
  <c r="F332"/>
  <c r="G332"/>
  <c r="A333"/>
  <c r="B333"/>
  <c r="E333"/>
  <c r="F333"/>
  <c r="G333"/>
  <c r="A334"/>
  <c r="B334"/>
  <c r="F334"/>
  <c r="G334"/>
  <c r="A335"/>
  <c r="B335"/>
  <c r="E335"/>
  <c r="F335"/>
  <c r="G335"/>
  <c r="A336"/>
  <c r="B336"/>
  <c r="F336"/>
  <c r="G336"/>
  <c r="A337"/>
  <c r="B337"/>
  <c r="E337"/>
  <c r="F337"/>
  <c r="G337"/>
  <c r="A338"/>
  <c r="B338"/>
  <c r="F338"/>
  <c r="G338"/>
  <c r="A339"/>
  <c r="B339"/>
  <c r="E339"/>
  <c r="F339"/>
  <c r="G339"/>
  <c r="A340"/>
  <c r="B340"/>
  <c r="F340"/>
  <c r="G340"/>
  <c r="A341"/>
  <c r="B341"/>
  <c r="E341"/>
  <c r="F341"/>
  <c r="G341"/>
  <c r="A342"/>
  <c r="B342"/>
  <c r="F342"/>
  <c r="G342"/>
  <c r="A343"/>
  <c r="B343"/>
  <c r="E343"/>
  <c r="F343"/>
  <c r="G343"/>
  <c r="A344"/>
  <c r="B344"/>
  <c r="F344"/>
  <c r="G344"/>
  <c r="A345"/>
  <c r="B345"/>
  <c r="E345"/>
  <c r="F345"/>
  <c r="G345"/>
  <c r="A346"/>
  <c r="B346"/>
  <c r="F346"/>
  <c r="G346"/>
  <c r="A347"/>
  <c r="B347"/>
  <c r="E347"/>
  <c r="F347"/>
  <c r="G347"/>
  <c r="A348"/>
  <c r="B348"/>
  <c r="F348"/>
  <c r="G348"/>
  <c r="A349"/>
  <c r="B349"/>
  <c r="E349"/>
  <c r="F349"/>
  <c r="G349"/>
  <c r="A350"/>
  <c r="B350"/>
  <c r="F350"/>
  <c r="G350"/>
  <c r="A351"/>
  <c r="B351"/>
  <c r="E351"/>
  <c r="F351"/>
  <c r="G351"/>
  <c r="A352"/>
  <c r="B352"/>
  <c r="F352"/>
  <c r="G352"/>
  <c r="A353"/>
  <c r="B353"/>
  <c r="E353"/>
  <c r="F353"/>
  <c r="G353"/>
  <c r="A354"/>
  <c r="B354"/>
  <c r="F354"/>
  <c r="G354"/>
  <c r="A355"/>
  <c r="B355"/>
  <c r="E355"/>
  <c r="F355"/>
  <c r="G355"/>
  <c r="A356"/>
  <c r="B356"/>
  <c r="F356"/>
  <c r="G356"/>
  <c r="A357"/>
  <c r="B357"/>
  <c r="E357"/>
  <c r="F357"/>
  <c r="G357"/>
  <c r="A358"/>
  <c r="B358"/>
  <c r="F358"/>
  <c r="G358"/>
  <c r="A359"/>
  <c r="B359"/>
  <c r="E359"/>
  <c r="F359"/>
  <c r="G359"/>
  <c r="A360"/>
  <c r="B360"/>
  <c r="F360"/>
  <c r="G360"/>
  <c r="A361"/>
  <c r="B361"/>
  <c r="E361"/>
  <c r="F361"/>
  <c r="G361"/>
  <c r="A362"/>
  <c r="B362"/>
  <c r="F362"/>
  <c r="G362"/>
  <c r="A363"/>
  <c r="B363"/>
  <c r="E363"/>
  <c r="F363"/>
  <c r="G363"/>
  <c r="A364"/>
  <c r="B364"/>
  <c r="F364"/>
  <c r="G364"/>
  <c r="A365"/>
  <c r="B365"/>
  <c r="E365"/>
  <c r="F365"/>
  <c r="G365"/>
  <c r="A366"/>
  <c r="B366"/>
  <c r="F366"/>
  <c r="G366"/>
  <c r="A367"/>
  <c r="B367"/>
  <c r="E367"/>
  <c r="F367"/>
  <c r="G367"/>
  <c r="A368"/>
  <c r="B368"/>
  <c r="F368"/>
  <c r="G368"/>
  <c r="A369"/>
  <c r="B369"/>
  <c r="E369"/>
  <c r="I369" s="1"/>
  <c r="F369"/>
  <c r="G369"/>
  <c r="A370"/>
  <c r="E370" s="1"/>
  <c r="B370"/>
  <c r="F370"/>
  <c r="G370"/>
  <c r="A371"/>
  <c r="B371"/>
  <c r="E371"/>
  <c r="I371" s="1"/>
  <c r="F371"/>
  <c r="G371"/>
  <c r="A372"/>
  <c r="E372" s="1"/>
  <c r="B372"/>
  <c r="F372"/>
  <c r="G372"/>
  <c r="A373"/>
  <c r="B373"/>
  <c r="E373"/>
  <c r="I373" s="1"/>
  <c r="F373"/>
  <c r="G373"/>
  <c r="A374"/>
  <c r="E374" s="1"/>
  <c r="B374"/>
  <c r="F374"/>
  <c r="G374"/>
  <c r="A375"/>
  <c r="B375"/>
  <c r="E375"/>
  <c r="I375" s="1"/>
  <c r="F375"/>
  <c r="G375"/>
  <c r="A376"/>
  <c r="E376" s="1"/>
  <c r="B376"/>
  <c r="F376"/>
  <c r="G376"/>
  <c r="A377"/>
  <c r="B377"/>
  <c r="E377"/>
  <c r="I377" s="1"/>
  <c r="F377"/>
  <c r="G377"/>
  <c r="A378"/>
  <c r="B378"/>
  <c r="F378"/>
  <c r="G378"/>
  <c r="A379"/>
  <c r="B379"/>
  <c r="E379"/>
  <c r="F379"/>
  <c r="G379"/>
  <c r="A380"/>
  <c r="B380"/>
  <c r="F380"/>
  <c r="G380"/>
  <c r="A381"/>
  <c r="B381"/>
  <c r="E381"/>
  <c r="F381"/>
  <c r="G381"/>
  <c r="A382"/>
  <c r="B382"/>
  <c r="F382"/>
  <c r="G382"/>
  <c r="A383"/>
  <c r="B383"/>
  <c r="E383"/>
  <c r="F383"/>
  <c r="G383"/>
  <c r="A384"/>
  <c r="B384"/>
  <c r="F384"/>
  <c r="G384"/>
  <c r="A385"/>
  <c r="B385"/>
  <c r="E385"/>
  <c r="F385"/>
  <c r="G385"/>
  <c r="A386"/>
  <c r="B386"/>
  <c r="F386"/>
  <c r="G386"/>
  <c r="A387"/>
  <c r="B387"/>
  <c r="E387"/>
  <c r="F387"/>
  <c r="G387"/>
  <c r="A388"/>
  <c r="B388"/>
  <c r="F388"/>
  <c r="G388"/>
  <c r="A389"/>
  <c r="B389"/>
  <c r="E389"/>
  <c r="F389"/>
  <c r="G389"/>
  <c r="A390"/>
  <c r="B390"/>
  <c r="F390"/>
  <c r="G390"/>
  <c r="A391"/>
  <c r="B391"/>
  <c r="E391"/>
  <c r="I391" s="1"/>
  <c r="F391"/>
  <c r="G391"/>
  <c r="A392"/>
  <c r="E392" s="1"/>
  <c r="B392"/>
  <c r="F392"/>
  <c r="G392"/>
  <c r="A393"/>
  <c r="B393"/>
  <c r="E393"/>
  <c r="I393" s="1"/>
  <c r="F393"/>
  <c r="G393"/>
  <c r="A394"/>
  <c r="E394" s="1"/>
  <c r="B394"/>
  <c r="F394"/>
  <c r="G394"/>
  <c r="A395"/>
  <c r="B395"/>
  <c r="E395"/>
  <c r="I395" s="1"/>
  <c r="F395"/>
  <c r="G395"/>
  <c r="A396"/>
  <c r="E396" s="1"/>
  <c r="B396"/>
  <c r="F396"/>
  <c r="G396"/>
  <c r="A397"/>
  <c r="B397"/>
  <c r="E397"/>
  <c r="I397" s="1"/>
  <c r="F397"/>
  <c r="G397"/>
  <c r="A398"/>
  <c r="E398" s="1"/>
  <c r="B398"/>
  <c r="F398"/>
  <c r="G398"/>
  <c r="A399"/>
  <c r="B399"/>
  <c r="E399"/>
  <c r="I399" s="1"/>
  <c r="F399"/>
  <c r="G399"/>
  <c r="A400"/>
  <c r="B400"/>
  <c r="F400"/>
  <c r="G400"/>
  <c r="A401"/>
  <c r="B401"/>
  <c r="E401"/>
  <c r="F401"/>
  <c r="G401"/>
  <c r="A402"/>
  <c r="B402"/>
  <c r="F402"/>
  <c r="G402"/>
  <c r="A403"/>
  <c r="B403"/>
  <c r="E403"/>
  <c r="F403"/>
  <c r="G403"/>
  <c r="A404"/>
  <c r="B404"/>
  <c r="F404"/>
  <c r="G404"/>
  <c r="A405"/>
  <c r="B405"/>
  <c r="E405"/>
  <c r="F405"/>
  <c r="G405"/>
  <c r="A406"/>
  <c r="B406"/>
  <c r="F406"/>
  <c r="G406"/>
  <c r="A407"/>
  <c r="B407"/>
  <c r="E407"/>
  <c r="F407"/>
  <c r="G407"/>
  <c r="A408"/>
  <c r="B408"/>
  <c r="F408"/>
  <c r="G408"/>
  <c r="A409"/>
  <c r="B409"/>
  <c r="E409"/>
  <c r="F409"/>
  <c r="G409"/>
  <c r="A410"/>
  <c r="B410"/>
  <c r="F410"/>
  <c r="G410"/>
  <c r="A411"/>
  <c r="B411"/>
  <c r="E411"/>
  <c r="F411"/>
  <c r="G411"/>
  <c r="A412"/>
  <c r="B412"/>
  <c r="F412"/>
  <c r="G412"/>
  <c r="A413"/>
  <c r="B413"/>
  <c r="E413"/>
  <c r="F413"/>
  <c r="G413"/>
  <c r="A414"/>
  <c r="B414"/>
  <c r="F414"/>
  <c r="G414"/>
  <c r="A415"/>
  <c r="B415"/>
  <c r="E415"/>
  <c r="F415"/>
  <c r="G415"/>
  <c r="A416"/>
  <c r="B416"/>
  <c r="F416"/>
  <c r="G416"/>
  <c r="A417"/>
  <c r="B417"/>
  <c r="E417"/>
  <c r="F417"/>
  <c r="G417"/>
  <c r="A418"/>
  <c r="B418"/>
  <c r="F418"/>
  <c r="G418"/>
  <c r="A419"/>
  <c r="B419"/>
  <c r="E419"/>
  <c r="F419"/>
  <c r="G419"/>
  <c r="A420"/>
  <c r="B420"/>
  <c r="F420"/>
  <c r="G420"/>
  <c r="A421"/>
  <c r="B421"/>
  <c r="E421"/>
  <c r="F421"/>
  <c r="G421"/>
  <c r="A422"/>
  <c r="B422"/>
  <c r="F422"/>
  <c r="G422"/>
  <c r="A423"/>
  <c r="B423"/>
  <c r="E423"/>
  <c r="F423"/>
  <c r="G423"/>
  <c r="A424"/>
  <c r="B424"/>
  <c r="F424"/>
  <c r="G424"/>
  <c r="A425"/>
  <c r="B425"/>
  <c r="E425"/>
  <c r="F425"/>
  <c r="G425"/>
  <c r="A426"/>
  <c r="B426"/>
  <c r="F426"/>
  <c r="G426"/>
  <c r="A427"/>
  <c r="B427"/>
  <c r="E427"/>
  <c r="F427"/>
  <c r="G427"/>
  <c r="A428"/>
  <c r="B428"/>
  <c r="F428"/>
  <c r="G428"/>
  <c r="A429"/>
  <c r="B429"/>
  <c r="E429"/>
  <c r="F429"/>
  <c r="G429"/>
  <c r="A430"/>
  <c r="B430"/>
  <c r="F430"/>
  <c r="G430"/>
  <c r="A431"/>
  <c r="B431"/>
  <c r="E431"/>
  <c r="F431"/>
  <c r="G431"/>
  <c r="A432"/>
  <c r="B432"/>
  <c r="F432"/>
  <c r="G432"/>
  <c r="A433"/>
  <c r="B433"/>
  <c r="E433"/>
  <c r="F433"/>
  <c r="G433"/>
  <c r="A434"/>
  <c r="B434"/>
  <c r="F434"/>
  <c r="G434"/>
  <c r="A435"/>
  <c r="B435"/>
  <c r="E435"/>
  <c r="F435"/>
  <c r="G435"/>
  <c r="A436"/>
  <c r="B436"/>
  <c r="F436"/>
  <c r="G436"/>
  <c r="A437"/>
  <c r="B437"/>
  <c r="E437"/>
  <c r="F437"/>
  <c r="G437"/>
  <c r="A438"/>
  <c r="B438"/>
  <c r="F438"/>
  <c r="G438"/>
  <c r="A439"/>
  <c r="B439"/>
  <c r="E439"/>
  <c r="F439"/>
  <c r="G439"/>
  <c r="A440"/>
  <c r="B440"/>
  <c r="F440"/>
  <c r="G440"/>
  <c r="A441"/>
  <c r="B441"/>
  <c r="E441"/>
  <c r="F441"/>
  <c r="G441"/>
  <c r="A442"/>
  <c r="B442"/>
  <c r="F442"/>
  <c r="G442"/>
  <c r="A443"/>
  <c r="B443"/>
  <c r="E443"/>
  <c r="F443"/>
  <c r="G443"/>
  <c r="A444"/>
  <c r="B444"/>
  <c r="F444"/>
  <c r="G444"/>
  <c r="A445"/>
  <c r="B445"/>
  <c r="E445"/>
  <c r="F445"/>
  <c r="G445"/>
  <c r="A446"/>
  <c r="B446"/>
  <c r="F446"/>
  <c r="G446"/>
  <c r="A447"/>
  <c r="B447"/>
  <c r="E447"/>
  <c r="I447" s="1"/>
  <c r="F447"/>
  <c r="G447"/>
  <c r="A448"/>
  <c r="E448" s="1"/>
  <c r="B448"/>
  <c r="F448"/>
  <c r="G448"/>
  <c r="A449"/>
  <c r="B449"/>
  <c r="E449"/>
  <c r="I449" s="1"/>
  <c r="F449"/>
  <c r="G449"/>
  <c r="A450"/>
  <c r="E450" s="1"/>
  <c r="B450"/>
  <c r="F450"/>
  <c r="G450"/>
  <c r="A451"/>
  <c r="B451"/>
  <c r="E451"/>
  <c r="I451" s="1"/>
  <c r="F451"/>
  <c r="G451"/>
  <c r="A452"/>
  <c r="E452" s="1"/>
  <c r="B452"/>
  <c r="F452"/>
  <c r="G452"/>
  <c r="A453"/>
  <c r="B453"/>
  <c r="E453"/>
  <c r="I453" s="1"/>
  <c r="F453"/>
  <c r="G453"/>
  <c r="A454"/>
  <c r="E454" s="1"/>
  <c r="B454"/>
  <c r="F454"/>
  <c r="G454"/>
  <c r="A455"/>
  <c r="B455"/>
  <c r="E455"/>
  <c r="I455" s="1"/>
  <c r="F455"/>
  <c r="G455"/>
  <c r="A456"/>
  <c r="B456"/>
  <c r="F456"/>
  <c r="G456"/>
  <c r="A457"/>
  <c r="B457"/>
  <c r="E457"/>
  <c r="I457" s="1"/>
  <c r="F457"/>
  <c r="G457"/>
  <c r="A458"/>
  <c r="E458" s="1"/>
  <c r="B458"/>
  <c r="F458"/>
  <c r="G458"/>
  <c r="A459"/>
  <c r="B459"/>
  <c r="E459"/>
  <c r="I459" s="1"/>
  <c r="F459"/>
  <c r="G459"/>
  <c r="A460"/>
  <c r="E460" s="1"/>
  <c r="B460"/>
  <c r="F460"/>
  <c r="G460"/>
  <c r="A461"/>
  <c r="B461"/>
  <c r="E461"/>
  <c r="I461" s="1"/>
  <c r="F461"/>
  <c r="G461"/>
  <c r="A462"/>
  <c r="E462" s="1"/>
  <c r="B462"/>
  <c r="F462"/>
  <c r="G462"/>
  <c r="A463"/>
  <c r="B463"/>
  <c r="E463"/>
  <c r="F463"/>
  <c r="G463"/>
  <c r="A464"/>
  <c r="B464"/>
  <c r="F464"/>
  <c r="G464"/>
  <c r="A465"/>
  <c r="B465"/>
  <c r="E465"/>
  <c r="F465"/>
  <c r="G465"/>
  <c r="A466"/>
  <c r="B466"/>
  <c r="F466"/>
  <c r="G466"/>
  <c r="A467"/>
  <c r="B467"/>
  <c r="E467"/>
  <c r="I467" s="1"/>
  <c r="F467"/>
  <c r="G467"/>
  <c r="A468"/>
  <c r="E468" s="1"/>
  <c r="B468"/>
  <c r="F468"/>
  <c r="G468"/>
  <c r="A469"/>
  <c r="B469"/>
  <c r="E469"/>
  <c r="I469" s="1"/>
  <c r="F469"/>
  <c r="G469"/>
  <c r="A470"/>
  <c r="E470" s="1"/>
  <c r="B470"/>
  <c r="F470"/>
  <c r="G470"/>
  <c r="A471"/>
  <c r="B471"/>
  <c r="E471"/>
  <c r="I471" s="1"/>
  <c r="F471"/>
  <c r="G471"/>
  <c r="A472"/>
  <c r="E472" s="1"/>
  <c r="B472"/>
  <c r="F472"/>
  <c r="G472"/>
  <c r="A473"/>
  <c r="B473"/>
  <c r="E473"/>
  <c r="I473" s="1"/>
  <c r="F473"/>
  <c r="G473"/>
  <c r="A474"/>
  <c r="E474" s="1"/>
  <c r="B474"/>
  <c r="F474"/>
  <c r="G474"/>
  <c r="A475"/>
  <c r="B475"/>
  <c r="E475"/>
  <c r="I475" s="1"/>
  <c r="F475"/>
  <c r="G475"/>
  <c r="A476"/>
  <c r="E476" s="1"/>
  <c r="B476"/>
  <c r="F476"/>
  <c r="G476"/>
  <c r="A477"/>
  <c r="B477"/>
  <c r="E477"/>
  <c r="I477" s="1"/>
  <c r="F477"/>
  <c r="G477"/>
  <c r="A478"/>
  <c r="E478" s="1"/>
  <c r="B478"/>
  <c r="F478"/>
  <c r="G478"/>
  <c r="A479"/>
  <c r="B479"/>
  <c r="E479"/>
  <c r="I479" s="1"/>
  <c r="F479"/>
  <c r="G479"/>
  <c r="A480"/>
  <c r="E480" s="1"/>
  <c r="B480"/>
  <c r="F480"/>
  <c r="G480"/>
  <c r="A481"/>
  <c r="B481"/>
  <c r="E481"/>
  <c r="I481" s="1"/>
  <c r="F481"/>
  <c r="G481"/>
  <c r="A482"/>
  <c r="E482" s="1"/>
  <c r="B482"/>
  <c r="F482"/>
  <c r="G482"/>
  <c r="A483"/>
  <c r="B483"/>
  <c r="E483"/>
  <c r="I483" s="1"/>
  <c r="F483"/>
  <c r="G483"/>
  <c r="A484"/>
  <c r="E484" s="1"/>
  <c r="B484"/>
  <c r="F484"/>
  <c r="G484"/>
  <c r="A485"/>
  <c r="B485"/>
  <c r="E485"/>
  <c r="I485" s="1"/>
  <c r="F485"/>
  <c r="G485"/>
  <c r="A486"/>
  <c r="E486" s="1"/>
  <c r="B486"/>
  <c r="F486"/>
  <c r="G486"/>
  <c r="A487"/>
  <c r="B487"/>
  <c r="E487"/>
  <c r="I487" s="1"/>
  <c r="F487"/>
  <c r="G487"/>
  <c r="A488"/>
  <c r="E488" s="1"/>
  <c r="B488"/>
  <c r="F488"/>
  <c r="G488"/>
  <c r="A489"/>
  <c r="B489"/>
  <c r="E489"/>
  <c r="I489" s="1"/>
  <c r="F489"/>
  <c r="G489"/>
  <c r="A490"/>
  <c r="E490" s="1"/>
  <c r="B490"/>
  <c r="F490"/>
  <c r="G490"/>
  <c r="A491"/>
  <c r="B491"/>
  <c r="E491"/>
  <c r="F491"/>
  <c r="G491"/>
  <c r="A492"/>
  <c r="B492"/>
  <c r="F492"/>
  <c r="G492"/>
  <c r="A493"/>
  <c r="B493"/>
  <c r="E493"/>
  <c r="F493"/>
  <c r="G493"/>
  <c r="A494"/>
  <c r="B494"/>
  <c r="F494"/>
  <c r="G494"/>
  <c r="A495"/>
  <c r="B495"/>
  <c r="E495"/>
  <c r="I495" s="1"/>
  <c r="F495"/>
  <c r="G495"/>
  <c r="A496"/>
  <c r="E496" s="1"/>
  <c r="B496"/>
  <c r="F496"/>
  <c r="G496"/>
  <c r="A497"/>
  <c r="B497"/>
  <c r="E497"/>
  <c r="I497" s="1"/>
  <c r="F497"/>
  <c r="G497"/>
  <c r="A498"/>
  <c r="E498" s="1"/>
  <c r="B498"/>
  <c r="F498"/>
  <c r="G498"/>
  <c r="A499"/>
  <c r="B499"/>
  <c r="E499"/>
  <c r="I499" s="1"/>
  <c r="F499"/>
  <c r="G499"/>
  <c r="A500"/>
  <c r="E500" s="1"/>
  <c r="B500"/>
  <c r="F500"/>
  <c r="G500"/>
  <c r="A501"/>
  <c r="B501"/>
  <c r="E501"/>
  <c r="I501" s="1"/>
  <c r="F501"/>
  <c r="G501"/>
  <c r="A502"/>
  <c r="E502" s="1"/>
  <c r="B502"/>
  <c r="F502"/>
  <c r="G502"/>
  <c r="A503"/>
  <c r="B503"/>
  <c r="E503"/>
  <c r="I503" s="1"/>
  <c r="F503"/>
  <c r="G503"/>
  <c r="A504"/>
  <c r="E504" s="1"/>
  <c r="B504"/>
  <c r="F504"/>
  <c r="G504"/>
  <c r="A505"/>
  <c r="B505"/>
  <c r="E505"/>
  <c r="I505" s="1"/>
  <c r="F505"/>
  <c r="G505"/>
  <c r="A506"/>
  <c r="E506" s="1"/>
  <c r="B506"/>
  <c r="F506"/>
  <c r="G506"/>
  <c r="A507"/>
  <c r="B507"/>
  <c r="E507"/>
  <c r="I507" s="1"/>
  <c r="F507"/>
  <c r="G507"/>
  <c r="A508"/>
  <c r="B508"/>
  <c r="F508"/>
  <c r="G508"/>
  <c r="A509"/>
  <c r="B509"/>
  <c r="E509"/>
  <c r="F509"/>
  <c r="G509"/>
  <c r="A510"/>
  <c r="B510"/>
  <c r="F510"/>
  <c r="G510"/>
  <c r="A511"/>
  <c r="B511"/>
  <c r="E511"/>
  <c r="F511"/>
  <c r="G511"/>
  <c r="A512"/>
  <c r="B512"/>
  <c r="F512"/>
  <c r="G512"/>
  <c r="A513"/>
  <c r="B513"/>
  <c r="E513"/>
  <c r="F513"/>
  <c r="G513"/>
  <c r="A514"/>
  <c r="B514"/>
  <c r="F514"/>
  <c r="G514"/>
  <c r="A515"/>
  <c r="B515"/>
  <c r="E515"/>
  <c r="F515"/>
  <c r="G515"/>
  <c r="A516"/>
  <c r="B516"/>
  <c r="F516"/>
  <c r="G516"/>
  <c r="A517"/>
  <c r="B517"/>
  <c r="E517"/>
  <c r="I517" s="1"/>
  <c r="F517"/>
  <c r="G517"/>
  <c r="A518"/>
  <c r="E518" s="1"/>
  <c r="B518"/>
  <c r="F518"/>
  <c r="G518"/>
  <c r="A519"/>
  <c r="B519"/>
  <c r="E519"/>
  <c r="I519" s="1"/>
  <c r="F519"/>
  <c r="G519"/>
  <c r="A520"/>
  <c r="E520" s="1"/>
  <c r="B520"/>
  <c r="F520"/>
  <c r="G520"/>
  <c r="A521"/>
  <c r="B521"/>
  <c r="E521"/>
  <c r="I521" s="1"/>
  <c r="F521"/>
  <c r="G521"/>
  <c r="A522"/>
  <c r="E522" s="1"/>
  <c r="B522"/>
  <c r="F522"/>
  <c r="G522"/>
  <c r="A523"/>
  <c r="B523"/>
  <c r="E523"/>
  <c r="I523" s="1"/>
  <c r="F523"/>
  <c r="G523"/>
  <c r="A524"/>
  <c r="E524" s="1"/>
  <c r="B524"/>
  <c r="F524"/>
  <c r="G524"/>
  <c r="A525"/>
  <c r="B525"/>
  <c r="E525"/>
  <c r="I525" s="1"/>
  <c r="F525"/>
  <c r="G525"/>
  <c r="A526"/>
  <c r="E526" s="1"/>
  <c r="B526"/>
  <c r="F526"/>
  <c r="G526"/>
  <c r="A527"/>
  <c r="B527"/>
  <c r="E527"/>
  <c r="I527" s="1"/>
  <c r="F527"/>
  <c r="G527"/>
  <c r="A528"/>
  <c r="B528"/>
  <c r="F528"/>
  <c r="G528"/>
  <c r="A529"/>
  <c r="B529"/>
  <c r="E529"/>
  <c r="F529"/>
  <c r="G529"/>
  <c r="A530"/>
  <c r="B530"/>
  <c r="F530"/>
  <c r="G530"/>
  <c r="A531"/>
  <c r="B531"/>
  <c r="E531"/>
  <c r="F531"/>
  <c r="G531"/>
  <c r="A532"/>
  <c r="B532"/>
  <c r="F532"/>
  <c r="G532"/>
  <c r="A533"/>
  <c r="B533"/>
  <c r="E533"/>
  <c r="F533"/>
  <c r="G533"/>
  <c r="A534"/>
  <c r="B534"/>
  <c r="F534"/>
  <c r="G534"/>
  <c r="A535"/>
  <c r="B535"/>
  <c r="E535"/>
  <c r="F535"/>
  <c r="G535"/>
  <c r="A536"/>
  <c r="B536"/>
  <c r="F536"/>
  <c r="G536"/>
  <c r="A537"/>
  <c r="B537"/>
  <c r="E537"/>
  <c r="I537" s="1"/>
  <c r="F537"/>
  <c r="G537"/>
  <c r="A538"/>
  <c r="E538" s="1"/>
  <c r="B538"/>
  <c r="F538"/>
  <c r="G538"/>
  <c r="A539"/>
  <c r="B539"/>
  <c r="E539"/>
  <c r="I539" s="1"/>
  <c r="F539"/>
  <c r="G539"/>
  <c r="A540"/>
  <c r="E540" s="1"/>
  <c r="B540"/>
  <c r="F540"/>
  <c r="G540"/>
  <c r="A541"/>
  <c r="B541"/>
  <c r="E541"/>
  <c r="I541" s="1"/>
  <c r="F541"/>
  <c r="G541"/>
  <c r="A542"/>
  <c r="E542" s="1"/>
  <c r="B542"/>
  <c r="F542"/>
  <c r="G542"/>
  <c r="A543"/>
  <c r="B543"/>
  <c r="E543"/>
  <c r="I543" s="1"/>
  <c r="F543"/>
  <c r="G543"/>
  <c r="A544"/>
  <c r="E544" s="1"/>
  <c r="B544"/>
  <c r="F544"/>
  <c r="G544"/>
  <c r="A545"/>
  <c r="B545"/>
  <c r="E545"/>
  <c r="I545" s="1"/>
  <c r="F545"/>
  <c r="G545"/>
  <c r="A546"/>
  <c r="E546" s="1"/>
  <c r="B546"/>
  <c r="F546"/>
  <c r="G546"/>
  <c r="A547"/>
  <c r="B547"/>
  <c r="E547"/>
  <c r="I547" s="1"/>
  <c r="F547"/>
  <c r="G547"/>
  <c r="A548"/>
  <c r="E548" s="1"/>
  <c r="B548"/>
  <c r="F548"/>
  <c r="G548"/>
  <c r="A549"/>
  <c r="B549"/>
  <c r="F549"/>
  <c r="G549"/>
  <c r="A550"/>
  <c r="E550" s="1"/>
  <c r="B550"/>
  <c r="F550"/>
  <c r="G550"/>
  <c r="A551"/>
  <c r="B551"/>
  <c r="E551"/>
  <c r="I551" s="1"/>
  <c r="F551"/>
  <c r="G551"/>
  <c r="A552"/>
  <c r="E552" s="1"/>
  <c r="B552"/>
  <c r="F552"/>
  <c r="G552"/>
  <c r="A553"/>
  <c r="B553"/>
  <c r="E553"/>
  <c r="I553" s="1"/>
  <c r="F553"/>
  <c r="G553"/>
  <c r="A554"/>
  <c r="E554" s="1"/>
  <c r="B554"/>
  <c r="F554"/>
  <c r="G554"/>
  <c r="A555"/>
  <c r="B555"/>
  <c r="E555"/>
  <c r="I555" s="1"/>
  <c r="F555"/>
  <c r="G555"/>
  <c r="A556"/>
  <c r="E556" s="1"/>
  <c r="B556"/>
  <c r="F556"/>
  <c r="G556"/>
  <c r="A557"/>
  <c r="B557"/>
  <c r="E557"/>
  <c r="I557" s="1"/>
  <c r="F557"/>
  <c r="G557"/>
  <c r="A558"/>
  <c r="E558" s="1"/>
  <c r="B558"/>
  <c r="F558"/>
  <c r="G558"/>
  <c r="A559"/>
  <c r="B559"/>
  <c r="E559"/>
  <c r="I559" s="1"/>
  <c r="F559"/>
  <c r="G559"/>
  <c r="A560"/>
  <c r="E560" s="1"/>
  <c r="B560"/>
  <c r="F560"/>
  <c r="G560"/>
  <c r="A561"/>
  <c r="B561"/>
  <c r="E561"/>
  <c r="I561" s="1"/>
  <c r="F561"/>
  <c r="G561"/>
  <c r="A562"/>
  <c r="E562" s="1"/>
  <c r="B562"/>
  <c r="F562"/>
  <c r="G562"/>
  <c r="A563"/>
  <c r="B563"/>
  <c r="E563"/>
  <c r="I563" s="1"/>
  <c r="F563"/>
  <c r="G563"/>
  <c r="A564"/>
  <c r="E564" s="1"/>
  <c r="B564"/>
  <c r="F564"/>
  <c r="G564"/>
  <c r="A565"/>
  <c r="B565"/>
  <c r="E565"/>
  <c r="I565" s="1"/>
  <c r="F565"/>
  <c r="G565"/>
  <c r="A566"/>
  <c r="E566" s="1"/>
  <c r="B566"/>
  <c r="F566"/>
  <c r="G566"/>
  <c r="A567"/>
  <c r="B567"/>
  <c r="E567"/>
  <c r="I567" s="1"/>
  <c r="F567"/>
  <c r="G567"/>
  <c r="A568"/>
  <c r="E568" s="1"/>
  <c r="B568"/>
  <c r="F568"/>
  <c r="G568"/>
  <c r="A569"/>
  <c r="B569"/>
  <c r="E569"/>
  <c r="I569" s="1"/>
  <c r="F569"/>
  <c r="G569"/>
  <c r="A570"/>
  <c r="E570" s="1"/>
  <c r="B570"/>
  <c r="F570"/>
  <c r="G570"/>
  <c r="A571"/>
  <c r="B571"/>
  <c r="E571"/>
  <c r="I571" s="1"/>
  <c r="F571"/>
  <c r="G571"/>
  <c r="A572"/>
  <c r="B572"/>
  <c r="F572"/>
  <c r="G572"/>
  <c r="A573"/>
  <c r="B573"/>
  <c r="E573"/>
  <c r="F573"/>
  <c r="G573"/>
  <c r="A574"/>
  <c r="B574"/>
  <c r="F574"/>
  <c r="G574"/>
  <c r="A575"/>
  <c r="B575"/>
  <c r="E575"/>
  <c r="F575"/>
  <c r="G575"/>
  <c r="A576"/>
  <c r="B576"/>
  <c r="F576"/>
  <c r="G576"/>
  <c r="A577"/>
  <c r="E577" s="1"/>
  <c r="B577"/>
  <c r="F577"/>
  <c r="G577"/>
  <c r="A578"/>
  <c r="B578"/>
  <c r="F578"/>
  <c r="G578"/>
  <c r="A579"/>
  <c r="B579"/>
  <c r="E579"/>
  <c r="F579"/>
  <c r="G579"/>
  <c r="A580"/>
  <c r="B580"/>
  <c r="F580"/>
  <c r="G580"/>
  <c r="A581"/>
  <c r="B581"/>
  <c r="E581"/>
  <c r="I581" s="1"/>
  <c r="F581"/>
  <c r="G581"/>
  <c r="A582"/>
  <c r="E582" s="1"/>
  <c r="B582"/>
  <c r="F582"/>
  <c r="G582"/>
  <c r="A583"/>
  <c r="B583"/>
  <c r="E583"/>
  <c r="I583" s="1"/>
  <c r="F583"/>
  <c r="G583"/>
  <c r="A584"/>
  <c r="E584" s="1"/>
  <c r="B584"/>
  <c r="F584"/>
  <c r="G584"/>
  <c r="A585"/>
  <c r="B585"/>
  <c r="E585"/>
  <c r="I585" s="1"/>
  <c r="F585"/>
  <c r="G585"/>
  <c r="A586"/>
  <c r="E586" s="1"/>
  <c r="B586"/>
  <c r="F586"/>
  <c r="G586"/>
  <c r="A587"/>
  <c r="B587"/>
  <c r="E587"/>
  <c r="I587" s="1"/>
  <c r="F587"/>
  <c r="G587"/>
  <c r="A588"/>
  <c r="E588" s="1"/>
  <c r="B588"/>
  <c r="F588"/>
  <c r="G588"/>
  <c r="A589"/>
  <c r="B589"/>
  <c r="E589"/>
  <c r="I589" s="1"/>
  <c r="F589"/>
  <c r="G589"/>
  <c r="A590"/>
  <c r="E590" s="1"/>
  <c r="B590"/>
  <c r="F590"/>
  <c r="G590"/>
  <c r="A591"/>
  <c r="B591"/>
  <c r="E591"/>
  <c r="I591" s="1"/>
  <c r="F591"/>
  <c r="G591"/>
  <c r="A592"/>
  <c r="E592" s="1"/>
  <c r="B592"/>
  <c r="F592"/>
  <c r="G592"/>
  <c r="A593"/>
  <c r="B593"/>
  <c r="E593"/>
  <c r="I593" s="1"/>
  <c r="F593"/>
  <c r="G593"/>
  <c r="A594"/>
  <c r="E594" s="1"/>
  <c r="B594"/>
  <c r="F594"/>
  <c r="G594"/>
  <c r="A595"/>
  <c r="B595"/>
  <c r="E595"/>
  <c r="I595" s="1"/>
  <c r="F595"/>
  <c r="G595"/>
  <c r="A596"/>
  <c r="E596" s="1"/>
  <c r="B596"/>
  <c r="F596"/>
  <c r="G596"/>
  <c r="A597"/>
  <c r="B597"/>
  <c r="E597"/>
  <c r="I597" s="1"/>
  <c r="F597"/>
  <c r="G597"/>
  <c r="A598"/>
  <c r="E598" s="1"/>
  <c r="B598"/>
  <c r="F598"/>
  <c r="G598"/>
  <c r="A599"/>
  <c r="B599"/>
  <c r="E599"/>
  <c r="I599" s="1"/>
  <c r="F599"/>
  <c r="G599"/>
  <c r="A600"/>
  <c r="E600" s="1"/>
  <c r="B600"/>
  <c r="F600"/>
  <c r="G600"/>
  <c r="A601"/>
  <c r="B601"/>
  <c r="E601"/>
  <c r="I601" s="1"/>
  <c r="F601"/>
  <c r="G601"/>
  <c r="A602"/>
  <c r="E602" s="1"/>
  <c r="B602"/>
  <c r="F602"/>
  <c r="G602"/>
  <c r="A603"/>
  <c r="B603"/>
  <c r="E603"/>
  <c r="I603" s="1"/>
  <c r="F603"/>
  <c r="G603"/>
  <c r="A604"/>
  <c r="E604" s="1"/>
  <c r="B604"/>
  <c r="F604"/>
  <c r="G604"/>
  <c r="A605"/>
  <c r="B605"/>
  <c r="E605"/>
  <c r="I605" s="1"/>
  <c r="F605"/>
  <c r="G605"/>
  <c r="A606"/>
  <c r="E606" s="1"/>
  <c r="B606"/>
  <c r="F606"/>
  <c r="G606"/>
  <c r="A607"/>
  <c r="B607"/>
  <c r="E607"/>
  <c r="I607" s="1"/>
  <c r="F607"/>
  <c r="G607"/>
  <c r="A608"/>
  <c r="E608" s="1"/>
  <c r="B608"/>
  <c r="F608"/>
  <c r="G608"/>
  <c r="A609"/>
  <c r="B609"/>
  <c r="E609"/>
  <c r="I609" s="1"/>
  <c r="F609"/>
  <c r="G609"/>
  <c r="A610"/>
  <c r="E610" s="1"/>
  <c r="B610"/>
  <c r="F610"/>
  <c r="G610"/>
  <c r="A611"/>
  <c r="B611"/>
  <c r="E611"/>
  <c r="I611" s="1"/>
  <c r="F611"/>
  <c r="G611"/>
  <c r="A612"/>
  <c r="E612" s="1"/>
  <c r="B612"/>
  <c r="F612"/>
  <c r="G612"/>
  <c r="A613"/>
  <c r="B613"/>
  <c r="E613"/>
  <c r="I613" s="1"/>
  <c r="F613"/>
  <c r="G613"/>
  <c r="A614"/>
  <c r="E614" s="1"/>
  <c r="B614"/>
  <c r="F614"/>
  <c r="G614"/>
  <c r="A615"/>
  <c r="B615"/>
  <c r="E615"/>
  <c r="I615" s="1"/>
  <c r="F615"/>
  <c r="G615"/>
  <c r="A616"/>
  <c r="E616" s="1"/>
  <c r="B616"/>
  <c r="F616"/>
  <c r="G616"/>
  <c r="A617"/>
  <c r="B617"/>
  <c r="E617"/>
  <c r="I617" s="1"/>
  <c r="F617"/>
  <c r="G617"/>
  <c r="A618"/>
  <c r="E618" s="1"/>
  <c r="B618"/>
  <c r="F618"/>
  <c r="G618"/>
  <c r="A619"/>
  <c r="B619"/>
  <c r="E619"/>
  <c r="I619" s="1"/>
  <c r="F619"/>
  <c r="G619"/>
  <c r="A620"/>
  <c r="E620" s="1"/>
  <c r="B620"/>
  <c r="F620"/>
  <c r="G620"/>
  <c r="A621"/>
  <c r="B621"/>
  <c r="E621"/>
  <c r="I621" s="1"/>
  <c r="F621"/>
  <c r="G621"/>
  <c r="A622"/>
  <c r="E622" s="1"/>
  <c r="B622"/>
  <c r="F622"/>
  <c r="G622"/>
  <c r="A623"/>
  <c r="B623"/>
  <c r="E623"/>
  <c r="I623" s="1"/>
  <c r="F623"/>
  <c r="G623"/>
  <c r="A624"/>
  <c r="E624" s="1"/>
  <c r="B624"/>
  <c r="F624"/>
  <c r="G624"/>
  <c r="A625"/>
  <c r="H625" s="1"/>
  <c r="B625"/>
  <c r="F625"/>
  <c r="G625"/>
  <c r="A626"/>
  <c r="E626" s="1"/>
  <c r="B626"/>
  <c r="F626"/>
  <c r="G626"/>
  <c r="A627"/>
  <c r="H627" s="1"/>
  <c r="B627"/>
  <c r="E627"/>
  <c r="I627" s="1"/>
  <c r="F627"/>
  <c r="G627"/>
  <c r="A628"/>
  <c r="E628" s="1"/>
  <c r="B628"/>
  <c r="F628"/>
  <c r="G628"/>
  <c r="A629"/>
  <c r="H629" s="1"/>
  <c r="B629"/>
  <c r="F629"/>
  <c r="G629"/>
  <c r="A630"/>
  <c r="E630" s="1"/>
  <c r="B630"/>
  <c r="F630"/>
  <c r="G630"/>
  <c r="A631"/>
  <c r="H631" s="1"/>
  <c r="B631"/>
  <c r="E631"/>
  <c r="I631" s="1"/>
  <c r="F631"/>
  <c r="G631"/>
  <c r="A632"/>
  <c r="E632" s="1"/>
  <c r="B632"/>
  <c r="F632"/>
  <c r="G632"/>
  <c r="A633"/>
  <c r="H633" s="1"/>
  <c r="B633"/>
  <c r="E633"/>
  <c r="I633" s="1"/>
  <c r="F633"/>
  <c r="G633"/>
  <c r="A634"/>
  <c r="E634" s="1"/>
  <c r="B634"/>
  <c r="F634"/>
  <c r="G634"/>
  <c r="A635"/>
  <c r="H635" s="1"/>
  <c r="B635"/>
  <c r="E635"/>
  <c r="I635" s="1"/>
  <c r="F635"/>
  <c r="G635"/>
  <c r="A636"/>
  <c r="E636" s="1"/>
  <c r="B636"/>
  <c r="F636"/>
  <c r="G636"/>
  <c r="A637"/>
  <c r="B637"/>
  <c r="E637"/>
  <c r="I637" s="1"/>
  <c r="F637"/>
  <c r="G637"/>
  <c r="A638"/>
  <c r="E638" s="1"/>
  <c r="B638"/>
  <c r="F638"/>
  <c r="G638"/>
  <c r="A639"/>
  <c r="B639"/>
  <c r="E639"/>
  <c r="I639" s="1"/>
  <c r="F639"/>
  <c r="G639"/>
  <c r="A640"/>
  <c r="E640" s="1"/>
  <c r="B640"/>
  <c r="F640"/>
  <c r="G640"/>
  <c r="A641"/>
  <c r="B641"/>
  <c r="E641"/>
  <c r="I641" s="1"/>
  <c r="F641"/>
  <c r="G641"/>
  <c r="A642"/>
  <c r="E642" s="1"/>
  <c r="B642"/>
  <c r="F642"/>
  <c r="G642"/>
  <c r="A643"/>
  <c r="B643"/>
  <c r="E643"/>
  <c r="I643" s="1"/>
  <c r="F643"/>
  <c r="G643"/>
  <c r="AU11" i="32917"/>
  <c r="AL12"/>
  <c r="AL13"/>
  <c r="AL14"/>
  <c r="AL15"/>
  <c r="AL16"/>
  <c r="AL17"/>
  <c r="AL18"/>
  <c r="AL19"/>
  <c r="AL20"/>
  <c r="AL21"/>
  <c r="AL22"/>
  <c r="AL23"/>
  <c r="AL24"/>
  <c r="AL11"/>
  <c r="AR15"/>
  <c r="AN12"/>
  <c r="AO12"/>
  <c r="AP12"/>
  <c r="AQ12"/>
  <c r="AR12"/>
  <c r="AS12"/>
  <c r="AT12"/>
  <c r="AN13"/>
  <c r="AO13"/>
  <c r="AP13"/>
  <c r="AQ13"/>
  <c r="AR13"/>
  <c r="AS13"/>
  <c r="AT13"/>
  <c r="AN14"/>
  <c r="AO14"/>
  <c r="AP14"/>
  <c r="AQ14"/>
  <c r="AR14"/>
  <c r="AS14"/>
  <c r="AT14"/>
  <c r="AN15"/>
  <c r="AO15"/>
  <c r="AP15"/>
  <c r="AQ15"/>
  <c r="AS15"/>
  <c r="AT15"/>
  <c r="AN16"/>
  <c r="AO16"/>
  <c r="AP16"/>
  <c r="AQ16"/>
  <c r="AR16"/>
  <c r="AS16"/>
  <c r="AT16"/>
  <c r="AN17"/>
  <c r="AO17"/>
  <c r="AP17"/>
  <c r="AQ17"/>
  <c r="AR17"/>
  <c r="AS17"/>
  <c r="AT17"/>
  <c r="AN18"/>
  <c r="AO18"/>
  <c r="AP18"/>
  <c r="AQ18"/>
  <c r="AR18"/>
  <c r="AS18"/>
  <c r="AT18"/>
  <c r="AN19"/>
  <c r="AO19"/>
  <c r="AP19"/>
  <c r="AQ19"/>
  <c r="AR19"/>
  <c r="AS19"/>
  <c r="AT19"/>
  <c r="AN20"/>
  <c r="AO20"/>
  <c r="AP20"/>
  <c r="AQ20"/>
  <c r="AR20"/>
  <c r="AS20"/>
  <c r="AT20"/>
  <c r="AN21"/>
  <c r="AO21"/>
  <c r="AP21"/>
  <c r="AQ21"/>
  <c r="AR21"/>
  <c r="AS21"/>
  <c r="AT21"/>
  <c r="AN22"/>
  <c r="AO22"/>
  <c r="AP22"/>
  <c r="AQ22"/>
  <c r="AR22"/>
  <c r="AS22"/>
  <c r="AT22"/>
  <c r="AN23"/>
  <c r="AO23"/>
  <c r="AP23"/>
  <c r="AQ23"/>
  <c r="AR23"/>
  <c r="AS23"/>
  <c r="AT23"/>
  <c r="AN24"/>
  <c r="AO24"/>
  <c r="AP24"/>
  <c r="AQ24"/>
  <c r="AR24"/>
  <c r="AS24"/>
  <c r="AT24"/>
  <c r="AT11"/>
  <c r="AS11"/>
  <c r="AR11"/>
  <c r="AQ11"/>
  <c r="AP11"/>
  <c r="AO11"/>
  <c r="AN11"/>
  <c r="G9" i="32921"/>
  <c r="F9"/>
  <c r="E629" l="1"/>
  <c r="I629" s="1"/>
  <c r="E625"/>
  <c r="I625" s="1"/>
  <c r="H643"/>
  <c r="H623"/>
  <c r="H619"/>
  <c r="H615"/>
  <c r="H611"/>
  <c r="H607"/>
  <c r="H603"/>
  <c r="H599"/>
  <c r="H595"/>
  <c r="H591"/>
  <c r="H587"/>
  <c r="H583"/>
  <c r="H571"/>
  <c r="H567"/>
  <c r="H563"/>
  <c r="H559"/>
  <c r="H555"/>
  <c r="H551"/>
  <c r="H545"/>
  <c r="H541"/>
  <c r="H537"/>
  <c r="H525"/>
  <c r="H521"/>
  <c r="H517"/>
  <c r="H505"/>
  <c r="H501"/>
  <c r="H497"/>
  <c r="H489"/>
  <c r="H485"/>
  <c r="H481"/>
  <c r="H477"/>
  <c r="H473"/>
  <c r="H469"/>
  <c r="H461"/>
  <c r="H457"/>
  <c r="H453"/>
  <c r="H449"/>
  <c r="H397"/>
  <c r="H393"/>
  <c r="H377"/>
  <c r="H373"/>
  <c r="H369"/>
  <c r="H189"/>
  <c r="H185"/>
  <c r="H181"/>
  <c r="H177"/>
  <c r="H173"/>
  <c r="H169"/>
  <c r="H133"/>
  <c r="H129"/>
  <c r="H125"/>
  <c r="H121"/>
  <c r="H109"/>
  <c r="H105"/>
  <c r="H101"/>
  <c r="H97"/>
  <c r="H93"/>
  <c r="H89"/>
  <c r="H85"/>
  <c r="H81"/>
  <c r="H69"/>
  <c r="H65"/>
  <c r="H61"/>
  <c r="H57"/>
  <c r="H53"/>
  <c r="H49"/>
  <c r="H45"/>
  <c r="H41"/>
  <c r="H37"/>
  <c r="H33"/>
  <c r="H29"/>
  <c r="H25"/>
  <c r="H21"/>
  <c r="H17"/>
  <c r="H13"/>
  <c r="H1113"/>
  <c r="H1109"/>
  <c r="H1065"/>
  <c r="H1061"/>
  <c r="H1057"/>
  <c r="H1041"/>
  <c r="H1037"/>
  <c r="H1033"/>
  <c r="H1029"/>
  <c r="H1025"/>
  <c r="H1021"/>
  <c r="H1017"/>
  <c r="H1013"/>
  <c r="H1009"/>
  <c r="H1005"/>
  <c r="H1001"/>
  <c r="H985"/>
  <c r="H981"/>
  <c r="H977"/>
  <c r="H973"/>
  <c r="H969"/>
  <c r="H965"/>
  <c r="H961"/>
  <c r="H957"/>
  <c r="H953"/>
  <c r="H941"/>
  <c r="H937"/>
  <c r="H933"/>
  <c r="H929"/>
  <c r="H925"/>
  <c r="H921"/>
  <c r="H917"/>
  <c r="H893"/>
  <c r="H889"/>
  <c r="H885"/>
  <c r="H873"/>
  <c r="H869"/>
  <c r="H865"/>
  <c r="H861"/>
  <c r="H857"/>
  <c r="H853"/>
  <c r="H837"/>
  <c r="H833"/>
  <c r="H829"/>
  <c r="H825"/>
  <c r="H821"/>
  <c r="H817"/>
  <c r="H801"/>
  <c r="H797"/>
  <c r="H793"/>
  <c r="H753"/>
  <c r="H749"/>
  <c r="H733"/>
  <c r="H729"/>
  <c r="H725"/>
  <c r="H721"/>
  <c r="H717"/>
  <c r="H713"/>
  <c r="H709"/>
  <c r="H705"/>
  <c r="H701"/>
  <c r="H697"/>
  <c r="H693"/>
  <c r="H681"/>
  <c r="H677"/>
  <c r="H673"/>
  <c r="H657"/>
  <c r="H653"/>
  <c r="H649"/>
  <c r="H645"/>
  <c r="H639"/>
  <c r="H641"/>
  <c r="H637"/>
  <c r="H621"/>
  <c r="H617"/>
  <c r="H613"/>
  <c r="H609"/>
  <c r="H605"/>
  <c r="H601"/>
  <c r="H597"/>
  <c r="H593"/>
  <c r="H589"/>
  <c r="H585"/>
  <c r="H581"/>
  <c r="H569"/>
  <c r="H565"/>
  <c r="H561"/>
  <c r="H557"/>
  <c r="H553"/>
  <c r="H547"/>
  <c r="H543"/>
  <c r="H539"/>
  <c r="H527"/>
  <c r="H523"/>
  <c r="H519"/>
  <c r="H507"/>
  <c r="H503"/>
  <c r="H499"/>
  <c r="H495"/>
  <c r="H487"/>
  <c r="H483"/>
  <c r="H479"/>
  <c r="H475"/>
  <c r="H471"/>
  <c r="H467"/>
  <c r="H459"/>
  <c r="H455"/>
  <c r="H451"/>
  <c r="H447"/>
  <c r="H399"/>
  <c r="H395"/>
  <c r="H391"/>
  <c r="H375"/>
  <c r="H371"/>
  <c r="H191"/>
  <c r="H187"/>
  <c r="H183"/>
  <c r="H179"/>
  <c r="H175"/>
  <c r="H171"/>
  <c r="H131"/>
  <c r="H127"/>
  <c r="H123"/>
  <c r="H111"/>
  <c r="H107"/>
  <c r="H103"/>
  <c r="H99"/>
  <c r="H95"/>
  <c r="H91"/>
  <c r="H87"/>
  <c r="H83"/>
  <c r="H79"/>
  <c r="H67"/>
  <c r="H63"/>
  <c r="H59"/>
  <c r="H55"/>
  <c r="H51"/>
  <c r="H47"/>
  <c r="H43"/>
  <c r="H39"/>
  <c r="H35"/>
  <c r="H31"/>
  <c r="H27"/>
  <c r="H23"/>
  <c r="H19"/>
  <c r="H15"/>
  <c r="H11"/>
  <c r="H1115"/>
  <c r="H1111"/>
  <c r="H1063"/>
  <c r="H1059"/>
  <c r="H1043"/>
  <c r="H1039"/>
  <c r="H1035"/>
  <c r="H1031"/>
  <c r="H1027"/>
  <c r="H1023"/>
  <c r="H1019"/>
  <c r="H1015"/>
  <c r="H1011"/>
  <c r="H1007"/>
  <c r="H1003"/>
  <c r="H999"/>
  <c r="H983"/>
  <c r="H979"/>
  <c r="H975"/>
  <c r="H971"/>
  <c r="H967"/>
  <c r="H963"/>
  <c r="H959"/>
  <c r="H955"/>
  <c r="H951"/>
  <c r="H939"/>
  <c r="H935"/>
  <c r="H931"/>
  <c r="H927"/>
  <c r="H923"/>
  <c r="H919"/>
  <c r="H895"/>
  <c r="H891"/>
  <c r="H887"/>
  <c r="H883"/>
  <c r="H871"/>
  <c r="H867"/>
  <c r="H863"/>
  <c r="H859"/>
  <c r="H855"/>
  <c r="H839"/>
  <c r="H835"/>
  <c r="H831"/>
  <c r="H827"/>
  <c r="H823"/>
  <c r="H819"/>
  <c r="H803"/>
  <c r="H799"/>
  <c r="H795"/>
  <c r="H783"/>
  <c r="H755"/>
  <c r="H751"/>
  <c r="H747"/>
  <c r="H735"/>
  <c r="H731"/>
  <c r="H727"/>
  <c r="H723"/>
  <c r="H719"/>
  <c r="H715"/>
  <c r="H711"/>
  <c r="H707"/>
  <c r="H703"/>
  <c r="H699"/>
  <c r="H695"/>
  <c r="H679"/>
  <c r="H675"/>
  <c r="H671"/>
  <c r="H655"/>
  <c r="H651"/>
  <c r="H647"/>
  <c r="E580"/>
  <c r="I580" s="1"/>
  <c r="H580"/>
  <c r="E576"/>
  <c r="I576" s="1"/>
  <c r="H576"/>
  <c r="E572"/>
  <c r="I572" s="1"/>
  <c r="H572"/>
  <c r="E534"/>
  <c r="I534" s="1"/>
  <c r="H534"/>
  <c r="E530"/>
  <c r="I530" s="1"/>
  <c r="H530"/>
  <c r="E514"/>
  <c r="I514" s="1"/>
  <c r="H514"/>
  <c r="E510"/>
  <c r="I510" s="1"/>
  <c r="H510"/>
  <c r="E494"/>
  <c r="I494" s="1"/>
  <c r="H494"/>
  <c r="E466"/>
  <c r="I466" s="1"/>
  <c r="H466"/>
  <c r="E446"/>
  <c r="I446" s="1"/>
  <c r="H446"/>
  <c r="E442"/>
  <c r="I442" s="1"/>
  <c r="H442"/>
  <c r="E438"/>
  <c r="I438" s="1"/>
  <c r="H438"/>
  <c r="E434"/>
  <c r="I434" s="1"/>
  <c r="H434"/>
  <c r="E430"/>
  <c r="I430" s="1"/>
  <c r="H430"/>
  <c r="E426"/>
  <c r="I426" s="1"/>
  <c r="H426"/>
  <c r="E422"/>
  <c r="I422" s="1"/>
  <c r="H422"/>
  <c r="E418"/>
  <c r="I418" s="1"/>
  <c r="H418"/>
  <c r="E414"/>
  <c r="I414" s="1"/>
  <c r="H414"/>
  <c r="E410"/>
  <c r="I410" s="1"/>
  <c r="H410"/>
  <c r="E406"/>
  <c r="I406" s="1"/>
  <c r="H406"/>
  <c r="E402"/>
  <c r="I402" s="1"/>
  <c r="H402"/>
  <c r="E390"/>
  <c r="I390" s="1"/>
  <c r="H390"/>
  <c r="E386"/>
  <c r="I386" s="1"/>
  <c r="H386"/>
  <c r="E382"/>
  <c r="I382" s="1"/>
  <c r="H382"/>
  <c r="E378"/>
  <c r="I378" s="1"/>
  <c r="H378"/>
  <c r="E366"/>
  <c r="I366" s="1"/>
  <c r="H366"/>
  <c r="E362"/>
  <c r="I362" s="1"/>
  <c r="H362"/>
  <c r="E358"/>
  <c r="I358" s="1"/>
  <c r="H358"/>
  <c r="E354"/>
  <c r="I354" s="1"/>
  <c r="H354"/>
  <c r="E350"/>
  <c r="I350" s="1"/>
  <c r="H350"/>
  <c r="E346"/>
  <c r="I346" s="1"/>
  <c r="H346"/>
  <c r="E342"/>
  <c r="I342" s="1"/>
  <c r="H342"/>
  <c r="E338"/>
  <c r="I338" s="1"/>
  <c r="H338"/>
  <c r="E334"/>
  <c r="I334" s="1"/>
  <c r="H334"/>
  <c r="E330"/>
  <c r="I330" s="1"/>
  <c r="H330"/>
  <c r="E326"/>
  <c r="I326" s="1"/>
  <c r="H326"/>
  <c r="E322"/>
  <c r="I322" s="1"/>
  <c r="H322"/>
  <c r="E318"/>
  <c r="I318" s="1"/>
  <c r="H318"/>
  <c r="E314"/>
  <c r="I314" s="1"/>
  <c r="H314"/>
  <c r="E310"/>
  <c r="I310" s="1"/>
  <c r="H310"/>
  <c r="E306"/>
  <c r="I306" s="1"/>
  <c r="H306"/>
  <c r="E302"/>
  <c r="I302" s="1"/>
  <c r="H302"/>
  <c r="E298"/>
  <c r="I298" s="1"/>
  <c r="H298"/>
  <c r="E294"/>
  <c r="I294" s="1"/>
  <c r="H294"/>
  <c r="E290"/>
  <c r="I290" s="1"/>
  <c r="H290"/>
  <c r="E286"/>
  <c r="I286" s="1"/>
  <c r="H286"/>
  <c r="E282"/>
  <c r="I282" s="1"/>
  <c r="H282"/>
  <c r="E278"/>
  <c r="I278" s="1"/>
  <c r="H278"/>
  <c r="E274"/>
  <c r="I274" s="1"/>
  <c r="H274"/>
  <c r="E270"/>
  <c r="I270" s="1"/>
  <c r="H270"/>
  <c r="E266"/>
  <c r="I266" s="1"/>
  <c r="H266"/>
  <c r="E262"/>
  <c r="I262" s="1"/>
  <c r="H262"/>
  <c r="E258"/>
  <c r="I258" s="1"/>
  <c r="H258"/>
  <c r="E254"/>
  <c r="I254" s="1"/>
  <c r="H254"/>
  <c r="E250"/>
  <c r="I250" s="1"/>
  <c r="H250"/>
  <c r="E246"/>
  <c r="I246" s="1"/>
  <c r="H246"/>
  <c r="E242"/>
  <c r="I242" s="1"/>
  <c r="H242"/>
  <c r="E238"/>
  <c r="I238" s="1"/>
  <c r="H238"/>
  <c r="E234"/>
  <c r="I234" s="1"/>
  <c r="H234"/>
  <c r="E230"/>
  <c r="I230" s="1"/>
  <c r="H230"/>
  <c r="E226"/>
  <c r="I226" s="1"/>
  <c r="H226"/>
  <c r="E222"/>
  <c r="I222" s="1"/>
  <c r="H222"/>
  <c r="E218"/>
  <c r="I218" s="1"/>
  <c r="H218"/>
  <c r="E214"/>
  <c r="I214" s="1"/>
  <c r="H214"/>
  <c r="E210"/>
  <c r="I210" s="1"/>
  <c r="H210"/>
  <c r="E206"/>
  <c r="I206" s="1"/>
  <c r="H206"/>
  <c r="E166"/>
  <c r="I166" s="1"/>
  <c r="H166"/>
  <c r="E162"/>
  <c r="I162" s="1"/>
  <c r="H162"/>
  <c r="E158"/>
  <c r="I158" s="1"/>
  <c r="H158"/>
  <c r="E154"/>
  <c r="I154" s="1"/>
  <c r="H154"/>
  <c r="E150"/>
  <c r="I150" s="1"/>
  <c r="H150"/>
  <c r="E146"/>
  <c r="I146" s="1"/>
  <c r="H146"/>
  <c r="E134"/>
  <c r="I134" s="1"/>
  <c r="H134"/>
  <c r="E118"/>
  <c r="I118" s="1"/>
  <c r="H118"/>
  <c r="E114"/>
  <c r="I114" s="1"/>
  <c r="H114"/>
  <c r="E78"/>
  <c r="I78" s="1"/>
  <c r="H78"/>
  <c r="E74"/>
  <c r="I74" s="1"/>
  <c r="H74"/>
  <c r="E70"/>
  <c r="I70" s="1"/>
  <c r="H70"/>
  <c r="E950"/>
  <c r="I950" s="1"/>
  <c r="H950"/>
  <c r="E946"/>
  <c r="I946" s="1"/>
  <c r="H946"/>
  <c r="E942"/>
  <c r="I942" s="1"/>
  <c r="H942"/>
  <c r="E902"/>
  <c r="I902" s="1"/>
  <c r="H902"/>
  <c r="E898"/>
  <c r="I898" s="1"/>
  <c r="H898"/>
  <c r="E882"/>
  <c r="I882" s="1"/>
  <c r="H882"/>
  <c r="E878"/>
  <c r="I878" s="1"/>
  <c r="H878"/>
  <c r="E874"/>
  <c r="I874" s="1"/>
  <c r="H874"/>
  <c r="E790"/>
  <c r="I790" s="1"/>
  <c r="H790"/>
  <c r="E786"/>
  <c r="I786" s="1"/>
  <c r="H786"/>
  <c r="E782"/>
  <c r="I782" s="1"/>
  <c r="H782"/>
  <c r="E778"/>
  <c r="I778" s="1"/>
  <c r="H778"/>
  <c r="E774"/>
  <c r="I774" s="1"/>
  <c r="H774"/>
  <c r="E770"/>
  <c r="I770" s="1"/>
  <c r="H770"/>
  <c r="E766"/>
  <c r="I766" s="1"/>
  <c r="H766"/>
  <c r="E762"/>
  <c r="I762" s="1"/>
  <c r="H762"/>
  <c r="E758"/>
  <c r="I758" s="1"/>
  <c r="H758"/>
  <c r="E746"/>
  <c r="I746" s="1"/>
  <c r="H746"/>
  <c r="E742"/>
  <c r="I742" s="1"/>
  <c r="H742"/>
  <c r="E738"/>
  <c r="I738" s="1"/>
  <c r="H738"/>
  <c r="E670"/>
  <c r="I670" s="1"/>
  <c r="H670"/>
  <c r="E666"/>
  <c r="I666" s="1"/>
  <c r="H666"/>
  <c r="E662"/>
  <c r="I662" s="1"/>
  <c r="H662"/>
  <c r="H1138"/>
  <c r="H1136"/>
  <c r="H1134"/>
  <c r="H1132"/>
  <c r="H1130"/>
  <c r="H1128"/>
  <c r="H1126"/>
  <c r="H1124"/>
  <c r="H1122"/>
  <c r="H1120"/>
  <c r="H1118"/>
  <c r="H1116"/>
  <c r="H1108"/>
  <c r="H1106"/>
  <c r="H1104"/>
  <c r="H1102"/>
  <c r="H1100"/>
  <c r="H1088"/>
  <c r="H1086"/>
  <c r="H1084"/>
  <c r="H1082"/>
  <c r="H1080"/>
  <c r="H1078"/>
  <c r="H1076"/>
  <c r="H1074"/>
  <c r="H1072"/>
  <c r="H1070"/>
  <c r="H1068"/>
  <c r="H1066"/>
  <c r="H1056"/>
  <c r="H1054"/>
  <c r="H1052"/>
  <c r="H1050"/>
  <c r="H1048"/>
  <c r="H1046"/>
  <c r="H1044"/>
  <c r="E578"/>
  <c r="I578" s="1"/>
  <c r="H578"/>
  <c r="E574"/>
  <c r="I574" s="1"/>
  <c r="H574"/>
  <c r="E549"/>
  <c r="I549" s="1"/>
  <c r="H549"/>
  <c r="E536"/>
  <c r="I536" s="1"/>
  <c r="H536"/>
  <c r="E532"/>
  <c r="I532" s="1"/>
  <c r="H532"/>
  <c r="E528"/>
  <c r="I528" s="1"/>
  <c r="H528"/>
  <c r="E516"/>
  <c r="I516" s="1"/>
  <c r="H516"/>
  <c r="E512"/>
  <c r="I512" s="1"/>
  <c r="H512"/>
  <c r="E508"/>
  <c r="I508" s="1"/>
  <c r="H508"/>
  <c r="E492"/>
  <c r="I492" s="1"/>
  <c r="H492"/>
  <c r="E464"/>
  <c r="I464" s="1"/>
  <c r="H464"/>
  <c r="E456"/>
  <c r="I456" s="1"/>
  <c r="H456"/>
  <c r="E444"/>
  <c r="I444" s="1"/>
  <c r="H444"/>
  <c r="E440"/>
  <c r="I440" s="1"/>
  <c r="H440"/>
  <c r="E436"/>
  <c r="I436" s="1"/>
  <c r="H436"/>
  <c r="E432"/>
  <c r="I432" s="1"/>
  <c r="H432"/>
  <c r="E428"/>
  <c r="I428" s="1"/>
  <c r="H428"/>
  <c r="E424"/>
  <c r="I424" s="1"/>
  <c r="H424"/>
  <c r="E420"/>
  <c r="I420" s="1"/>
  <c r="H420"/>
  <c r="E416"/>
  <c r="I416" s="1"/>
  <c r="H416"/>
  <c r="E412"/>
  <c r="I412" s="1"/>
  <c r="H412"/>
  <c r="E408"/>
  <c r="I408" s="1"/>
  <c r="H408"/>
  <c r="E404"/>
  <c r="I404" s="1"/>
  <c r="H404"/>
  <c r="E400"/>
  <c r="I400" s="1"/>
  <c r="H400"/>
  <c r="E388"/>
  <c r="I388" s="1"/>
  <c r="H388"/>
  <c r="E384"/>
  <c r="I384" s="1"/>
  <c r="H384"/>
  <c r="E380"/>
  <c r="I380" s="1"/>
  <c r="H380"/>
  <c r="E368"/>
  <c r="I368" s="1"/>
  <c r="H368"/>
  <c r="E364"/>
  <c r="I364" s="1"/>
  <c r="H364"/>
  <c r="E360"/>
  <c r="I360" s="1"/>
  <c r="H360"/>
  <c r="E356"/>
  <c r="I356" s="1"/>
  <c r="H356"/>
  <c r="E352"/>
  <c r="I352" s="1"/>
  <c r="H352"/>
  <c r="E348"/>
  <c r="I348" s="1"/>
  <c r="H348"/>
  <c r="E344"/>
  <c r="I344" s="1"/>
  <c r="H344"/>
  <c r="E340"/>
  <c r="I340" s="1"/>
  <c r="H340"/>
  <c r="E336"/>
  <c r="I336" s="1"/>
  <c r="H336"/>
  <c r="E332"/>
  <c r="I332" s="1"/>
  <c r="H332"/>
  <c r="E328"/>
  <c r="I328" s="1"/>
  <c r="H328"/>
  <c r="E324"/>
  <c r="I324" s="1"/>
  <c r="H324"/>
  <c r="E320"/>
  <c r="I320" s="1"/>
  <c r="H320"/>
  <c r="E316"/>
  <c r="I316" s="1"/>
  <c r="H316"/>
  <c r="E312"/>
  <c r="I312" s="1"/>
  <c r="H312"/>
  <c r="E308"/>
  <c r="I308" s="1"/>
  <c r="H308"/>
  <c r="E304"/>
  <c r="I304" s="1"/>
  <c r="H304"/>
  <c r="E300"/>
  <c r="I300" s="1"/>
  <c r="H300"/>
  <c r="E296"/>
  <c r="I296" s="1"/>
  <c r="H296"/>
  <c r="E292"/>
  <c r="I292" s="1"/>
  <c r="H292"/>
  <c r="E284"/>
  <c r="I284" s="1"/>
  <c r="H284"/>
  <c r="E280"/>
  <c r="I280" s="1"/>
  <c r="H280"/>
  <c r="E276"/>
  <c r="I276" s="1"/>
  <c r="H276"/>
  <c r="E272"/>
  <c r="I272" s="1"/>
  <c r="H272"/>
  <c r="E268"/>
  <c r="I268" s="1"/>
  <c r="H268"/>
  <c r="E264"/>
  <c r="I264" s="1"/>
  <c r="H264"/>
  <c r="E260"/>
  <c r="I260" s="1"/>
  <c r="H260"/>
  <c r="E256"/>
  <c r="I256" s="1"/>
  <c r="H256"/>
  <c r="E252"/>
  <c r="I252" s="1"/>
  <c r="H252"/>
  <c r="E248"/>
  <c r="I248" s="1"/>
  <c r="H248"/>
  <c r="E244"/>
  <c r="I244" s="1"/>
  <c r="H244"/>
  <c r="E240"/>
  <c r="I240" s="1"/>
  <c r="H240"/>
  <c r="E236"/>
  <c r="I236" s="1"/>
  <c r="H236"/>
  <c r="E232"/>
  <c r="I232" s="1"/>
  <c r="H232"/>
  <c r="E228"/>
  <c r="I228" s="1"/>
  <c r="H228"/>
  <c r="E224"/>
  <c r="I224" s="1"/>
  <c r="H224"/>
  <c r="E220"/>
  <c r="I220" s="1"/>
  <c r="H220"/>
  <c r="E216"/>
  <c r="I216" s="1"/>
  <c r="H216"/>
  <c r="E212"/>
  <c r="I212" s="1"/>
  <c r="H212"/>
  <c r="E208"/>
  <c r="I208" s="1"/>
  <c r="H208"/>
  <c r="E204"/>
  <c r="I204" s="1"/>
  <c r="H204"/>
  <c r="E168"/>
  <c r="I168" s="1"/>
  <c r="H168"/>
  <c r="E164"/>
  <c r="I164" s="1"/>
  <c r="H164"/>
  <c r="E160"/>
  <c r="I160" s="1"/>
  <c r="H160"/>
  <c r="E156"/>
  <c r="I156" s="1"/>
  <c r="H156"/>
  <c r="E152"/>
  <c r="I152" s="1"/>
  <c r="H152"/>
  <c r="E148"/>
  <c r="I148" s="1"/>
  <c r="H148"/>
  <c r="E144"/>
  <c r="I144" s="1"/>
  <c r="H144"/>
  <c r="E120"/>
  <c r="I120" s="1"/>
  <c r="H120"/>
  <c r="E116"/>
  <c r="I116" s="1"/>
  <c r="H116"/>
  <c r="E112"/>
  <c r="I112" s="1"/>
  <c r="H112"/>
  <c r="E76"/>
  <c r="I76" s="1"/>
  <c r="H76"/>
  <c r="E72"/>
  <c r="I72" s="1"/>
  <c r="H72"/>
  <c r="E948"/>
  <c r="I948" s="1"/>
  <c r="H948"/>
  <c r="E944"/>
  <c r="I944" s="1"/>
  <c r="H944"/>
  <c r="E904"/>
  <c r="I904" s="1"/>
  <c r="H904"/>
  <c r="E900"/>
  <c r="I900" s="1"/>
  <c r="H900"/>
  <c r="E896"/>
  <c r="I896" s="1"/>
  <c r="H896"/>
  <c r="E880"/>
  <c r="I880" s="1"/>
  <c r="H880"/>
  <c r="E876"/>
  <c r="I876" s="1"/>
  <c r="H876"/>
  <c r="E816"/>
  <c r="I816" s="1"/>
  <c r="H816"/>
  <c r="E792"/>
  <c r="I792" s="1"/>
  <c r="H792"/>
  <c r="E788"/>
  <c r="I788" s="1"/>
  <c r="H788"/>
  <c r="E784"/>
  <c r="I784" s="1"/>
  <c r="H784"/>
  <c r="E780"/>
  <c r="I780" s="1"/>
  <c r="H780"/>
  <c r="E776"/>
  <c r="I776" s="1"/>
  <c r="H776"/>
  <c r="E772"/>
  <c r="I772" s="1"/>
  <c r="H772"/>
  <c r="E768"/>
  <c r="I768" s="1"/>
  <c r="H768"/>
  <c r="E764"/>
  <c r="I764" s="1"/>
  <c r="H764"/>
  <c r="E760"/>
  <c r="I760" s="1"/>
  <c r="H760"/>
  <c r="E756"/>
  <c r="I756" s="1"/>
  <c r="H756"/>
  <c r="E744"/>
  <c r="I744" s="1"/>
  <c r="H744"/>
  <c r="E740"/>
  <c r="I740" s="1"/>
  <c r="H740"/>
  <c r="E668"/>
  <c r="I668" s="1"/>
  <c r="H668"/>
  <c r="E664"/>
  <c r="I664" s="1"/>
  <c r="H664"/>
  <c r="E1295"/>
  <c r="B9"/>
  <c r="A9"/>
  <c r="H9" s="1"/>
  <c r="E9" l="1"/>
  <c r="I9" s="1"/>
  <c r="B8" i="32920"/>
  <c r="E8" s="1"/>
  <c r="B9"/>
  <c r="E9" s="1"/>
  <c r="B10"/>
  <c r="B11"/>
  <c r="E11" s="1"/>
  <c r="B12"/>
  <c r="E12" s="1"/>
  <c r="B13"/>
  <c r="E13" s="1"/>
  <c r="B14"/>
  <c r="E14" s="1"/>
  <c r="B15"/>
  <c r="E15" s="1"/>
  <c r="B16"/>
  <c r="E16" s="1"/>
  <c r="B17"/>
  <c r="B18"/>
  <c r="E18" s="1"/>
  <c r="B19"/>
  <c r="E19" s="1"/>
  <c r="B20"/>
  <c r="E20" s="1"/>
  <c r="B21"/>
  <c r="E21" s="1"/>
  <c r="B22"/>
  <c r="E22" s="1"/>
  <c r="B23"/>
  <c r="E23" s="1"/>
  <c r="B24"/>
  <c r="E24" s="1"/>
  <c r="B25"/>
  <c r="E25" s="1"/>
  <c r="B26"/>
  <c r="E26" s="1"/>
  <c r="B27"/>
  <c r="E27" s="1"/>
  <c r="B28"/>
  <c r="E28" s="1"/>
  <c r="B29"/>
  <c r="E29" s="1"/>
  <c r="B30"/>
  <c r="E30" s="1"/>
  <c r="B31"/>
  <c r="E31" s="1"/>
  <c r="B32"/>
  <c r="E32" s="1"/>
  <c r="B33"/>
  <c r="E33" s="1"/>
  <c r="B34"/>
  <c r="E34" s="1"/>
  <c r="B35"/>
  <c r="E35" s="1"/>
  <c r="B36"/>
  <c r="E36" s="1"/>
  <c r="B37"/>
  <c r="E37" s="1"/>
  <c r="B38"/>
  <c r="E38" s="1"/>
  <c r="B39"/>
  <c r="E39" s="1"/>
  <c r="B40"/>
  <c r="E40" s="1"/>
  <c r="B41"/>
  <c r="E41" s="1"/>
  <c r="B42"/>
  <c r="E42" s="1"/>
  <c r="B43"/>
  <c r="E43" s="1"/>
  <c r="B44"/>
  <c r="E44" s="1"/>
  <c r="B45"/>
  <c r="E45" s="1"/>
  <c r="B46"/>
  <c r="E46" s="1"/>
  <c r="B47"/>
  <c r="E47" s="1"/>
  <c r="B48"/>
  <c r="E48" s="1"/>
  <c r="B49"/>
  <c r="E49" s="1"/>
  <c r="B50"/>
  <c r="E50" s="1"/>
  <c r="B51"/>
  <c r="E51" s="1"/>
  <c r="B52"/>
  <c r="E52" s="1"/>
  <c r="B53"/>
  <c r="E53" s="1"/>
  <c r="B54"/>
  <c r="E54" s="1"/>
  <c r="B55"/>
  <c r="E55" s="1"/>
  <c r="B56"/>
  <c r="E56" s="1"/>
  <c r="B57"/>
  <c r="E57" s="1"/>
  <c r="B58"/>
  <c r="E58" s="1"/>
  <c r="B59"/>
  <c r="E59" s="1"/>
  <c r="B60"/>
  <c r="E60" s="1"/>
  <c r="B61"/>
  <c r="E61" s="1"/>
  <c r="B62"/>
  <c r="E62" s="1"/>
  <c r="B63"/>
  <c r="E63" s="1"/>
  <c r="B64"/>
  <c r="E64" s="1"/>
  <c r="B65"/>
  <c r="E65" s="1"/>
  <c r="B66"/>
  <c r="E66" s="1"/>
  <c r="B67"/>
  <c r="E67" s="1"/>
  <c r="B68"/>
  <c r="E68" s="1"/>
  <c r="B69"/>
  <c r="E69" s="1"/>
  <c r="B70"/>
  <c r="E70" s="1"/>
  <c r="B71"/>
  <c r="E71" s="1"/>
  <c r="B72"/>
  <c r="E72" s="1"/>
  <c r="B73"/>
  <c r="E73" s="1"/>
  <c r="B74"/>
  <c r="E74" s="1"/>
  <c r="B75"/>
  <c r="E75" s="1"/>
  <c r="B76"/>
  <c r="E76" s="1"/>
  <c r="B77"/>
  <c r="E77" s="1"/>
  <c r="B78"/>
  <c r="E78" s="1"/>
  <c r="B79"/>
  <c r="E79" s="1"/>
  <c r="B80"/>
  <c r="E80" s="1"/>
  <c r="B81"/>
  <c r="E81" s="1"/>
  <c r="B82"/>
  <c r="E82" s="1"/>
  <c r="B83"/>
  <c r="E83" s="1"/>
  <c r="B84"/>
  <c r="E84" s="1"/>
  <c r="B85"/>
  <c r="E85" s="1"/>
  <c r="B86"/>
  <c r="E86" s="1"/>
  <c r="B87"/>
  <c r="E87" s="1"/>
  <c r="B88"/>
  <c r="E88" s="1"/>
  <c r="B89"/>
  <c r="E89" s="1"/>
  <c r="B90"/>
  <c r="E90" s="1"/>
  <c r="B91"/>
  <c r="E91" s="1"/>
  <c r="B92"/>
  <c r="E92" s="1"/>
  <c r="B93"/>
  <c r="E93" s="1"/>
  <c r="B94"/>
  <c r="E94" s="1"/>
  <c r="B95"/>
  <c r="E95" s="1"/>
  <c r="B96"/>
  <c r="E96" s="1"/>
  <c r="B97"/>
  <c r="E97" s="1"/>
  <c r="B98"/>
  <c r="E98" s="1"/>
  <c r="B99"/>
  <c r="E99" s="1"/>
  <c r="B100"/>
  <c r="E100" s="1"/>
  <c r="B101"/>
  <c r="E101" s="1"/>
  <c r="B102"/>
  <c r="E102" s="1"/>
  <c r="B103"/>
  <c r="E103" s="1"/>
  <c r="B104"/>
  <c r="E104" s="1"/>
  <c r="B105"/>
  <c r="E105" s="1"/>
  <c r="B106"/>
  <c r="E106" s="1"/>
  <c r="B107"/>
  <c r="E107" s="1"/>
  <c r="D107"/>
  <c r="B108"/>
  <c r="E108" s="1"/>
  <c r="D108"/>
  <c r="B109"/>
  <c r="E109" s="1"/>
  <c r="D109"/>
  <c r="B110"/>
  <c r="E110" s="1"/>
  <c r="D110"/>
  <c r="B111"/>
  <c r="E111" s="1"/>
  <c r="D111"/>
  <c r="B112"/>
  <c r="E112" s="1"/>
  <c r="D112"/>
  <c r="B113"/>
  <c r="E113" s="1"/>
  <c r="D113"/>
  <c r="B114"/>
  <c r="E114" s="1"/>
  <c r="D114"/>
  <c r="B115"/>
  <c r="E115" s="1"/>
  <c r="D115"/>
  <c r="B116"/>
  <c r="E116" s="1"/>
  <c r="D116"/>
  <c r="B117"/>
  <c r="E117" s="1"/>
  <c r="D117"/>
  <c r="B118"/>
  <c r="E118" s="1"/>
  <c r="D118"/>
  <c r="B119"/>
  <c r="E119" s="1"/>
  <c r="D119"/>
  <c r="B120"/>
  <c r="E120" s="1"/>
  <c r="D120"/>
  <c r="B121"/>
  <c r="E121" s="1"/>
  <c r="D121"/>
  <c r="B122"/>
  <c r="E122" s="1"/>
  <c r="D122"/>
  <c r="B123"/>
  <c r="E123" s="1"/>
  <c r="D123"/>
  <c r="B124"/>
  <c r="E124" s="1"/>
  <c r="D124"/>
  <c r="B125"/>
  <c r="E125" s="1"/>
  <c r="D125"/>
  <c r="B126"/>
  <c r="E126" s="1"/>
  <c r="D126"/>
  <c r="B127"/>
  <c r="E127" s="1"/>
  <c r="D127"/>
  <c r="B128"/>
  <c r="E128" s="1"/>
  <c r="D128"/>
  <c r="B129"/>
  <c r="E129" s="1"/>
  <c r="D129"/>
  <c r="B130"/>
  <c r="E130" s="1"/>
  <c r="D130"/>
  <c r="B131"/>
  <c r="E131" s="1"/>
  <c r="D131"/>
  <c r="B132"/>
  <c r="E132" s="1"/>
  <c r="D132"/>
  <c r="B133"/>
  <c r="E133" s="1"/>
  <c r="D133"/>
  <c r="B134"/>
  <c r="E134" s="1"/>
  <c r="D134"/>
  <c r="B135"/>
  <c r="E135" s="1"/>
  <c r="D135"/>
  <c r="B136"/>
  <c r="E136" s="1"/>
  <c r="D136"/>
  <c r="B137"/>
  <c r="E137" s="1"/>
  <c r="D137"/>
  <c r="B138"/>
  <c r="E138" s="1"/>
  <c r="D138"/>
  <c r="B139"/>
  <c r="E139" s="1"/>
  <c r="D139"/>
  <c r="B140"/>
  <c r="E140" s="1"/>
  <c r="D140"/>
  <c r="B141"/>
  <c r="E141" s="1"/>
  <c r="D141"/>
  <c r="B142"/>
  <c r="E142" s="1"/>
  <c r="D142"/>
  <c r="B143"/>
  <c r="E143" s="1"/>
  <c r="D143"/>
  <c r="B144"/>
  <c r="E144" s="1"/>
  <c r="D144"/>
  <c r="B145"/>
  <c r="E145" s="1"/>
  <c r="D145"/>
  <c r="B146"/>
  <c r="E146" s="1"/>
  <c r="D146"/>
  <c r="B147"/>
  <c r="E147" s="1"/>
  <c r="D147"/>
  <c r="B148"/>
  <c r="E148" s="1"/>
  <c r="D148"/>
  <c r="B149"/>
  <c r="E149" s="1"/>
  <c r="D149"/>
  <c r="B150"/>
  <c r="E150" s="1"/>
  <c r="D150"/>
  <c r="B151"/>
  <c r="E151" s="1"/>
  <c r="D151"/>
  <c r="B152"/>
  <c r="E152" s="1"/>
  <c r="D152"/>
  <c r="B153"/>
  <c r="E153" s="1"/>
  <c r="D153"/>
  <c r="B154"/>
  <c r="E154" s="1"/>
  <c r="D154"/>
  <c r="B155"/>
  <c r="E155" s="1"/>
  <c r="D155"/>
  <c r="B156"/>
  <c r="E156" s="1"/>
  <c r="D156"/>
  <c r="B157"/>
  <c r="E157" s="1"/>
  <c r="D157"/>
  <c r="B158"/>
  <c r="E158" s="1"/>
  <c r="D158"/>
  <c r="B159"/>
  <c r="E159" s="1"/>
  <c r="D159"/>
  <c r="B160"/>
  <c r="E160" s="1"/>
  <c r="D160"/>
  <c r="B161"/>
  <c r="E161" s="1"/>
  <c r="D161"/>
  <c r="B162"/>
  <c r="E162" s="1"/>
  <c r="D162"/>
  <c r="B163"/>
  <c r="E163" s="1"/>
  <c r="D163"/>
  <c r="B164"/>
  <c r="E164" s="1"/>
  <c r="D164"/>
  <c r="B165"/>
  <c r="E165" s="1"/>
  <c r="D165"/>
  <c r="B166"/>
  <c r="E166" s="1"/>
  <c r="D166"/>
  <c r="B167"/>
  <c r="E167" s="1"/>
  <c r="D167"/>
  <c r="B168"/>
  <c r="E168" s="1"/>
  <c r="D168"/>
  <c r="B169"/>
  <c r="E169" s="1"/>
  <c r="D169"/>
  <c r="B170"/>
  <c r="E170" s="1"/>
  <c r="D170"/>
  <c r="B171"/>
  <c r="E171" s="1"/>
  <c r="D171"/>
  <c r="B172"/>
  <c r="E172" s="1"/>
  <c r="D172"/>
  <c r="B173"/>
  <c r="E173" s="1"/>
  <c r="D173"/>
  <c r="B174"/>
  <c r="E174" s="1"/>
  <c r="D174"/>
  <c r="B175"/>
  <c r="E175" s="1"/>
  <c r="D175"/>
  <c r="B176"/>
  <c r="E176" s="1"/>
  <c r="D176"/>
  <c r="B177"/>
  <c r="E177" s="1"/>
  <c r="D177"/>
  <c r="B178"/>
  <c r="E178" s="1"/>
  <c r="D178"/>
  <c r="B179"/>
  <c r="E179" s="1"/>
  <c r="D179"/>
  <c r="B180"/>
  <c r="E180" s="1"/>
  <c r="D180"/>
  <c r="B181"/>
  <c r="E181" s="1"/>
  <c r="D181"/>
  <c r="B182"/>
  <c r="E182" s="1"/>
  <c r="D182"/>
  <c r="B183"/>
  <c r="E183" s="1"/>
  <c r="D183"/>
  <c r="B184"/>
  <c r="E184" s="1"/>
  <c r="D184"/>
  <c r="B185"/>
  <c r="E185" s="1"/>
  <c r="D185"/>
  <c r="B186"/>
  <c r="E186" s="1"/>
  <c r="D186"/>
  <c r="B187"/>
  <c r="E187" s="1"/>
  <c r="D187"/>
  <c r="B188"/>
  <c r="E188" s="1"/>
  <c r="D188"/>
  <c r="B189"/>
  <c r="E189" s="1"/>
  <c r="D189"/>
  <c r="B190"/>
  <c r="E190" s="1"/>
  <c r="D190"/>
  <c r="B191"/>
  <c r="E191" s="1"/>
  <c r="D191"/>
  <c r="B192"/>
  <c r="E192" s="1"/>
  <c r="D192"/>
  <c r="B193"/>
  <c r="E193" s="1"/>
  <c r="D193"/>
  <c r="B194"/>
  <c r="E194" s="1"/>
  <c r="D194"/>
  <c r="B195"/>
  <c r="E195" s="1"/>
  <c r="D195"/>
  <c r="B196"/>
  <c r="E196" s="1"/>
  <c r="D196"/>
  <c r="B197"/>
  <c r="E197" s="1"/>
  <c r="D197"/>
  <c r="B198"/>
  <c r="E198" s="1"/>
  <c r="D198"/>
  <c r="B199"/>
  <c r="E199" s="1"/>
  <c r="D199"/>
  <c r="B200"/>
  <c r="E200" s="1"/>
  <c r="D200"/>
  <c r="B201"/>
  <c r="E201" s="1"/>
  <c r="D201"/>
  <c r="B202"/>
  <c r="E202" s="1"/>
  <c r="D202"/>
  <c r="B203"/>
  <c r="E203" s="1"/>
  <c r="D203"/>
  <c r="B204"/>
  <c r="E204" s="1"/>
  <c r="D204"/>
  <c r="B205"/>
  <c r="E205" s="1"/>
  <c r="D205"/>
  <c r="B206"/>
  <c r="E206" s="1"/>
  <c r="D206"/>
  <c r="B207"/>
  <c r="E207" s="1"/>
  <c r="D207"/>
  <c r="B208"/>
  <c r="E208" s="1"/>
  <c r="D208"/>
  <c r="B209"/>
  <c r="E209" s="1"/>
  <c r="D209"/>
  <c r="B210"/>
  <c r="E210" s="1"/>
  <c r="D210"/>
  <c r="B211"/>
  <c r="E211" s="1"/>
  <c r="D211"/>
  <c r="B212"/>
  <c r="E212" s="1"/>
  <c r="D212"/>
  <c r="B213"/>
  <c r="E213" s="1"/>
  <c r="D213"/>
  <c r="B214"/>
  <c r="E214" s="1"/>
  <c r="D214"/>
  <c r="B215"/>
  <c r="E215" s="1"/>
  <c r="D215"/>
  <c r="B216"/>
  <c r="E216" s="1"/>
  <c r="D216"/>
  <c r="B217"/>
  <c r="E217" s="1"/>
  <c r="D217"/>
  <c r="B218"/>
  <c r="E218" s="1"/>
  <c r="D218"/>
  <c r="B219"/>
  <c r="E219" s="1"/>
  <c r="D219"/>
  <c r="B220"/>
  <c r="E220" s="1"/>
  <c r="D220"/>
  <c r="B221"/>
  <c r="E221" s="1"/>
  <c r="D221"/>
  <c r="B222"/>
  <c r="E222" s="1"/>
  <c r="D222"/>
  <c r="B223"/>
  <c r="E223" s="1"/>
  <c r="D223"/>
  <c r="B224"/>
  <c r="E224" s="1"/>
  <c r="D224"/>
  <c r="B225"/>
  <c r="E225" s="1"/>
  <c r="D225"/>
  <c r="B226"/>
  <c r="E226" s="1"/>
  <c r="D226"/>
  <c r="B227"/>
  <c r="E227" s="1"/>
  <c r="D227"/>
  <c r="B228"/>
  <c r="E228" s="1"/>
  <c r="D228"/>
  <c r="B229"/>
  <c r="E229" s="1"/>
  <c r="D229"/>
  <c r="B230"/>
  <c r="E230" s="1"/>
  <c r="D230"/>
  <c r="B231"/>
  <c r="E231" s="1"/>
  <c r="D231"/>
  <c r="B232"/>
  <c r="E232" s="1"/>
  <c r="D232"/>
  <c r="B233"/>
  <c r="E233" s="1"/>
  <c r="D233"/>
  <c r="B234"/>
  <c r="E234" s="1"/>
  <c r="D234"/>
  <c r="B235"/>
  <c r="E235" s="1"/>
  <c r="D235"/>
  <c r="B236"/>
  <c r="E236" s="1"/>
  <c r="D236"/>
  <c r="B237"/>
  <c r="E237" s="1"/>
  <c r="D237"/>
  <c r="B238"/>
  <c r="E238" s="1"/>
  <c r="D238"/>
  <c r="B239"/>
  <c r="E239" s="1"/>
  <c r="D239"/>
  <c r="B240"/>
  <c r="E240" s="1"/>
  <c r="D240"/>
  <c r="B241"/>
  <c r="E241" s="1"/>
  <c r="D241"/>
  <c r="B242"/>
  <c r="E242" s="1"/>
  <c r="D242"/>
  <c r="B243"/>
  <c r="E243" s="1"/>
  <c r="D243"/>
  <c r="B244"/>
  <c r="E244" s="1"/>
  <c r="D244"/>
  <c r="B245"/>
  <c r="E245" s="1"/>
  <c r="D245"/>
  <c r="B246"/>
  <c r="E246" s="1"/>
  <c r="D246"/>
  <c r="B247"/>
  <c r="E247" s="1"/>
  <c r="D247"/>
  <c r="B248"/>
  <c r="E248" s="1"/>
  <c r="D248"/>
  <c r="B249"/>
  <c r="E249" s="1"/>
  <c r="D249"/>
  <c r="B250"/>
  <c r="E250" s="1"/>
  <c r="D250"/>
  <c r="B251"/>
  <c r="E251" s="1"/>
  <c r="D251"/>
  <c r="B252"/>
  <c r="E252" s="1"/>
  <c r="D252"/>
  <c r="B253"/>
  <c r="E253" s="1"/>
  <c r="D253"/>
  <c r="B254"/>
  <c r="E254" s="1"/>
  <c r="D254"/>
  <c r="B255"/>
  <c r="E255" s="1"/>
  <c r="D255"/>
  <c r="B256"/>
  <c r="E256" s="1"/>
  <c r="D256"/>
  <c r="B257"/>
  <c r="E257" s="1"/>
  <c r="C257"/>
  <c r="D257"/>
  <c r="B258"/>
  <c r="E258" s="1"/>
  <c r="C258"/>
  <c r="D258"/>
  <c r="B259"/>
  <c r="E259" s="1"/>
  <c r="C259"/>
  <c r="D259"/>
  <c r="B260"/>
  <c r="E260" s="1"/>
  <c r="C260"/>
  <c r="D260"/>
  <c r="B261"/>
  <c r="E261" s="1"/>
  <c r="C261"/>
  <c r="D261"/>
  <c r="B262"/>
  <c r="E262" s="1"/>
  <c r="C262"/>
  <c r="D262"/>
  <c r="B263"/>
  <c r="E263" s="1"/>
  <c r="C263"/>
  <c r="D263"/>
  <c r="B264"/>
  <c r="E264" s="1"/>
  <c r="C264"/>
  <c r="D264"/>
  <c r="B265"/>
  <c r="E265" s="1"/>
  <c r="C265"/>
  <c r="D265"/>
  <c r="B266"/>
  <c r="E266" s="1"/>
  <c r="C266"/>
  <c r="D266"/>
  <c r="B267"/>
  <c r="E267" s="1"/>
  <c r="C267"/>
  <c r="D267"/>
  <c r="B268"/>
  <c r="E268" s="1"/>
  <c r="C268"/>
  <c r="D268"/>
  <c r="B269"/>
  <c r="E269" s="1"/>
  <c r="C269"/>
  <c r="D269"/>
  <c r="B270"/>
  <c r="E270" s="1"/>
  <c r="C270"/>
  <c r="D270"/>
  <c r="B271"/>
  <c r="E271" s="1"/>
  <c r="C271"/>
  <c r="D271"/>
  <c r="B272"/>
  <c r="E272" s="1"/>
  <c r="C272"/>
  <c r="D272"/>
  <c r="B273"/>
  <c r="E273" s="1"/>
  <c r="C273"/>
  <c r="D273"/>
  <c r="B274"/>
  <c r="E274" s="1"/>
  <c r="C274"/>
  <c r="D274"/>
  <c r="B275"/>
  <c r="E275" s="1"/>
  <c r="C275"/>
  <c r="D275"/>
  <c r="B276"/>
  <c r="E276" s="1"/>
  <c r="C276"/>
  <c r="D276"/>
  <c r="B277"/>
  <c r="E277" s="1"/>
  <c r="C277"/>
  <c r="D277"/>
  <c r="B278"/>
  <c r="E278" s="1"/>
  <c r="C278"/>
  <c r="D278"/>
  <c r="B279"/>
  <c r="E279" s="1"/>
  <c r="C279"/>
  <c r="D279"/>
  <c r="B280"/>
  <c r="E280" s="1"/>
  <c r="C280"/>
  <c r="D280"/>
  <c r="B281"/>
  <c r="E281" s="1"/>
  <c r="C281"/>
  <c r="D281"/>
  <c r="B282"/>
  <c r="E282" s="1"/>
  <c r="C282"/>
  <c r="D282"/>
  <c r="B283"/>
  <c r="E283" s="1"/>
  <c r="C283"/>
  <c r="D283"/>
  <c r="B284"/>
  <c r="E284" s="1"/>
  <c r="C284"/>
  <c r="D284"/>
  <c r="B285"/>
  <c r="E285" s="1"/>
  <c r="C285"/>
  <c r="D285"/>
  <c r="B286"/>
  <c r="E286" s="1"/>
  <c r="C286"/>
  <c r="D286"/>
  <c r="B287"/>
  <c r="E287" s="1"/>
  <c r="C287"/>
  <c r="D287"/>
  <c r="B288"/>
  <c r="E288" s="1"/>
  <c r="C288"/>
  <c r="D288"/>
  <c r="B289"/>
  <c r="E289" s="1"/>
  <c r="C289"/>
  <c r="D289"/>
  <c r="B290"/>
  <c r="E290" s="1"/>
  <c r="C290"/>
  <c r="D290"/>
  <c r="B291"/>
  <c r="E291" s="1"/>
  <c r="C291"/>
  <c r="D291"/>
  <c r="B292"/>
  <c r="E292" s="1"/>
  <c r="C292"/>
  <c r="D292"/>
  <c r="B293"/>
  <c r="E293" s="1"/>
  <c r="C293"/>
  <c r="D293"/>
  <c r="B294"/>
  <c r="E294" s="1"/>
  <c r="C294"/>
  <c r="D294"/>
  <c r="B295"/>
  <c r="E295" s="1"/>
  <c r="C295"/>
  <c r="D295"/>
  <c r="B296"/>
  <c r="E296" s="1"/>
  <c r="C296"/>
  <c r="D296"/>
  <c r="B297"/>
  <c r="E297" s="1"/>
  <c r="C297"/>
  <c r="D297"/>
  <c r="B298"/>
  <c r="E298" s="1"/>
  <c r="C298"/>
  <c r="D298"/>
  <c r="B299"/>
  <c r="E299" s="1"/>
  <c r="C299"/>
  <c r="D299"/>
  <c r="B300"/>
  <c r="E300" s="1"/>
  <c r="C300"/>
  <c r="D300"/>
  <c r="B301"/>
  <c r="E301" s="1"/>
  <c r="C301"/>
  <c r="D301"/>
  <c r="B302"/>
  <c r="E302" s="1"/>
  <c r="C302"/>
  <c r="D302"/>
  <c r="B303"/>
  <c r="E303" s="1"/>
  <c r="C303"/>
  <c r="D303"/>
  <c r="B304"/>
  <c r="E304" s="1"/>
  <c r="C304"/>
  <c r="D304"/>
  <c r="B305"/>
  <c r="E305" s="1"/>
  <c r="C305"/>
  <c r="D305"/>
  <c r="B306"/>
  <c r="E306" s="1"/>
  <c r="C306"/>
  <c r="D306"/>
  <c r="B307"/>
  <c r="E307" s="1"/>
  <c r="C307"/>
  <c r="D307"/>
  <c r="B308"/>
  <c r="E308" s="1"/>
  <c r="C308"/>
  <c r="D308"/>
  <c r="B309"/>
  <c r="E309" s="1"/>
  <c r="C309"/>
  <c r="D309"/>
  <c r="B310"/>
  <c r="E310" s="1"/>
  <c r="C310"/>
  <c r="D310"/>
  <c r="B311"/>
  <c r="E311" s="1"/>
  <c r="C311"/>
  <c r="D311"/>
  <c r="B312"/>
  <c r="E312" s="1"/>
  <c r="C312"/>
  <c r="D312"/>
  <c r="B313"/>
  <c r="E313" s="1"/>
  <c r="C313"/>
  <c r="D313"/>
  <c r="B314"/>
  <c r="E314" s="1"/>
  <c r="C314"/>
  <c r="D314"/>
  <c r="B315"/>
  <c r="E315" s="1"/>
  <c r="C315"/>
  <c r="D315"/>
  <c r="B316"/>
  <c r="E316" s="1"/>
  <c r="C316"/>
  <c r="D316"/>
  <c r="B317"/>
  <c r="E317" s="1"/>
  <c r="C317"/>
  <c r="D317"/>
  <c r="B318"/>
  <c r="E318" s="1"/>
  <c r="C318"/>
  <c r="D318"/>
  <c r="B319"/>
  <c r="E319" s="1"/>
  <c r="C319"/>
  <c r="D319"/>
  <c r="B320"/>
  <c r="E320" s="1"/>
  <c r="C320"/>
  <c r="D320"/>
  <c r="B321"/>
  <c r="E321" s="1"/>
  <c r="C321"/>
  <c r="D321"/>
  <c r="B322"/>
  <c r="E322" s="1"/>
  <c r="C322"/>
  <c r="D322"/>
  <c r="B323"/>
  <c r="E323" s="1"/>
  <c r="C323"/>
  <c r="D323"/>
  <c r="B324"/>
  <c r="E324" s="1"/>
  <c r="C324"/>
  <c r="D324"/>
  <c r="B325"/>
  <c r="E325" s="1"/>
  <c r="C325"/>
  <c r="D325"/>
  <c r="B326"/>
  <c r="E326" s="1"/>
  <c r="C326"/>
  <c r="D326"/>
  <c r="B327"/>
  <c r="E327" s="1"/>
  <c r="C327"/>
  <c r="D327"/>
  <c r="B328"/>
  <c r="E328" s="1"/>
  <c r="C328"/>
  <c r="D328"/>
  <c r="B329"/>
  <c r="E329" s="1"/>
  <c r="C329"/>
  <c r="D329"/>
  <c r="B330"/>
  <c r="E330" s="1"/>
  <c r="C330"/>
  <c r="D330"/>
  <c r="B331"/>
  <c r="E331" s="1"/>
  <c r="C331"/>
  <c r="D331"/>
  <c r="B332"/>
  <c r="E332" s="1"/>
  <c r="C332"/>
  <c r="D332"/>
  <c r="B333"/>
  <c r="E333" s="1"/>
  <c r="C333"/>
  <c r="D333"/>
  <c r="B334"/>
  <c r="E334" s="1"/>
  <c r="C334"/>
  <c r="D334"/>
  <c r="B335"/>
  <c r="E335" s="1"/>
  <c r="C335"/>
  <c r="D335"/>
  <c r="B336"/>
  <c r="E336" s="1"/>
  <c r="C336"/>
  <c r="D336"/>
  <c r="B337"/>
  <c r="E337" s="1"/>
  <c r="C337"/>
  <c r="D337"/>
  <c r="B338"/>
  <c r="E338" s="1"/>
  <c r="C338"/>
  <c r="D338"/>
  <c r="B339"/>
  <c r="E339" s="1"/>
  <c r="C339"/>
  <c r="D339"/>
  <c r="B340"/>
  <c r="E340" s="1"/>
  <c r="C340"/>
  <c r="D340"/>
  <c r="B341"/>
  <c r="E341" s="1"/>
  <c r="C341"/>
  <c r="D341"/>
  <c r="B342"/>
  <c r="E342" s="1"/>
  <c r="C342"/>
  <c r="D342"/>
  <c r="B343"/>
  <c r="E343" s="1"/>
  <c r="C343"/>
  <c r="D343"/>
  <c r="B344"/>
  <c r="E344" s="1"/>
  <c r="C344"/>
  <c r="D344"/>
  <c r="B345"/>
  <c r="E345" s="1"/>
  <c r="C345"/>
  <c r="D345"/>
  <c r="B346"/>
  <c r="E346" s="1"/>
  <c r="C346"/>
  <c r="D346"/>
  <c r="B347"/>
  <c r="E347" s="1"/>
  <c r="C347"/>
  <c r="D347"/>
  <c r="B348"/>
  <c r="E348" s="1"/>
  <c r="C348"/>
  <c r="D348"/>
  <c r="B349"/>
  <c r="E349" s="1"/>
  <c r="C349"/>
  <c r="D349"/>
  <c r="B350"/>
  <c r="E350" s="1"/>
  <c r="C350"/>
  <c r="D350"/>
  <c r="B351"/>
  <c r="E351" s="1"/>
  <c r="C351"/>
  <c r="D351"/>
  <c r="B352"/>
  <c r="E352" s="1"/>
  <c r="C352"/>
  <c r="D352"/>
  <c r="B353"/>
  <c r="E353" s="1"/>
  <c r="C353"/>
  <c r="D353"/>
  <c r="B354"/>
  <c r="E354" s="1"/>
  <c r="C354"/>
  <c r="D354"/>
  <c r="B355"/>
  <c r="E355" s="1"/>
  <c r="C355"/>
  <c r="D355"/>
  <c r="B356"/>
  <c r="E356" s="1"/>
  <c r="C356"/>
  <c r="D356"/>
  <c r="B357"/>
  <c r="E357" s="1"/>
  <c r="C357"/>
  <c r="D357"/>
  <c r="B358"/>
  <c r="E358" s="1"/>
  <c r="C358"/>
  <c r="D358"/>
  <c r="B359"/>
  <c r="E359" s="1"/>
  <c r="C359"/>
  <c r="D359"/>
  <c r="B360"/>
  <c r="E360" s="1"/>
  <c r="C360"/>
  <c r="D360"/>
  <c r="B361"/>
  <c r="E361" s="1"/>
  <c r="C361"/>
  <c r="D361"/>
  <c r="B362"/>
  <c r="E362" s="1"/>
  <c r="C362"/>
  <c r="D362"/>
  <c r="B363"/>
  <c r="E363" s="1"/>
  <c r="C363"/>
  <c r="D363"/>
  <c r="B364"/>
  <c r="E364" s="1"/>
  <c r="C364"/>
  <c r="D364"/>
  <c r="B365"/>
  <c r="E365" s="1"/>
  <c r="C365"/>
  <c r="D365"/>
  <c r="B366"/>
  <c r="E366" s="1"/>
  <c r="C366"/>
  <c r="D366"/>
  <c r="B367"/>
  <c r="E367" s="1"/>
  <c r="C367"/>
  <c r="D367"/>
  <c r="B368"/>
  <c r="E368" s="1"/>
  <c r="C368"/>
  <c r="D368"/>
  <c r="B369"/>
  <c r="E369" s="1"/>
  <c r="C369"/>
  <c r="D369"/>
  <c r="B370"/>
  <c r="E370" s="1"/>
  <c r="C370"/>
  <c r="D370"/>
  <c r="B371"/>
  <c r="E371" s="1"/>
  <c r="C371"/>
  <c r="D371"/>
  <c r="B372"/>
  <c r="E372" s="1"/>
  <c r="C372"/>
  <c r="D372"/>
  <c r="B373"/>
  <c r="E373" s="1"/>
  <c r="C373"/>
  <c r="D373"/>
  <c r="B374"/>
  <c r="E374" s="1"/>
  <c r="C374"/>
  <c r="D374"/>
  <c r="B375"/>
  <c r="E375" s="1"/>
  <c r="C375"/>
  <c r="D375"/>
  <c r="B376"/>
  <c r="E376" s="1"/>
  <c r="C376"/>
  <c r="D376"/>
  <c r="B377"/>
  <c r="E377" s="1"/>
  <c r="C377"/>
  <c r="D377"/>
  <c r="B378"/>
  <c r="E378" s="1"/>
  <c r="C378"/>
  <c r="D378"/>
  <c r="B379"/>
  <c r="E379" s="1"/>
  <c r="C379"/>
  <c r="D379"/>
  <c r="B380"/>
  <c r="E380" s="1"/>
  <c r="C380"/>
  <c r="D380"/>
  <c r="B381"/>
  <c r="E381" s="1"/>
  <c r="C381"/>
  <c r="D381"/>
  <c r="B382"/>
  <c r="E382" s="1"/>
  <c r="C382"/>
  <c r="D382"/>
  <c r="B383"/>
  <c r="E383" s="1"/>
  <c r="C383"/>
  <c r="D383"/>
  <c r="B384"/>
  <c r="E384" s="1"/>
  <c r="C384"/>
  <c r="D384"/>
  <c r="B385"/>
  <c r="E385" s="1"/>
  <c r="C385"/>
  <c r="D385"/>
  <c r="B386"/>
  <c r="E386" s="1"/>
  <c r="C386"/>
  <c r="D386"/>
  <c r="B387"/>
  <c r="E387" s="1"/>
  <c r="C387"/>
  <c r="D387"/>
  <c r="B388"/>
  <c r="E388" s="1"/>
  <c r="C388"/>
  <c r="D388"/>
  <c r="B389"/>
  <c r="E389" s="1"/>
  <c r="C389"/>
  <c r="D389"/>
  <c r="B390"/>
  <c r="E390" s="1"/>
  <c r="C390"/>
  <c r="D390"/>
  <c r="B391"/>
  <c r="E391" s="1"/>
  <c r="C391"/>
  <c r="D391"/>
  <c r="B392"/>
  <c r="E392" s="1"/>
  <c r="C392"/>
  <c r="D392"/>
  <c r="B393"/>
  <c r="E393" s="1"/>
  <c r="C393"/>
  <c r="D393"/>
  <c r="B394"/>
  <c r="E394" s="1"/>
  <c r="C394"/>
  <c r="D394"/>
  <c r="B395"/>
  <c r="E395" s="1"/>
  <c r="C395"/>
  <c r="D395"/>
  <c r="B396"/>
  <c r="E396" s="1"/>
  <c r="C396"/>
  <c r="D396"/>
  <c r="B397"/>
  <c r="E397" s="1"/>
  <c r="C397"/>
  <c r="D397"/>
  <c r="B398"/>
  <c r="E398" s="1"/>
  <c r="C398"/>
  <c r="D398"/>
  <c r="B399"/>
  <c r="E399" s="1"/>
  <c r="C399"/>
  <c r="D399"/>
  <c r="B400"/>
  <c r="E400" s="1"/>
  <c r="C400"/>
  <c r="D400"/>
  <c r="B401"/>
  <c r="E401" s="1"/>
  <c r="C401"/>
  <c r="D401"/>
  <c r="B402"/>
  <c r="E402" s="1"/>
  <c r="C402"/>
  <c r="D402"/>
  <c r="B403"/>
  <c r="E403" s="1"/>
  <c r="C403"/>
  <c r="D403"/>
  <c r="B404"/>
  <c r="E404" s="1"/>
  <c r="C404"/>
  <c r="D404"/>
  <c r="B405"/>
  <c r="E405" s="1"/>
  <c r="C405"/>
  <c r="D405"/>
  <c r="AU111" i="32917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AU164"/>
  <c r="AU165"/>
  <c r="AU166"/>
  <c r="AU167"/>
  <c r="AU168"/>
  <c r="AU169"/>
  <c r="AU170"/>
  <c r="AU171"/>
  <c r="AU172"/>
  <c r="AU173"/>
  <c r="AU174"/>
  <c r="AU175"/>
  <c r="AU176"/>
  <c r="AU177"/>
  <c r="AU178"/>
  <c r="AU179"/>
  <c r="AU180"/>
  <c r="AU181"/>
  <c r="AU182"/>
  <c r="AU183"/>
  <c r="AU184"/>
  <c r="AU185"/>
  <c r="AU186"/>
  <c r="AU187"/>
  <c r="AU188"/>
  <c r="AU189"/>
  <c r="AU190"/>
  <c r="AU191"/>
  <c r="AU192"/>
  <c r="AU193"/>
  <c r="AU194"/>
  <c r="AU195"/>
  <c r="AU196"/>
  <c r="AU197"/>
  <c r="AU198"/>
  <c r="AU199"/>
  <c r="AU200"/>
  <c r="AU201"/>
  <c r="AU202"/>
  <c r="AU203"/>
  <c r="AU204"/>
  <c r="AU205"/>
  <c r="AU206"/>
  <c r="AU207"/>
  <c r="AU208"/>
  <c r="AU209"/>
  <c r="AU210"/>
  <c r="AU211"/>
  <c r="AU212"/>
  <c r="AU213"/>
  <c r="AU214"/>
  <c r="AU215"/>
  <c r="AU216"/>
  <c r="AU217"/>
  <c r="AU218"/>
  <c r="AU219"/>
  <c r="AU220"/>
  <c r="AU221"/>
  <c r="AU222"/>
  <c r="AU223"/>
  <c r="AU224"/>
  <c r="AU225"/>
  <c r="AU226"/>
  <c r="AU227"/>
  <c r="AU228"/>
  <c r="AU229"/>
  <c r="AU230"/>
  <c r="AU231"/>
  <c r="AU232"/>
  <c r="AU233"/>
  <c r="AU234"/>
  <c r="AU235"/>
  <c r="AU236"/>
  <c r="AU237"/>
  <c r="AU238"/>
  <c r="AU239"/>
  <c r="AU240"/>
  <c r="AU241"/>
  <c r="AU242"/>
  <c r="AU243"/>
  <c r="AU244"/>
  <c r="AU245"/>
  <c r="AU246"/>
  <c r="AU247"/>
  <c r="AU248"/>
  <c r="AU249"/>
  <c r="AU250"/>
  <c r="AU251"/>
  <c r="AU252"/>
  <c r="AU253"/>
  <c r="AU254"/>
  <c r="AU255"/>
  <c r="AU256"/>
  <c r="AU257"/>
  <c r="AU258"/>
  <c r="AU259"/>
  <c r="AU260"/>
  <c r="B7" i="32920"/>
  <c r="L5" i="32917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C256" i="32920" s="1"/>
  <c r="AF259" i="32917"/>
  <c r="AE259"/>
  <c r="O259"/>
  <c r="N259"/>
  <c r="M259"/>
  <c r="L259"/>
  <c r="C255" i="32920" s="1"/>
  <c r="AF258" i="32917"/>
  <c r="AE258"/>
  <c r="O258"/>
  <c r="N258"/>
  <c r="M258"/>
  <c r="L258"/>
  <c r="C254" i="32920" s="1"/>
  <c r="AF257" i="32917"/>
  <c r="AE257"/>
  <c r="O257"/>
  <c r="N257"/>
  <c r="M257"/>
  <c r="L257"/>
  <c r="C253" i="32920" s="1"/>
  <c r="AF256" i="32917"/>
  <c r="AE256"/>
  <c r="O256"/>
  <c r="N256"/>
  <c r="M256"/>
  <c r="L256"/>
  <c r="C252" i="32920" s="1"/>
  <c r="AF255" i="32917"/>
  <c r="AE255"/>
  <c r="O255"/>
  <c r="N255"/>
  <c r="M255"/>
  <c r="L255"/>
  <c r="C251" i="32920" s="1"/>
  <c r="AF254" i="32917"/>
  <c r="AE254"/>
  <c r="O254"/>
  <c r="N254"/>
  <c r="M254"/>
  <c r="L254"/>
  <c r="C250" i="32920" s="1"/>
  <c r="AF253" i="32917"/>
  <c r="AE253"/>
  <c r="O253"/>
  <c r="N253"/>
  <c r="M253"/>
  <c r="L253"/>
  <c r="C249" i="32920" s="1"/>
  <c r="AF252" i="32917"/>
  <c r="AE252"/>
  <c r="O252"/>
  <c r="N252"/>
  <c r="M252"/>
  <c r="L252"/>
  <c r="C248" i="32920" s="1"/>
  <c r="AF251" i="32917"/>
  <c r="AE251"/>
  <c r="O251"/>
  <c r="N251"/>
  <c r="M251"/>
  <c r="L251"/>
  <c r="C247" i="32920" s="1"/>
  <c r="AF250" i="32917"/>
  <c r="AE250"/>
  <c r="O250"/>
  <c r="N250"/>
  <c r="M250"/>
  <c r="L250"/>
  <c r="C246" i="32920" s="1"/>
  <c r="AF249" i="32917"/>
  <c r="AE249"/>
  <c r="O249"/>
  <c r="N249"/>
  <c r="M249"/>
  <c r="L249"/>
  <c r="C245" i="32920" s="1"/>
  <c r="AF248" i="32917"/>
  <c r="AE248"/>
  <c r="O248"/>
  <c r="N248"/>
  <c r="M248"/>
  <c r="L248"/>
  <c r="C244" i="32920" s="1"/>
  <c r="AF247" i="32917"/>
  <c r="AE247"/>
  <c r="O247"/>
  <c r="N247"/>
  <c r="M247"/>
  <c r="L247"/>
  <c r="C243" i="32920" s="1"/>
  <c r="AF246" i="32917"/>
  <c r="AE246"/>
  <c r="O246"/>
  <c r="N246"/>
  <c r="M246"/>
  <c r="L246"/>
  <c r="C242" i="32920" s="1"/>
  <c r="AF245" i="32917"/>
  <c r="AE245"/>
  <c r="O245"/>
  <c r="N245"/>
  <c r="M245"/>
  <c r="L245"/>
  <c r="C241" i="32920" s="1"/>
  <c r="AF244" i="32917"/>
  <c r="AE244"/>
  <c r="O244"/>
  <c r="N244"/>
  <c r="M244"/>
  <c r="L244"/>
  <c r="C240" i="32920" s="1"/>
  <c r="AF243" i="32917"/>
  <c r="AE243"/>
  <c r="O243"/>
  <c r="N243"/>
  <c r="M243"/>
  <c r="L243"/>
  <c r="C239" i="32920" s="1"/>
  <c r="AF242" i="32917"/>
  <c r="AE242"/>
  <c r="O242"/>
  <c r="N242"/>
  <c r="M242"/>
  <c r="L242"/>
  <c r="C238" i="32920" s="1"/>
  <c r="AF241" i="32917"/>
  <c r="AE241"/>
  <c r="O241"/>
  <c r="N241"/>
  <c r="M241"/>
  <c r="L241"/>
  <c r="C237" i="32920" s="1"/>
  <c r="AF240" i="32917"/>
  <c r="AE240"/>
  <c r="O240"/>
  <c r="N240"/>
  <c r="M240"/>
  <c r="L240"/>
  <c r="C236" i="32920" s="1"/>
  <c r="AF239" i="32917"/>
  <c r="AE239"/>
  <c r="O239"/>
  <c r="N239"/>
  <c r="M239"/>
  <c r="L239"/>
  <c r="C235" i="32920" s="1"/>
  <c r="AF238" i="32917"/>
  <c r="AE238"/>
  <c r="O238"/>
  <c r="N238"/>
  <c r="M238"/>
  <c r="L238"/>
  <c r="C234" i="32920" s="1"/>
  <c r="AF237" i="32917"/>
  <c r="AE237"/>
  <c r="O237"/>
  <c r="N237"/>
  <c r="M237"/>
  <c r="L237"/>
  <c r="C233" i="32920" s="1"/>
  <c r="AF236" i="32917"/>
  <c r="AE236"/>
  <c r="O236"/>
  <c r="N236"/>
  <c r="M236"/>
  <c r="L236"/>
  <c r="C232" i="32920" s="1"/>
  <c r="AF235" i="32917"/>
  <c r="AE235"/>
  <c r="O235"/>
  <c r="N235"/>
  <c r="M235"/>
  <c r="L235"/>
  <c r="C231" i="32920" s="1"/>
  <c r="AF234" i="32917"/>
  <c r="AE234"/>
  <c r="O234"/>
  <c r="N234"/>
  <c r="M234"/>
  <c r="L234"/>
  <c r="C230" i="32920" s="1"/>
  <c r="AF233" i="32917"/>
  <c r="AE233"/>
  <c r="O233"/>
  <c r="N233"/>
  <c r="M233"/>
  <c r="L233"/>
  <c r="C229" i="32920" s="1"/>
  <c r="AF232" i="32917"/>
  <c r="AE232"/>
  <c r="O232"/>
  <c r="N232"/>
  <c r="M232"/>
  <c r="L232"/>
  <c r="C228" i="32920" s="1"/>
  <c r="AF231" i="32917"/>
  <c r="AE231"/>
  <c r="O231"/>
  <c r="N231"/>
  <c r="M231"/>
  <c r="L231"/>
  <c r="C227" i="32920" s="1"/>
  <c r="AF230" i="32917"/>
  <c r="AE230"/>
  <c r="O230"/>
  <c r="N230"/>
  <c r="M230"/>
  <c r="L230"/>
  <c r="C226" i="32920" s="1"/>
  <c r="AF229" i="32917"/>
  <c r="AE229"/>
  <c r="O229"/>
  <c r="N229"/>
  <c r="M229"/>
  <c r="L229"/>
  <c r="C225" i="32920" s="1"/>
  <c r="AF228" i="32917"/>
  <c r="AE228"/>
  <c r="O228"/>
  <c r="N228"/>
  <c r="M228"/>
  <c r="L228"/>
  <c r="C224" i="32920" s="1"/>
  <c r="AF227" i="32917"/>
  <c r="AE227"/>
  <c r="O227"/>
  <c r="N227"/>
  <c r="M227"/>
  <c r="L227"/>
  <c r="C223" i="32920" s="1"/>
  <c r="AF226" i="32917"/>
  <c r="AE226"/>
  <c r="O226"/>
  <c r="N226"/>
  <c r="M226"/>
  <c r="L226"/>
  <c r="C222" i="32920" s="1"/>
  <c r="AF225" i="32917"/>
  <c r="AE225"/>
  <c r="O225"/>
  <c r="N225"/>
  <c r="M225"/>
  <c r="L225"/>
  <c r="C221" i="32920" s="1"/>
  <c r="AF224" i="32917"/>
  <c r="AE224"/>
  <c r="O224"/>
  <c r="N224"/>
  <c r="M224"/>
  <c r="L224"/>
  <c r="C220" i="32920" s="1"/>
  <c r="AF223" i="32917"/>
  <c r="AE223"/>
  <c r="O223"/>
  <c r="N223"/>
  <c r="M223"/>
  <c r="L223"/>
  <c r="C219" i="32920" s="1"/>
  <c r="AF222" i="32917"/>
  <c r="AE222"/>
  <c r="O222"/>
  <c r="N222"/>
  <c r="M222"/>
  <c r="L222"/>
  <c r="C218" i="32920" s="1"/>
  <c r="AF221" i="32917"/>
  <c r="AE221"/>
  <c r="O221"/>
  <c r="N221"/>
  <c r="M221"/>
  <c r="L221"/>
  <c r="C217" i="32920" s="1"/>
  <c r="AF220" i="32917"/>
  <c r="AE220"/>
  <c r="O220"/>
  <c r="N220"/>
  <c r="M220"/>
  <c r="L220"/>
  <c r="C216" i="32920" s="1"/>
  <c r="AF219" i="32917"/>
  <c r="AE219"/>
  <c r="O219"/>
  <c r="N219"/>
  <c r="M219"/>
  <c r="L219"/>
  <c r="C215" i="32920" s="1"/>
  <c r="AF218" i="32917"/>
  <c r="AE218"/>
  <c r="O218"/>
  <c r="N218"/>
  <c r="M218"/>
  <c r="L218"/>
  <c r="C214" i="32920" s="1"/>
  <c r="AF217" i="32917"/>
  <c r="AE217"/>
  <c r="O217"/>
  <c r="N217"/>
  <c r="M217"/>
  <c r="L217"/>
  <c r="C213" i="32920" s="1"/>
  <c r="AF216" i="32917"/>
  <c r="AE216"/>
  <c r="O216"/>
  <c r="N216"/>
  <c r="M216"/>
  <c r="L216"/>
  <c r="C212" i="32920" s="1"/>
  <c r="AF215" i="32917"/>
  <c r="AE215"/>
  <c r="O215"/>
  <c r="N215"/>
  <c r="M215"/>
  <c r="L215"/>
  <c r="C211" i="32920" s="1"/>
  <c r="AF214" i="32917"/>
  <c r="AE214"/>
  <c r="O214"/>
  <c r="N214"/>
  <c r="M214"/>
  <c r="L214"/>
  <c r="C210" i="32920" s="1"/>
  <c r="AF213" i="32917"/>
  <c r="AE213"/>
  <c r="O213"/>
  <c r="N213"/>
  <c r="M213"/>
  <c r="L213"/>
  <c r="C209" i="32920" s="1"/>
  <c r="AF212" i="32917"/>
  <c r="AE212"/>
  <c r="O212"/>
  <c r="N212"/>
  <c r="M212"/>
  <c r="L212"/>
  <c r="C208" i="32920" s="1"/>
  <c r="AF211" i="32917"/>
  <c r="AE211"/>
  <c r="O211"/>
  <c r="N211"/>
  <c r="M211"/>
  <c r="L211"/>
  <c r="C207" i="32920" s="1"/>
  <c r="AF210" i="32917"/>
  <c r="AE210"/>
  <c r="O210"/>
  <c r="N210"/>
  <c r="M210"/>
  <c r="L210"/>
  <c r="C206" i="32920" s="1"/>
  <c r="AF209" i="32917"/>
  <c r="AE209"/>
  <c r="O209"/>
  <c r="N209"/>
  <c r="M209"/>
  <c r="L209"/>
  <c r="C205" i="32920" s="1"/>
  <c r="AF208" i="32917"/>
  <c r="AE208"/>
  <c r="O208"/>
  <c r="N208"/>
  <c r="M208"/>
  <c r="L208"/>
  <c r="C204" i="32920" s="1"/>
  <c r="AF207" i="32917"/>
  <c r="AE207"/>
  <c r="O207"/>
  <c r="N207"/>
  <c r="M207"/>
  <c r="L207"/>
  <c r="C203" i="32920" s="1"/>
  <c r="AF206" i="32917"/>
  <c r="AE206"/>
  <c r="O206"/>
  <c r="N206"/>
  <c r="M206"/>
  <c r="L206"/>
  <c r="C202" i="32920" s="1"/>
  <c r="AF205" i="32917"/>
  <c r="AE205"/>
  <c r="O205"/>
  <c r="N205"/>
  <c r="M205"/>
  <c r="L205"/>
  <c r="C201" i="32920" s="1"/>
  <c r="AF204" i="32917"/>
  <c r="AE204"/>
  <c r="O204"/>
  <c r="N204"/>
  <c r="M204"/>
  <c r="L204"/>
  <c r="C200" i="32920" s="1"/>
  <c r="AF203" i="32917"/>
  <c r="AE203"/>
  <c r="O203"/>
  <c r="N203"/>
  <c r="M203"/>
  <c r="L203"/>
  <c r="C199" i="32920" s="1"/>
  <c r="AF202" i="32917"/>
  <c r="AE202"/>
  <c r="O202"/>
  <c r="N202"/>
  <c r="M202"/>
  <c r="L202"/>
  <c r="C198" i="32920" s="1"/>
  <c r="AF201" i="32917"/>
  <c r="AE201"/>
  <c r="O201"/>
  <c r="N201"/>
  <c r="M201"/>
  <c r="L201"/>
  <c r="C197" i="32920" s="1"/>
  <c r="AF200" i="32917"/>
  <c r="AE200"/>
  <c r="O200"/>
  <c r="N200"/>
  <c r="M200"/>
  <c r="L200"/>
  <c r="C196" i="32920" s="1"/>
  <c r="AF199" i="32917"/>
  <c r="AE199"/>
  <c r="O199"/>
  <c r="N199"/>
  <c r="M199"/>
  <c r="L199"/>
  <c r="C195" i="32920" s="1"/>
  <c r="AF198" i="32917"/>
  <c r="AE198"/>
  <c r="O198"/>
  <c r="N198"/>
  <c r="M198"/>
  <c r="L198"/>
  <c r="C194" i="32920" s="1"/>
  <c r="AF197" i="32917"/>
  <c r="AE197"/>
  <c r="O197"/>
  <c r="N197"/>
  <c r="M197"/>
  <c r="L197"/>
  <c r="C193" i="32920" s="1"/>
  <c r="AF196" i="32917"/>
  <c r="AE196"/>
  <c r="O196"/>
  <c r="N196"/>
  <c r="M196"/>
  <c r="L196"/>
  <c r="C192" i="32920" s="1"/>
  <c r="AF195" i="32917"/>
  <c r="AE195"/>
  <c r="O195"/>
  <c r="N195"/>
  <c r="M195"/>
  <c r="L195"/>
  <c r="C191" i="32920" s="1"/>
  <c r="AF194" i="32917"/>
  <c r="AE194"/>
  <c r="O194"/>
  <c r="N194"/>
  <c r="M194"/>
  <c r="L194"/>
  <c r="C190" i="32920" s="1"/>
  <c r="AF193" i="32917"/>
  <c r="AE193"/>
  <c r="O193"/>
  <c r="N193"/>
  <c r="M193"/>
  <c r="L193"/>
  <c r="C189" i="32920" s="1"/>
  <c r="AF192" i="32917"/>
  <c r="AE192"/>
  <c r="O192"/>
  <c r="N192"/>
  <c r="M192"/>
  <c r="L192"/>
  <c r="C188" i="32920" s="1"/>
  <c r="AF191" i="32917"/>
  <c r="AE191"/>
  <c r="O191"/>
  <c r="N191"/>
  <c r="M191"/>
  <c r="L191"/>
  <c r="C187" i="32920" s="1"/>
  <c r="AF190" i="32917"/>
  <c r="AE190"/>
  <c r="O190"/>
  <c r="N190"/>
  <c r="M190"/>
  <c r="L190"/>
  <c r="C186" i="32920" s="1"/>
  <c r="AF189" i="32917"/>
  <c r="AE189"/>
  <c r="O189"/>
  <c r="N189"/>
  <c r="M189"/>
  <c r="L189"/>
  <c r="C185" i="32920" s="1"/>
  <c r="AF188" i="32917"/>
  <c r="AE188"/>
  <c r="O188"/>
  <c r="N188"/>
  <c r="M188"/>
  <c r="L188"/>
  <c r="C184" i="32920" s="1"/>
  <c r="AF187" i="32917"/>
  <c r="AE187"/>
  <c r="O187"/>
  <c r="N187"/>
  <c r="M187"/>
  <c r="L187"/>
  <c r="C183" i="32920" s="1"/>
  <c r="AF186" i="32917"/>
  <c r="AE186"/>
  <c r="O186"/>
  <c r="N186"/>
  <c r="M186"/>
  <c r="L186"/>
  <c r="C182" i="32920" s="1"/>
  <c r="AF185" i="32917"/>
  <c r="AE185"/>
  <c r="O185"/>
  <c r="N185"/>
  <c r="M185"/>
  <c r="L185"/>
  <c r="C181" i="32920" s="1"/>
  <c r="AF184" i="32917"/>
  <c r="AE184"/>
  <c r="O184"/>
  <c r="N184"/>
  <c r="M184"/>
  <c r="L184"/>
  <c r="C180" i="32920" s="1"/>
  <c r="AF183" i="32917"/>
  <c r="AE183"/>
  <c r="O183"/>
  <c r="N183"/>
  <c r="M183"/>
  <c r="L183"/>
  <c r="C179" i="32920" s="1"/>
  <c r="AF182" i="32917"/>
  <c r="AE182"/>
  <c r="O182"/>
  <c r="N182"/>
  <c r="M182"/>
  <c r="L182"/>
  <c r="C178" i="32920" s="1"/>
  <c r="AF181" i="32917"/>
  <c r="AE181"/>
  <c r="O181"/>
  <c r="N181"/>
  <c r="M181"/>
  <c r="L181"/>
  <c r="C177" i="32920" s="1"/>
  <c r="AF180" i="32917"/>
  <c r="AE180"/>
  <c r="O180"/>
  <c r="N180"/>
  <c r="M180"/>
  <c r="L180"/>
  <c r="C176" i="32920" s="1"/>
  <c r="AF179" i="32917"/>
  <c r="AE179"/>
  <c r="O179"/>
  <c r="N179"/>
  <c r="M179"/>
  <c r="L179"/>
  <c r="C175" i="32920" s="1"/>
  <c r="AF178" i="32917"/>
  <c r="AE178"/>
  <c r="O178"/>
  <c r="N178"/>
  <c r="M178"/>
  <c r="L178"/>
  <c r="C174" i="32920" s="1"/>
  <c r="AF177" i="32917"/>
  <c r="AE177"/>
  <c r="O177"/>
  <c r="N177"/>
  <c r="M177"/>
  <c r="L177"/>
  <c r="C173" i="32920" s="1"/>
  <c r="AF176" i="32917"/>
  <c r="AE176"/>
  <c r="O176"/>
  <c r="N176"/>
  <c r="M176"/>
  <c r="L176"/>
  <c r="C172" i="32920" s="1"/>
  <c r="AF175" i="32917"/>
  <c r="AE175"/>
  <c r="O175"/>
  <c r="N175"/>
  <c r="M175"/>
  <c r="L175"/>
  <c r="C171" i="32920" s="1"/>
  <c r="AF174" i="32917"/>
  <c r="AE174"/>
  <c r="O174"/>
  <c r="N174"/>
  <c r="M174"/>
  <c r="L174"/>
  <c r="C170" i="32920" s="1"/>
  <c r="AF173" i="32917"/>
  <c r="AE173"/>
  <c r="O173"/>
  <c r="N173"/>
  <c r="M173"/>
  <c r="L173"/>
  <c r="C169" i="32920" s="1"/>
  <c r="AF172" i="32917"/>
  <c r="AE172"/>
  <c r="O172"/>
  <c r="N172"/>
  <c r="M172"/>
  <c r="L172"/>
  <c r="C168" i="32920" s="1"/>
  <c r="AF171" i="32917"/>
  <c r="AE171"/>
  <c r="O171"/>
  <c r="N171"/>
  <c r="M171"/>
  <c r="L171"/>
  <c r="C167" i="32920" s="1"/>
  <c r="AF170" i="32917"/>
  <c r="AE170"/>
  <c r="O170"/>
  <c r="N170"/>
  <c r="M170"/>
  <c r="L170"/>
  <c r="C166" i="32920" s="1"/>
  <c r="AF169" i="32917"/>
  <c r="AE169"/>
  <c r="O169"/>
  <c r="N169"/>
  <c r="M169"/>
  <c r="L169"/>
  <c r="C165" i="32920" s="1"/>
  <c r="AF168" i="32917"/>
  <c r="AE168"/>
  <c r="O168"/>
  <c r="N168"/>
  <c r="M168"/>
  <c r="L168"/>
  <c r="C164" i="32920" s="1"/>
  <c r="AF167" i="32917"/>
  <c r="AE167"/>
  <c r="O167"/>
  <c r="N167"/>
  <c r="M167"/>
  <c r="L167"/>
  <c r="C163" i="32920" s="1"/>
  <c r="AF166" i="32917"/>
  <c r="AE166"/>
  <c r="O166"/>
  <c r="N166"/>
  <c r="M166"/>
  <c r="L166"/>
  <c r="C162" i="32920" s="1"/>
  <c r="AF165" i="32917"/>
  <c r="AE165"/>
  <c r="O165"/>
  <c r="N165"/>
  <c r="M165"/>
  <c r="L165"/>
  <c r="C161" i="32920" s="1"/>
  <c r="AF164" i="32917"/>
  <c r="AE164"/>
  <c r="O164"/>
  <c r="N164"/>
  <c r="M164"/>
  <c r="L164"/>
  <c r="C160" i="32920" s="1"/>
  <c r="AF163" i="32917"/>
  <c r="AE163"/>
  <c r="O163"/>
  <c r="N163"/>
  <c r="M163"/>
  <c r="L163"/>
  <c r="C159" i="32920" s="1"/>
  <c r="AF162" i="32917"/>
  <c r="AE162"/>
  <c r="O162"/>
  <c r="N162"/>
  <c r="M162"/>
  <c r="L162"/>
  <c r="C158" i="32920" s="1"/>
  <c r="AF161" i="32917"/>
  <c r="AE161"/>
  <c r="O161"/>
  <c r="N161"/>
  <c r="M161"/>
  <c r="L161"/>
  <c r="C157" i="32920" s="1"/>
  <c r="AF160" i="32917"/>
  <c r="AE160"/>
  <c r="O160"/>
  <c r="N160"/>
  <c r="M160"/>
  <c r="L160"/>
  <c r="C156" i="32920" s="1"/>
  <c r="AF159" i="32917"/>
  <c r="AE159"/>
  <c r="O159"/>
  <c r="N159"/>
  <c r="M159"/>
  <c r="L159"/>
  <c r="C155" i="32920" s="1"/>
  <c r="AF158" i="32917"/>
  <c r="AE158"/>
  <c r="O158"/>
  <c r="N158"/>
  <c r="M158"/>
  <c r="L158"/>
  <c r="C154" i="32920" s="1"/>
  <c r="AF157" i="32917"/>
  <c r="AE157"/>
  <c r="O157"/>
  <c r="N157"/>
  <c r="M157"/>
  <c r="L157"/>
  <c r="C153" i="32920" s="1"/>
  <c r="AF156" i="32917"/>
  <c r="AE156"/>
  <c r="O156"/>
  <c r="N156"/>
  <c r="M156"/>
  <c r="L156"/>
  <c r="C152" i="32920" s="1"/>
  <c r="AF155" i="32917"/>
  <c r="AE155"/>
  <c r="O155"/>
  <c r="N155"/>
  <c r="M155"/>
  <c r="L155"/>
  <c r="C151" i="32920" s="1"/>
  <c r="AF154" i="32917"/>
  <c r="AE154"/>
  <c r="O154"/>
  <c r="N154"/>
  <c r="M154"/>
  <c r="L154"/>
  <c r="C150" i="32920" s="1"/>
  <c r="AF153" i="32917"/>
  <c r="AE153"/>
  <c r="O153"/>
  <c r="N153"/>
  <c r="M153"/>
  <c r="L153"/>
  <c r="C149" i="32920" s="1"/>
  <c r="AF152" i="32917"/>
  <c r="AE152"/>
  <c r="O152"/>
  <c r="N152"/>
  <c r="M152"/>
  <c r="L152"/>
  <c r="C148" i="32920" s="1"/>
  <c r="AF151" i="32917"/>
  <c r="AE151"/>
  <c r="O151"/>
  <c r="N151"/>
  <c r="M151"/>
  <c r="L151"/>
  <c r="C147" i="32920" s="1"/>
  <c r="AF150" i="32917"/>
  <c r="AE150"/>
  <c r="O150"/>
  <c r="N150"/>
  <c r="M150"/>
  <c r="L150"/>
  <c r="C146" i="32920" s="1"/>
  <c r="AF149" i="32917"/>
  <c r="AE149"/>
  <c r="O149"/>
  <c r="N149"/>
  <c r="M149"/>
  <c r="L149"/>
  <c r="C145" i="32920" s="1"/>
  <c r="AF148" i="32917"/>
  <c r="AE148"/>
  <c r="O148"/>
  <c r="N148"/>
  <c r="M148"/>
  <c r="L148"/>
  <c r="C144" i="32920" s="1"/>
  <c r="AF147" i="32917"/>
  <c r="AE147"/>
  <c r="O147"/>
  <c r="N147"/>
  <c r="M147"/>
  <c r="L147"/>
  <c r="C143" i="32920" s="1"/>
  <c r="AF146" i="32917"/>
  <c r="AE146"/>
  <c r="O146"/>
  <c r="N146"/>
  <c r="M146"/>
  <c r="L146"/>
  <c r="C142" i="32920" s="1"/>
  <c r="AF145" i="32917"/>
  <c r="AE145"/>
  <c r="O145"/>
  <c r="N145"/>
  <c r="M145"/>
  <c r="L145"/>
  <c r="C141" i="32920" s="1"/>
  <c r="AF144" i="32917"/>
  <c r="AE144"/>
  <c r="O144"/>
  <c r="N144"/>
  <c r="M144"/>
  <c r="L144"/>
  <c r="C140" i="32920" s="1"/>
  <c r="AF143" i="32917"/>
  <c r="AE143"/>
  <c r="O143"/>
  <c r="N143"/>
  <c r="M143"/>
  <c r="L143"/>
  <c r="C139" i="32920" s="1"/>
  <c r="AF142" i="32917"/>
  <c r="AE142"/>
  <c r="O142"/>
  <c r="N142"/>
  <c r="M142"/>
  <c r="L142"/>
  <c r="C138" i="32920" s="1"/>
  <c r="AF141" i="32917"/>
  <c r="AE141"/>
  <c r="O141"/>
  <c r="N141"/>
  <c r="M141"/>
  <c r="L141"/>
  <c r="C137" i="32920" s="1"/>
  <c r="AF140" i="32917"/>
  <c r="AE140"/>
  <c r="O140"/>
  <c r="N140"/>
  <c r="M140"/>
  <c r="L140"/>
  <c r="C136" i="32920" s="1"/>
  <c r="AF139" i="32917"/>
  <c r="AE139"/>
  <c r="O139"/>
  <c r="N139"/>
  <c r="M139"/>
  <c r="L139"/>
  <c r="C135" i="32920" s="1"/>
  <c r="AF138" i="32917"/>
  <c r="AE138"/>
  <c r="O138"/>
  <c r="N138"/>
  <c r="M138"/>
  <c r="L138"/>
  <c r="C134" i="32920" s="1"/>
  <c r="AF137" i="32917"/>
  <c r="AE137"/>
  <c r="O137"/>
  <c r="N137"/>
  <c r="M137"/>
  <c r="L137"/>
  <c r="C133" i="32920" s="1"/>
  <c r="AF136" i="32917"/>
  <c r="AE136"/>
  <c r="O136"/>
  <c r="N136"/>
  <c r="M136"/>
  <c r="L136"/>
  <c r="C132" i="32920" s="1"/>
  <c r="AF135" i="32917"/>
  <c r="AE135"/>
  <c r="O135"/>
  <c r="N135"/>
  <c r="M135"/>
  <c r="L135"/>
  <c r="C131" i="32920" s="1"/>
  <c r="AF134" i="32917"/>
  <c r="AE134"/>
  <c r="O134"/>
  <c r="N134"/>
  <c r="M134"/>
  <c r="L134"/>
  <c r="C130" i="32920" s="1"/>
  <c r="AF133" i="32917"/>
  <c r="AE133"/>
  <c r="O133"/>
  <c r="N133"/>
  <c r="M133"/>
  <c r="L133"/>
  <c r="C129" i="32920" s="1"/>
  <c r="AF132" i="32917"/>
  <c r="AE132"/>
  <c r="O132"/>
  <c r="N132"/>
  <c r="M132"/>
  <c r="L132"/>
  <c r="C128" i="32920" s="1"/>
  <c r="AF131" i="32917"/>
  <c r="AE131"/>
  <c r="O131"/>
  <c r="N131"/>
  <c r="M131"/>
  <c r="L131"/>
  <c r="C127" i="32920" s="1"/>
  <c r="AF130" i="32917"/>
  <c r="AE130"/>
  <c r="O130"/>
  <c r="N130"/>
  <c r="M130"/>
  <c r="L130"/>
  <c r="C126" i="32920" s="1"/>
  <c r="AF129" i="32917"/>
  <c r="AE129"/>
  <c r="O129"/>
  <c r="N129"/>
  <c r="M129"/>
  <c r="L129"/>
  <c r="C125" i="32920" s="1"/>
  <c r="AF128" i="32917"/>
  <c r="AE128"/>
  <c r="O128"/>
  <c r="N128"/>
  <c r="M128"/>
  <c r="L128"/>
  <c r="C124" i="32920" s="1"/>
  <c r="AF127" i="32917"/>
  <c r="AE127"/>
  <c r="O127"/>
  <c r="N127"/>
  <c r="M127"/>
  <c r="L127"/>
  <c r="C123" i="32920" s="1"/>
  <c r="AF126" i="32917"/>
  <c r="AE126"/>
  <c r="O126"/>
  <c r="N126"/>
  <c r="M126"/>
  <c r="L126"/>
  <c r="C122" i="32920" s="1"/>
  <c r="AF125" i="32917"/>
  <c r="AE125"/>
  <c r="O125"/>
  <c r="N125"/>
  <c r="M125"/>
  <c r="L125"/>
  <c r="C121" i="32920" s="1"/>
  <c r="AF124" i="32917"/>
  <c r="AE124"/>
  <c r="O124"/>
  <c r="N124"/>
  <c r="M124"/>
  <c r="L124"/>
  <c r="C120" i="32920" s="1"/>
  <c r="AF123" i="32917"/>
  <c r="AE123"/>
  <c r="O123"/>
  <c r="N123"/>
  <c r="M123"/>
  <c r="L123"/>
  <c r="C119" i="32920" s="1"/>
  <c r="AF122" i="32917"/>
  <c r="AE122"/>
  <c r="O122"/>
  <c r="N122"/>
  <c r="M122"/>
  <c r="L122"/>
  <c r="C118" i="32920" s="1"/>
  <c r="AF121" i="32917"/>
  <c r="AE121"/>
  <c r="O121"/>
  <c r="N121"/>
  <c r="M121"/>
  <c r="L121"/>
  <c r="C117" i="32920" s="1"/>
  <c r="AF120" i="32917"/>
  <c r="AE120"/>
  <c r="O120"/>
  <c r="N120"/>
  <c r="M120"/>
  <c r="L120"/>
  <c r="C116" i="32920" s="1"/>
  <c r="AF119" i="32917"/>
  <c r="AE119"/>
  <c r="O119"/>
  <c r="N119"/>
  <c r="M119"/>
  <c r="L119"/>
  <c r="C115" i="32920" s="1"/>
  <c r="AF118" i="32917"/>
  <c r="AE118"/>
  <c r="O118"/>
  <c r="N118"/>
  <c r="M118"/>
  <c r="L118"/>
  <c r="C114" i="32920" s="1"/>
  <c r="AF117" i="32917"/>
  <c r="AE117"/>
  <c r="O117"/>
  <c r="N117"/>
  <c r="M117"/>
  <c r="L117"/>
  <c r="C113" i="32920" s="1"/>
  <c r="AF116" i="32917"/>
  <c r="AE116"/>
  <c r="O116"/>
  <c r="N116"/>
  <c r="M116"/>
  <c r="L116"/>
  <c r="C112" i="32920" s="1"/>
  <c r="AF115" i="32917"/>
  <c r="AE115"/>
  <c r="O115"/>
  <c r="N115"/>
  <c r="M115"/>
  <c r="L115"/>
  <c r="C111" i="32920" s="1"/>
  <c r="AF114" i="32917"/>
  <c r="AE114"/>
  <c r="O114"/>
  <c r="N114"/>
  <c r="M114"/>
  <c r="L114"/>
  <c r="C110" i="32920" s="1"/>
  <c r="AF113" i="32917"/>
  <c r="AE113"/>
  <c r="O113"/>
  <c r="N113"/>
  <c r="M113"/>
  <c r="L113"/>
  <c r="C109" i="32920" s="1"/>
  <c r="AF112" i="32917"/>
  <c r="AE112"/>
  <c r="O112"/>
  <c r="N112"/>
  <c r="M112"/>
  <c r="L112"/>
  <c r="C108" i="32920" s="1"/>
  <c r="AF111" i="32917"/>
  <c r="AE111"/>
  <c r="O111"/>
  <c r="N111"/>
  <c r="M111"/>
  <c r="L111"/>
  <c r="C107" i="32920" s="1"/>
  <c r="AF110" i="32917"/>
  <c r="AE110"/>
  <c r="AU110" s="1"/>
  <c r="D106" i="32920" s="1"/>
  <c r="N110" i="32917"/>
  <c r="L110"/>
  <c r="C106" i="32920" s="1"/>
  <c r="AF109" i="32917"/>
  <c r="AE109"/>
  <c r="AU109" s="1"/>
  <c r="D105" i="32920" s="1"/>
  <c r="N109" i="32917"/>
  <c r="L109"/>
  <c r="C105" i="32920" s="1"/>
  <c r="AF108" i="32917"/>
  <c r="AE108"/>
  <c r="AU108" s="1"/>
  <c r="D104" i="32920" s="1"/>
  <c r="N108" i="32917"/>
  <c r="L108"/>
  <c r="C104" i="32920" s="1"/>
  <c r="AF107" i="32917"/>
  <c r="AE107"/>
  <c r="AU107" s="1"/>
  <c r="D103" i="32920" s="1"/>
  <c r="N107" i="32917"/>
  <c r="L107"/>
  <c r="C103" i="32920" s="1"/>
  <c r="AF106" i="32917"/>
  <c r="AE106"/>
  <c r="AU106" s="1"/>
  <c r="D102" i="32920" s="1"/>
  <c r="N106" i="32917"/>
  <c r="L106"/>
  <c r="C102" i="32920" s="1"/>
  <c r="AF105" i="32917"/>
  <c r="AE105"/>
  <c r="AU105" s="1"/>
  <c r="D101" i="32920" s="1"/>
  <c r="N105" i="32917"/>
  <c r="L105"/>
  <c r="C101" i="32920" s="1"/>
  <c r="AF104" i="32917"/>
  <c r="AE104"/>
  <c r="AU104" s="1"/>
  <c r="D100" i="32920" s="1"/>
  <c r="N104" i="32917"/>
  <c r="L104"/>
  <c r="C100" i="32920" s="1"/>
  <c r="AF103" i="32917"/>
  <c r="AE103"/>
  <c r="AU103" s="1"/>
  <c r="D99" i="32920" s="1"/>
  <c r="N103" i="32917"/>
  <c r="L103"/>
  <c r="C99" i="32920" s="1"/>
  <c r="AF102" i="32917"/>
  <c r="AE102"/>
  <c r="AU102" s="1"/>
  <c r="D98" i="32920" s="1"/>
  <c r="N102" i="32917"/>
  <c r="L102"/>
  <c r="C98" i="32920" s="1"/>
  <c r="AF101" i="32917"/>
  <c r="AE101"/>
  <c r="AU101" s="1"/>
  <c r="D97" i="32920" s="1"/>
  <c r="N101" i="32917"/>
  <c r="L101"/>
  <c r="C97" i="32920" s="1"/>
  <c r="AF100" i="32917"/>
  <c r="AE100"/>
  <c r="AU100" s="1"/>
  <c r="D96" i="32920" s="1"/>
  <c r="N100" i="32917"/>
  <c r="L100"/>
  <c r="C96" i="32920" s="1"/>
  <c r="AF99" i="32917"/>
  <c r="AE99"/>
  <c r="AU99" s="1"/>
  <c r="D95" i="32920" s="1"/>
  <c r="N99" i="32917"/>
  <c r="L99"/>
  <c r="C95" i="32920" s="1"/>
  <c r="AF98" i="32917"/>
  <c r="AE98"/>
  <c r="AU98" s="1"/>
  <c r="D94" i="32920" s="1"/>
  <c r="N98" i="32917"/>
  <c r="L98"/>
  <c r="C94" i="32920" s="1"/>
  <c r="AF97" i="32917"/>
  <c r="AE97"/>
  <c r="AU97" s="1"/>
  <c r="D93" i="32920" s="1"/>
  <c r="N97" i="32917"/>
  <c r="L97"/>
  <c r="C93" i="32920" s="1"/>
  <c r="AF96" i="32917"/>
  <c r="AE96"/>
  <c r="AU96" s="1"/>
  <c r="D92" i="32920" s="1"/>
  <c r="N96" i="32917"/>
  <c r="L96"/>
  <c r="C92" i="32920" s="1"/>
  <c r="AF95" i="32917"/>
  <c r="AE95"/>
  <c r="AU95" s="1"/>
  <c r="D91" i="32920" s="1"/>
  <c r="N95" i="32917"/>
  <c r="L95"/>
  <c r="C91" i="32920" s="1"/>
  <c r="AF94" i="32917"/>
  <c r="AE94"/>
  <c r="AU94" s="1"/>
  <c r="D90" i="32920" s="1"/>
  <c r="N94" i="32917"/>
  <c r="L94"/>
  <c r="C90" i="32920" s="1"/>
  <c r="AF93" i="32917"/>
  <c r="AE93"/>
  <c r="AU93" s="1"/>
  <c r="D89" i="32920" s="1"/>
  <c r="N93" i="32917"/>
  <c r="L93"/>
  <c r="C89" i="32920" s="1"/>
  <c r="AF92" i="32917"/>
  <c r="AE92"/>
  <c r="AU92" s="1"/>
  <c r="D88" i="32920" s="1"/>
  <c r="N92" i="32917"/>
  <c r="L92"/>
  <c r="C88" i="32920" s="1"/>
  <c r="AF91" i="32917"/>
  <c r="AE91"/>
  <c r="AU91" s="1"/>
  <c r="D87" i="32920" s="1"/>
  <c r="N91" i="32917"/>
  <c r="L91"/>
  <c r="C87" i="32920" s="1"/>
  <c r="AF90" i="32917"/>
  <c r="AE90"/>
  <c r="AU90" s="1"/>
  <c r="D86" i="32920" s="1"/>
  <c r="N90" i="32917"/>
  <c r="L90"/>
  <c r="C86" i="32920" s="1"/>
  <c r="AF89" i="32917"/>
  <c r="AE89"/>
  <c r="AU89" s="1"/>
  <c r="D85" i="32920" s="1"/>
  <c r="N89" i="32917"/>
  <c r="L89"/>
  <c r="C85" i="32920" s="1"/>
  <c r="AF88" i="32917"/>
  <c r="AE88"/>
  <c r="AU88" s="1"/>
  <c r="D84" i="32920" s="1"/>
  <c r="N88" i="32917"/>
  <c r="L88"/>
  <c r="C84" i="32920" s="1"/>
  <c r="AF87" i="32917"/>
  <c r="AE87"/>
  <c r="AU87" s="1"/>
  <c r="D83" i="32920" s="1"/>
  <c r="N87" i="32917"/>
  <c r="L87"/>
  <c r="C83" i="32920" s="1"/>
  <c r="AF86" i="32917"/>
  <c r="AE86"/>
  <c r="AU86" s="1"/>
  <c r="D82" i="32920" s="1"/>
  <c r="N86" i="32917"/>
  <c r="L86"/>
  <c r="C82" i="32920" s="1"/>
  <c r="AF85" i="32917"/>
  <c r="AE85"/>
  <c r="AU85" s="1"/>
  <c r="D81" i="32920" s="1"/>
  <c r="N85" i="32917"/>
  <c r="L85"/>
  <c r="C81" i="32920" s="1"/>
  <c r="AF84" i="32917"/>
  <c r="AE84"/>
  <c r="AU84" s="1"/>
  <c r="D80" i="32920" s="1"/>
  <c r="N84" i="32917"/>
  <c r="L84"/>
  <c r="C80" i="32920" s="1"/>
  <c r="AF83" i="32917"/>
  <c r="AE83"/>
  <c r="AU83" s="1"/>
  <c r="D79" i="32920" s="1"/>
  <c r="N83" i="32917"/>
  <c r="L83"/>
  <c r="C79" i="32920" s="1"/>
  <c r="AF82" i="32917"/>
  <c r="AE82"/>
  <c r="AU82" s="1"/>
  <c r="D78" i="32920" s="1"/>
  <c r="N82" i="32917"/>
  <c r="L82"/>
  <c r="C78" i="32920" s="1"/>
  <c r="AF81" i="32917"/>
  <c r="AE81"/>
  <c r="AU81" s="1"/>
  <c r="D77" i="32920" s="1"/>
  <c r="N81" i="32917"/>
  <c r="L81"/>
  <c r="C77" i="32920" s="1"/>
  <c r="AF80" i="32917"/>
  <c r="AE80"/>
  <c r="AU80" s="1"/>
  <c r="D76" i="32920" s="1"/>
  <c r="N80" i="32917"/>
  <c r="L80"/>
  <c r="C76" i="32920" s="1"/>
  <c r="AF79" i="32917"/>
  <c r="AE79"/>
  <c r="AU79" s="1"/>
  <c r="D75" i="32920" s="1"/>
  <c r="N79" i="32917"/>
  <c r="L79"/>
  <c r="C75" i="32920" s="1"/>
  <c r="AF78" i="32917"/>
  <c r="AE78"/>
  <c r="AU78" s="1"/>
  <c r="D74" i="32920" s="1"/>
  <c r="N78" i="32917"/>
  <c r="L78"/>
  <c r="C74" i="32920" s="1"/>
  <c r="AF77" i="32917"/>
  <c r="AE77"/>
  <c r="AU77" s="1"/>
  <c r="D73" i="32920" s="1"/>
  <c r="N77" i="32917"/>
  <c r="L77"/>
  <c r="C73" i="32920" s="1"/>
  <c r="AF76" i="32917"/>
  <c r="AE76"/>
  <c r="AU76" s="1"/>
  <c r="D72" i="32920" s="1"/>
  <c r="N76" i="32917"/>
  <c r="L76"/>
  <c r="C72" i="32920" s="1"/>
  <c r="AF75" i="32917"/>
  <c r="AE75"/>
  <c r="AU75" s="1"/>
  <c r="D71" i="32920" s="1"/>
  <c r="N75" i="32917"/>
  <c r="L75"/>
  <c r="C71" i="32920" s="1"/>
  <c r="AF74" i="32917"/>
  <c r="AE74"/>
  <c r="AU74" s="1"/>
  <c r="D70" i="32920" s="1"/>
  <c r="N74" i="32917"/>
  <c r="L74"/>
  <c r="C70" i="32920" s="1"/>
  <c r="AF73" i="32917"/>
  <c r="AE73"/>
  <c r="AU73" s="1"/>
  <c r="D69" i="32920" s="1"/>
  <c r="N73" i="32917"/>
  <c r="L73"/>
  <c r="C69" i="32920" s="1"/>
  <c r="AF72" i="32917"/>
  <c r="AE72"/>
  <c r="AU72" s="1"/>
  <c r="D68" i="32920" s="1"/>
  <c r="N72" i="32917"/>
  <c r="L72"/>
  <c r="C68" i="32920" s="1"/>
  <c r="AF71" i="32917"/>
  <c r="AE71"/>
  <c r="AU71" s="1"/>
  <c r="D67" i="32920" s="1"/>
  <c r="N71" i="32917"/>
  <c r="L71"/>
  <c r="C67" i="32920" s="1"/>
  <c r="AF70" i="32917"/>
  <c r="AE70"/>
  <c r="AU70" s="1"/>
  <c r="D66" i="32920" s="1"/>
  <c r="N70" i="32917"/>
  <c r="L70"/>
  <c r="C66" i="32920" s="1"/>
  <c r="AF69" i="32917"/>
  <c r="AE69"/>
  <c r="AU69" s="1"/>
  <c r="D65" i="32920" s="1"/>
  <c r="N69" i="32917"/>
  <c r="L69"/>
  <c r="C65" i="32920" s="1"/>
  <c r="AF68" i="32917"/>
  <c r="AE68"/>
  <c r="AU68" s="1"/>
  <c r="D64" i="32920" s="1"/>
  <c r="N68" i="32917"/>
  <c r="L68"/>
  <c r="C64" i="32920" s="1"/>
  <c r="AF67" i="32917"/>
  <c r="AE67"/>
  <c r="AU67" s="1"/>
  <c r="D63" i="32920" s="1"/>
  <c r="N67" i="32917"/>
  <c r="L67"/>
  <c r="C63" i="32920" s="1"/>
  <c r="AF66" i="32917"/>
  <c r="AE66"/>
  <c r="AU66" s="1"/>
  <c r="D62" i="32920" s="1"/>
  <c r="N66" i="32917"/>
  <c r="L66"/>
  <c r="C62" i="32920" s="1"/>
  <c r="AF65" i="32917"/>
  <c r="AE65"/>
  <c r="AU65" s="1"/>
  <c r="D61" i="32920" s="1"/>
  <c r="N65" i="32917"/>
  <c r="L65"/>
  <c r="C61" i="32920" s="1"/>
  <c r="AF64" i="32917"/>
  <c r="AE64"/>
  <c r="AU64" s="1"/>
  <c r="D60" i="32920" s="1"/>
  <c r="N64" i="32917"/>
  <c r="L64"/>
  <c r="C60" i="32920" s="1"/>
  <c r="AF63" i="32917"/>
  <c r="AE63"/>
  <c r="AU63" s="1"/>
  <c r="D59" i="32920" s="1"/>
  <c r="N63" i="32917"/>
  <c r="L63"/>
  <c r="C59" i="32920" s="1"/>
  <c r="AF62" i="32917"/>
  <c r="AE62"/>
  <c r="AU62" s="1"/>
  <c r="D58" i="32920" s="1"/>
  <c r="N62" i="32917"/>
  <c r="L62"/>
  <c r="C58" i="32920" s="1"/>
  <c r="AF61" i="32917"/>
  <c r="AE61"/>
  <c r="AU61" s="1"/>
  <c r="D57" i="32920" s="1"/>
  <c r="N61" i="32917"/>
  <c r="L61"/>
  <c r="C57" i="32920" s="1"/>
  <c r="AF60" i="32917"/>
  <c r="AE60"/>
  <c r="AU60" s="1"/>
  <c r="D56" i="32920" s="1"/>
  <c r="N60" i="32917"/>
  <c r="L60"/>
  <c r="C56" i="32920" s="1"/>
  <c r="AF59" i="32917"/>
  <c r="AE59"/>
  <c r="AU59" s="1"/>
  <c r="D55" i="32920" s="1"/>
  <c r="N59" i="32917"/>
  <c r="L59"/>
  <c r="C55" i="32920" s="1"/>
  <c r="AF58" i="32917"/>
  <c r="AE58"/>
  <c r="AU58" s="1"/>
  <c r="D54" i="32920" s="1"/>
  <c r="N58" i="32917"/>
  <c r="L58"/>
  <c r="C54" i="32920" s="1"/>
  <c r="AF57" i="32917"/>
  <c r="AE57"/>
  <c r="AU57" s="1"/>
  <c r="D53" i="32920" s="1"/>
  <c r="N57" i="32917"/>
  <c r="L57"/>
  <c r="C53" i="32920" s="1"/>
  <c r="AF56" i="32917"/>
  <c r="AE56"/>
  <c r="AU56" s="1"/>
  <c r="D52" i="32920" s="1"/>
  <c r="N56" i="32917"/>
  <c r="L56"/>
  <c r="C52" i="32920" s="1"/>
  <c r="AF55" i="32917"/>
  <c r="AE55"/>
  <c r="AU55" s="1"/>
  <c r="D51" i="32920" s="1"/>
  <c r="N55" i="32917"/>
  <c r="L55"/>
  <c r="C51" i="32920" s="1"/>
  <c r="AF54" i="32917"/>
  <c r="AE54"/>
  <c r="AU54" s="1"/>
  <c r="D50" i="32920" s="1"/>
  <c r="N54" i="32917"/>
  <c r="L54"/>
  <c r="C50" i="32920" s="1"/>
  <c r="AF53" i="32917"/>
  <c r="AE53"/>
  <c r="AU53" s="1"/>
  <c r="D49" i="32920" s="1"/>
  <c r="N53" i="32917"/>
  <c r="L53"/>
  <c r="C49" i="32920" s="1"/>
  <c r="AF52" i="32917"/>
  <c r="AE52"/>
  <c r="AU52" s="1"/>
  <c r="D48" i="32920" s="1"/>
  <c r="N52" i="32917"/>
  <c r="L52"/>
  <c r="C48" i="32920" s="1"/>
  <c r="AF51" i="32917"/>
  <c r="AE51"/>
  <c r="AU51" s="1"/>
  <c r="D47" i="32920" s="1"/>
  <c r="N51" i="32917"/>
  <c r="L51"/>
  <c r="C47" i="32920" s="1"/>
  <c r="AF50" i="32917"/>
  <c r="AE50"/>
  <c r="AU50" s="1"/>
  <c r="D46" i="32920" s="1"/>
  <c r="N50" i="32917"/>
  <c r="L50"/>
  <c r="C46" i="32920" s="1"/>
  <c r="AF49" i="32917"/>
  <c r="AE49"/>
  <c r="AU49" s="1"/>
  <c r="D45" i="32920" s="1"/>
  <c r="N49" i="32917"/>
  <c r="L49"/>
  <c r="C45" i="32920" s="1"/>
  <c r="AF48" i="32917"/>
  <c r="AE48"/>
  <c r="AU48" s="1"/>
  <c r="D44" i="32920" s="1"/>
  <c r="N48" i="32917"/>
  <c r="L48"/>
  <c r="C44" i="32920" s="1"/>
  <c r="AF47" i="32917"/>
  <c r="AE47"/>
  <c r="AU47" s="1"/>
  <c r="D43" i="32920" s="1"/>
  <c r="N47" i="32917"/>
  <c r="L47"/>
  <c r="C43" i="32920" s="1"/>
  <c r="AF46" i="32917"/>
  <c r="AE46"/>
  <c r="AU46" s="1"/>
  <c r="D42" i="32920" s="1"/>
  <c r="N46" i="32917"/>
  <c r="L46"/>
  <c r="C42" i="32920" s="1"/>
  <c r="AF45" i="32917"/>
  <c r="AE45"/>
  <c r="AU45" s="1"/>
  <c r="D41" i="32920" s="1"/>
  <c r="N45" i="32917"/>
  <c r="L45"/>
  <c r="C41" i="32920" s="1"/>
  <c r="AF44" i="32917"/>
  <c r="AE44"/>
  <c r="AU44" s="1"/>
  <c r="D40" i="32920" s="1"/>
  <c r="N44" i="32917"/>
  <c r="L44"/>
  <c r="C40" i="32920" s="1"/>
  <c r="AF43" i="32917"/>
  <c r="AE43"/>
  <c r="AU43" s="1"/>
  <c r="D39" i="32920" s="1"/>
  <c r="N43" i="32917"/>
  <c r="L43"/>
  <c r="C39" i="32920" s="1"/>
  <c r="AF42" i="32917"/>
  <c r="AE42"/>
  <c r="AU42" s="1"/>
  <c r="D38" i="32920" s="1"/>
  <c r="N42" i="32917"/>
  <c r="L42"/>
  <c r="C38" i="32920" s="1"/>
  <c r="AF41" i="32917"/>
  <c r="AE41"/>
  <c r="AU41" s="1"/>
  <c r="D37" i="32920" s="1"/>
  <c r="N41" i="32917"/>
  <c r="L41"/>
  <c r="C37" i="32920" s="1"/>
  <c r="AF40" i="32917"/>
  <c r="AE40"/>
  <c r="AU40" s="1"/>
  <c r="D36" i="32920" s="1"/>
  <c r="N40" i="32917"/>
  <c r="L40"/>
  <c r="C36" i="32920" s="1"/>
  <c r="AF39" i="32917"/>
  <c r="AE39"/>
  <c r="AU39" s="1"/>
  <c r="D35" i="32920" s="1"/>
  <c r="N39" i="32917"/>
  <c r="L39"/>
  <c r="C35" i="32920" s="1"/>
  <c r="AF38" i="32917"/>
  <c r="AE38"/>
  <c r="AU38" s="1"/>
  <c r="D34" i="32920" s="1"/>
  <c r="N38" i="32917"/>
  <c r="L38"/>
  <c r="C34" i="32920" s="1"/>
  <c r="AF37" i="32917"/>
  <c r="AE37"/>
  <c r="AU37" s="1"/>
  <c r="D33" i="32920" s="1"/>
  <c r="N37" i="32917"/>
  <c r="L37"/>
  <c r="C33" i="32920" s="1"/>
  <c r="AF36" i="32917"/>
  <c r="AE36"/>
  <c r="AU36" s="1"/>
  <c r="D32" i="32920" s="1"/>
  <c r="N36" i="32917"/>
  <c r="L36"/>
  <c r="C32" i="32920" s="1"/>
  <c r="AF35" i="32917"/>
  <c r="AE35"/>
  <c r="AU35" s="1"/>
  <c r="D31" i="32920" s="1"/>
  <c r="N35" i="32917"/>
  <c r="L35"/>
  <c r="C31" i="32920" s="1"/>
  <c r="AF34" i="32917"/>
  <c r="AE34"/>
  <c r="AU34" s="1"/>
  <c r="D30" i="32920" s="1"/>
  <c r="N34" i="32917"/>
  <c r="L34"/>
  <c r="C30" i="32920" s="1"/>
  <c r="AF33" i="32917"/>
  <c r="AE33"/>
  <c r="AU33" s="1"/>
  <c r="D29" i="32920" s="1"/>
  <c r="N33" i="32917"/>
  <c r="L33"/>
  <c r="C29" i="32920" s="1"/>
  <c r="AF32" i="32917"/>
  <c r="AE32"/>
  <c r="AU32" s="1"/>
  <c r="D28" i="32920" s="1"/>
  <c r="N32" i="32917"/>
  <c r="L32"/>
  <c r="C28" i="32920" s="1"/>
  <c r="AF31" i="32917"/>
  <c r="AE31"/>
  <c r="AU31" s="1"/>
  <c r="D27" i="32920" s="1"/>
  <c r="N31" i="32917"/>
  <c r="L31"/>
  <c r="C27" i="32920" s="1"/>
  <c r="AF30" i="32917"/>
  <c r="AE30"/>
  <c r="AU30" s="1"/>
  <c r="D26" i="32920" s="1"/>
  <c r="N30" i="32917"/>
  <c r="L30"/>
  <c r="C26" i="32920" s="1"/>
  <c r="AF29" i="32917"/>
  <c r="AE29"/>
  <c r="AU29" s="1"/>
  <c r="D25" i="32920" s="1"/>
  <c r="N29" i="32917"/>
  <c r="L29"/>
  <c r="C25" i="32920" s="1"/>
  <c r="AF28" i="32917"/>
  <c r="AE28"/>
  <c r="AU28" s="1"/>
  <c r="D24" i="32920" s="1"/>
  <c r="N28" i="32917"/>
  <c r="L28"/>
  <c r="C24" i="32920" s="1"/>
  <c r="AF27" i="32917"/>
  <c r="AE27"/>
  <c r="AU27" s="1"/>
  <c r="D23" i="32920" s="1"/>
  <c r="N27" i="32917"/>
  <c r="L27"/>
  <c r="C23" i="32920" s="1"/>
  <c r="AF26" i="32917"/>
  <c r="AE26"/>
  <c r="AU26" s="1"/>
  <c r="D22" i="32920" s="1"/>
  <c r="N26" i="32917"/>
  <c r="L26"/>
  <c r="C22" i="32920" s="1"/>
  <c r="AF25" i="32917"/>
  <c r="AE25"/>
  <c r="AU25" s="1"/>
  <c r="D21" i="32920" s="1"/>
  <c r="N25" i="32917"/>
  <c r="L25"/>
  <c r="C21" i="32920" s="1"/>
  <c r="AF24" i="32917"/>
  <c r="AE24"/>
  <c r="AU24" s="1"/>
  <c r="D20" i="32920" s="1"/>
  <c r="N24" i="32917"/>
  <c r="L24"/>
  <c r="C20" i="32920" s="1"/>
  <c r="AF23" i="32917"/>
  <c r="AE23"/>
  <c r="AU23" s="1"/>
  <c r="D19" i="32920" s="1"/>
  <c r="N23" i="32917"/>
  <c r="L23"/>
  <c r="C19" i="32920" s="1"/>
  <c r="AF22" i="32917"/>
  <c r="AE22"/>
  <c r="AU22" s="1"/>
  <c r="D18" i="32920" s="1"/>
  <c r="L22" i="32917"/>
  <c r="C18" i="32920" s="1"/>
  <c r="AF21" i="32917"/>
  <c r="AE21"/>
  <c r="AU21" s="1"/>
  <c r="D17" i="32920" s="1"/>
  <c r="L21" i="32917"/>
  <c r="C17" i="32920" s="1"/>
  <c r="AF20" i="32917"/>
  <c r="AE20"/>
  <c r="AU20" s="1"/>
  <c r="D16" i="32920" s="1"/>
  <c r="L20" i="32917"/>
  <c r="C16" i="32920" s="1"/>
  <c r="AF19" i="32917"/>
  <c r="AE19"/>
  <c r="AU19" s="1"/>
  <c r="D15" i="32920" s="1"/>
  <c r="L19" i="32917"/>
  <c r="C15" i="32920" s="1"/>
  <c r="AF18" i="32917"/>
  <c r="AE18"/>
  <c r="AU18" s="1"/>
  <c r="D14" i="32920" s="1"/>
  <c r="L18" i="32917"/>
  <c r="C14" i="32920" s="1"/>
  <c r="AF17" i="32917"/>
  <c r="AE17"/>
  <c r="AU17" s="1"/>
  <c r="D13" i="32920" s="1"/>
  <c r="L17" i="32917"/>
  <c r="C13" i="32920" s="1"/>
  <c r="AF16" i="32917"/>
  <c r="AE16"/>
  <c r="AU16" s="1"/>
  <c r="D12" i="32920" s="1"/>
  <c r="L16" i="32917"/>
  <c r="C12" i="32920" s="1"/>
  <c r="AF15" i="32917"/>
  <c r="AE15"/>
  <c r="AU15" s="1"/>
  <c r="D11" i="32920" s="1"/>
  <c r="L15" i="32917"/>
  <c r="C11" i="32920" s="1"/>
  <c r="AF14" i="32917"/>
  <c r="AE14"/>
  <c r="AU14" s="1"/>
  <c r="D10" i="32920" s="1"/>
  <c r="L14" i="32917"/>
  <c r="C10" i="32920" s="1"/>
  <c r="AF13" i="32917"/>
  <c r="AE13"/>
  <c r="AU13" s="1"/>
  <c r="D9" i="32920" s="1"/>
  <c r="L13" i="32917"/>
  <c r="C9" i="32920" s="1"/>
  <c r="AF12" i="32917"/>
  <c r="AE12"/>
  <c r="AU12" s="1"/>
  <c r="AF11"/>
  <c r="AE11"/>
  <c r="D7" i="32920" s="1"/>
  <c r="U9" i="32917"/>
  <c r="S9"/>
  <c r="AO10" s="1"/>
  <c r="L4"/>
  <c r="O110" l="1"/>
  <c r="M69"/>
  <c r="M12"/>
  <c r="N13"/>
  <c r="N14"/>
  <c r="N15"/>
  <c r="N16"/>
  <c r="N17"/>
  <c r="N18"/>
  <c r="N19"/>
  <c r="N20"/>
  <c r="N21"/>
  <c r="N22"/>
  <c r="M23"/>
  <c r="O23"/>
  <c r="M24"/>
  <c r="O24"/>
  <c r="M25"/>
  <c r="O25"/>
  <c r="M26"/>
  <c r="O26"/>
  <c r="M27"/>
  <c r="O27"/>
  <c r="M28"/>
  <c r="O28"/>
  <c r="M29"/>
  <c r="O29"/>
  <c r="M30"/>
  <c r="O30"/>
  <c r="M31"/>
  <c r="O31"/>
  <c r="M32"/>
  <c r="O32"/>
  <c r="M33"/>
  <c r="O33"/>
  <c r="M34"/>
  <c r="O34"/>
  <c r="M35"/>
  <c r="O35"/>
  <c r="M36"/>
  <c r="O36"/>
  <c r="M37"/>
  <c r="O37"/>
  <c r="M38"/>
  <c r="O38"/>
  <c r="M39"/>
  <c r="O39"/>
  <c r="M40"/>
  <c r="O40"/>
  <c r="M41"/>
  <c r="O41"/>
  <c r="M42"/>
  <c r="O42"/>
  <c r="M43"/>
  <c r="O43"/>
  <c r="M44"/>
  <c r="O44"/>
  <c r="M45"/>
  <c r="O45"/>
  <c r="M46"/>
  <c r="O46"/>
  <c r="M47"/>
  <c r="O47"/>
  <c r="M48"/>
  <c r="O48"/>
  <c r="M49"/>
  <c r="O49"/>
  <c r="M50"/>
  <c r="O50"/>
  <c r="M51"/>
  <c r="O51"/>
  <c r="M52"/>
  <c r="O52"/>
  <c r="M53"/>
  <c r="O53"/>
  <c r="M54"/>
  <c r="O54"/>
  <c r="M55"/>
  <c r="O55"/>
  <c r="M56"/>
  <c r="O56"/>
  <c r="M57"/>
  <c r="O57"/>
  <c r="M58"/>
  <c r="O58"/>
  <c r="M59"/>
  <c r="O59"/>
  <c r="M60"/>
  <c r="O60"/>
  <c r="M61"/>
  <c r="O61"/>
  <c r="M62"/>
  <c r="O62"/>
  <c r="M63"/>
  <c r="O63"/>
  <c r="M64"/>
  <c r="O64"/>
  <c r="M65"/>
  <c r="O65"/>
  <c r="M66"/>
  <c r="O66"/>
  <c r="M67"/>
  <c r="O67"/>
  <c r="M68"/>
  <c r="O68"/>
  <c r="O69"/>
  <c r="M70"/>
  <c r="O70"/>
  <c r="M71"/>
  <c r="O71"/>
  <c r="M72"/>
  <c r="O72"/>
  <c r="M73"/>
  <c r="O73"/>
  <c r="M74"/>
  <c r="O74"/>
  <c r="M75"/>
  <c r="O75"/>
  <c r="M76"/>
  <c r="O76"/>
  <c r="M77"/>
  <c r="O77"/>
  <c r="M78"/>
  <c r="O78"/>
  <c r="M79"/>
  <c r="O79"/>
  <c r="M80"/>
  <c r="O80"/>
  <c r="M81"/>
  <c r="O81"/>
  <c r="M82"/>
  <c r="O82"/>
  <c r="M83"/>
  <c r="O83"/>
  <c r="M84"/>
  <c r="O84"/>
  <c r="M85"/>
  <c r="O85"/>
  <c r="M86"/>
  <c r="O86"/>
  <c r="M87"/>
  <c r="O87"/>
  <c r="M88"/>
  <c r="O88"/>
  <c r="M89"/>
  <c r="O89"/>
  <c r="M90"/>
  <c r="O90"/>
  <c r="M91"/>
  <c r="O91"/>
  <c r="M92"/>
  <c r="O92"/>
  <c r="M93"/>
  <c r="O93"/>
  <c r="M94"/>
  <c r="O94"/>
  <c r="M95"/>
  <c r="O95"/>
  <c r="M96"/>
  <c r="O96"/>
  <c r="M97"/>
  <c r="O97"/>
  <c r="M98"/>
  <c r="O98"/>
  <c r="M99"/>
  <c r="O99"/>
  <c r="M100"/>
  <c r="O100"/>
  <c r="M101"/>
  <c r="O101"/>
  <c r="M102"/>
  <c r="O102"/>
  <c r="M103"/>
  <c r="O103"/>
  <c r="M104"/>
  <c r="O104"/>
  <c r="M105"/>
  <c r="O105"/>
  <c r="M106"/>
  <c r="O106"/>
  <c r="M107"/>
  <c r="O107"/>
  <c r="M108"/>
  <c r="O108"/>
  <c r="M109"/>
  <c r="O109"/>
  <c r="M110"/>
  <c r="O22"/>
  <c r="W9"/>
  <c r="AP10"/>
  <c r="D8" i="32920"/>
  <c r="O12" i="32917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N12"/>
  <c r="L12"/>
  <c r="C8" i="32920" s="1"/>
  <c r="N11" i="32917"/>
  <c r="O11"/>
  <c r="L11"/>
  <c r="C7" i="32920" s="1"/>
  <c r="M11" i="32917"/>
  <c r="Y9" l="1"/>
  <c r="AQ10"/>
  <c r="AA9" l="1"/>
  <c r="AR10"/>
  <c r="AC9" l="1"/>
  <c r="AT10" s="1"/>
  <c r="AS10"/>
  <c r="E10" i="32920" l="1"/>
  <c r="E7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<sst xmlns="http://schemas.openxmlformats.org/spreadsheetml/2006/main" count="8607" uniqueCount="1386">
  <si>
    <t>A</t>
  </si>
  <si>
    <t>C</t>
  </si>
  <si>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</si>
  <si>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</si>
  <si>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</si>
  <si>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</si>
  <si>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</si>
  <si>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</si>
  <si>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</si>
  <si>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</si>
  <si>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</si>
  <si>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</si>
  <si>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</si>
  <si>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</si>
  <si>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</si>
  <si>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</si>
  <si>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</si>
  <si>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</si>
  <si>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</si>
  <si>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</si>
  <si>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</si>
  <si>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</si>
  <si>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</si>
  <si>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</si>
  <si>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</si>
  <si>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</si>
  <si>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</si>
  <si>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</si>
  <si>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</si>
  <si>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</si>
  <si>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</si>
  <si>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</si>
  <si>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</si>
  <si>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</si>
  <si>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</si>
  <si>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</si>
  <si>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</si>
  <si>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</si>
  <si>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</si>
  <si>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</si>
  <si>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</si>
  <si>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</si>
  <si>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</si>
  <si>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</si>
  <si>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</si>
  <si>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</si>
  <si>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</si>
  <si>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</si>
  <si>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</si>
  <si>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</si>
  <si>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</si>
  <si>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</si>
  <si>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</si>
  <si>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</si>
  <si>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</si>
  <si>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</si>
  <si>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</si>
  <si>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</si>
  <si>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</si>
  <si>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</si>
  <si>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</si>
  <si>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</si>
  <si>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</si>
  <si>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</si>
  <si>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</si>
  <si>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</si>
  <si>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</si>
  <si>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</si>
  <si>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</si>
  <si>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</si>
  <si>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</si>
  <si>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</si>
  <si>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</si>
  <si>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</si>
  <si>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</si>
  <si>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</si>
  <si>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</si>
  <si>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</si>
  <si>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</si>
  <si>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</si>
  <si>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</si>
  <si>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</si>
  <si>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</si>
  <si>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</si>
  <si>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</si>
  <si>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</si>
  <si>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</si>
  <si>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</si>
  <si>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</si>
  <si>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</si>
  <si>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</si>
  <si>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</si>
  <si>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</si>
  <si>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</si>
  <si>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</si>
  <si>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</si>
  <si>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</si>
  <si>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</si>
  <si>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</si>
  <si>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</si>
  <si>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</si>
  <si>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</si>
  <si>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</si>
  <si>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</si>
  <si>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</si>
  <si>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</si>
  <si>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</si>
  <si>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</si>
  <si>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</si>
  <si>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</si>
  <si>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</si>
  <si>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</si>
  <si>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</si>
  <si>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</si>
  <si>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</si>
  <si>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</si>
  <si>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</si>
  <si>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</si>
  <si>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</si>
  <si>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</si>
  <si>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</si>
  <si>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</si>
  <si>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</si>
  <si>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</si>
  <si>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</si>
  <si>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</si>
  <si>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</si>
  <si>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</si>
  <si>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</si>
  <si>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</si>
  <si>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</si>
  <si>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</si>
  <si>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</si>
  <si>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</si>
  <si>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</si>
  <si>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</si>
  <si>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</si>
  <si>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</si>
  <si>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</si>
  <si>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</si>
  <si>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</si>
  <si>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</si>
  <si>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</si>
  <si>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</si>
  <si>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</si>
  <si>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</si>
  <si>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</si>
  <si>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</si>
  <si>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</si>
  <si>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</si>
  <si>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</si>
  <si>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</si>
  <si>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</si>
  <si>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</si>
  <si>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</si>
  <si>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</si>
  <si>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</si>
  <si>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</si>
  <si>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</si>
  <si>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</si>
  <si>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</si>
  <si>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</si>
  <si>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</si>
  <si>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</si>
  <si>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</si>
  <si>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</si>
  <si>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</si>
  <si>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</si>
  <si>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</si>
  <si>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</si>
  <si>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</si>
  <si>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</si>
  <si>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</si>
  <si>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</si>
  <si>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</si>
  <si>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</si>
  <si>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</si>
  <si>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</si>
  <si>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</si>
  <si>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</si>
  <si>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</si>
  <si>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</si>
  <si>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</si>
  <si>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</si>
  <si>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</si>
  <si>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</si>
  <si>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</si>
  <si>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</si>
  <si>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</si>
  <si>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</si>
  <si>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</si>
  <si>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</si>
  <si>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</si>
  <si>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</si>
  <si>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</si>
  <si>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</si>
  <si>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</si>
  <si>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</si>
  <si>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</si>
  <si>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</si>
  <si>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</si>
  <si>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</si>
  <si>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</si>
  <si>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</si>
  <si>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</si>
  <si>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</si>
  <si>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</si>
  <si>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</si>
  <si>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</si>
  <si>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</si>
  <si>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</si>
  <si>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</si>
  <si>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</si>
  <si>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</si>
  <si>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</si>
  <si>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</si>
  <si>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</si>
  <si>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</si>
  <si>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</si>
  <si>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</si>
  <si>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</si>
  <si>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</si>
  <si>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</si>
  <si>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</si>
  <si>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</si>
  <si>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</si>
  <si>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</si>
  <si>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</si>
  <si>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</si>
  <si>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</si>
  <si>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</si>
  <si>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</si>
  <si>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</si>
  <si>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</si>
  <si>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</si>
  <si>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</si>
  <si>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</si>
  <si>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</si>
  <si>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</si>
  <si>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</si>
  <si>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</si>
  <si>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</si>
  <si>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</si>
  <si>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</si>
  <si>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</si>
  <si>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</si>
  <si>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</si>
  <si>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</si>
  <si>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</si>
  <si>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</si>
  <si>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</si>
  <si>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</si>
  <si>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</si>
  <si>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</si>
  <si>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</si>
  <si>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</si>
  <si>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</si>
  <si>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</si>
  <si>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</si>
  <si>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</si>
  <si>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</si>
  <si>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</si>
  <si>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</si>
  <si>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</si>
  <si>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</si>
  <si>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</si>
  <si>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</si>
  <si>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</si>
  <si>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</si>
  <si>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</si>
  <si>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</si>
  <si>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</si>
  <si>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</si>
  <si>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</si>
  <si>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</si>
  <si>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</si>
  <si>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</si>
  <si>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</si>
  <si>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</si>
  <si>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</si>
  <si>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</si>
  <si>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</si>
  <si>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</si>
  <si>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</si>
  <si>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</si>
  <si>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</si>
  <si>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</si>
  <si>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</si>
  <si>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</si>
  <si>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</si>
  <si>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</si>
  <si>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</si>
  <si>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</si>
  <si>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</si>
  <si>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</si>
  <si>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</si>
  <si>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</si>
  <si>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</si>
  <si>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</si>
  <si>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</si>
  <si>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</si>
  <si>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</si>
  <si>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</si>
  <si>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</si>
  <si>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</si>
  <si>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</si>
  <si>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</si>
  <si>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</si>
  <si>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</si>
  <si>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</si>
  <si>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</si>
  <si>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</si>
  <si>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</si>
  <si>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</si>
  <si>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</si>
  <si>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</si>
  <si>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</si>
  <si>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</si>
  <si>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</si>
  <si>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</si>
  <si>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</si>
  <si>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</si>
  <si>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</si>
  <si>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</si>
  <si>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</si>
  <si>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</si>
  <si>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</si>
  <si>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</si>
  <si>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</si>
  <si>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</si>
  <si>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</si>
  <si>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</si>
  <si>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</si>
  <si>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</si>
  <si>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</si>
  <si>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</si>
  <si>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</si>
  <si>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</si>
  <si>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</si>
  <si>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</si>
  <si>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</si>
  <si>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</si>
  <si>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</si>
  <si>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</si>
  <si>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</si>
  <si>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</si>
  <si>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</si>
  <si>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</si>
  <si>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</si>
  <si>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</si>
  <si>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</si>
  <si>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</si>
  <si>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</si>
  <si>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</si>
  <si>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</si>
  <si>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</si>
  <si>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</si>
  <si>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</si>
  <si>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</si>
  <si>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</si>
  <si>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</si>
  <si>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</si>
  <si>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</si>
  <si>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</si>
  <si>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</si>
  <si>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</si>
  <si>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</si>
  <si>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</si>
  <si>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</si>
  <si>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</si>
  <si>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</si>
  <si>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</si>
  <si>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</si>
  <si>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</si>
  <si>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</si>
  <si>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</si>
  <si>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</si>
  <si>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</si>
  <si>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</si>
  <si>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</si>
  <si>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</si>
  <si>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</si>
  <si>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</si>
  <si>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</si>
  <si>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</si>
  <si>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</si>
  <si>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</si>
  <si>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</si>
  <si>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</si>
  <si>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</si>
  <si>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</si>
  <si>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</si>
  <si>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</si>
  <si>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</si>
  <si>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</si>
  <si>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</si>
  <si>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</si>
  <si>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</si>
  <si>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</si>
  <si>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</si>
  <si>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</si>
  <si>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</si>
  <si>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</si>
  <si>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</si>
  <si>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</si>
  <si>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</si>
  <si>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</si>
  <si>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</si>
  <si>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</si>
  <si>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</si>
  <si>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</si>
  <si>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</si>
  <si>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</si>
  <si>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</si>
  <si>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</si>
  <si>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</si>
  <si>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</si>
  <si>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</si>
  <si>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</si>
  <si>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</si>
  <si>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</si>
  <si>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</si>
  <si>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</si>
  <si>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</si>
  <si>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</si>
  <si>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</si>
  <si>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</si>
  <si>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</si>
  <si>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</si>
  <si>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</si>
  <si>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</si>
  <si>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</si>
  <si>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</si>
  <si>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</si>
  <si>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</si>
  <si>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</si>
  <si>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</si>
  <si>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</si>
  <si>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</si>
  <si>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</si>
  <si>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</si>
  <si>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</si>
  <si>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</si>
  <si>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</si>
  <si>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</si>
  <si>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</si>
  <si>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</si>
  <si>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</si>
  <si>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</si>
  <si>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</si>
  <si>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</si>
  <si>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</si>
  <si>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</si>
  <si>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</si>
  <si>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</si>
  <si>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</si>
  <si>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</si>
  <si>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</si>
  <si>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</si>
  <si>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</si>
  <si>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</si>
  <si>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</si>
  <si>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</si>
  <si>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</si>
  <si>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</si>
  <si>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</si>
  <si>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</si>
  <si>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</si>
  <si>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</si>
  <si>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</si>
  <si>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</si>
  <si>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</si>
  <si>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</si>
  <si>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</si>
  <si>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</si>
  <si>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</si>
  <si>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</si>
  <si>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</si>
  <si>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</si>
  <si>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</si>
  <si>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</si>
  <si>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</si>
  <si>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</si>
  <si>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</si>
  <si>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</si>
  <si>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</si>
  <si>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</si>
  <si>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</si>
  <si>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</si>
  <si>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</si>
  <si>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</si>
  <si>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</si>
  <si>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</si>
  <si>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</si>
  <si>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</si>
  <si>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</si>
  <si>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</si>
  <si>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</si>
  <si>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</si>
  <si>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</si>
  <si>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</si>
  <si>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</si>
  <si>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</si>
  <si>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</si>
  <si>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</si>
  <si>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</si>
  <si>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</si>
  <si>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</si>
  <si>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</si>
  <si>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</si>
  <si>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</si>
  <si>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</si>
  <si>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</si>
  <si>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</si>
  <si>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</si>
  <si>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</si>
  <si>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</si>
  <si>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</si>
  <si>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</si>
  <si>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</si>
  <si>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</si>
  <si>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</si>
  <si>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</si>
  <si>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</si>
  <si>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</si>
  <si>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</si>
  <si>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</si>
  <si>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</si>
  <si>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</si>
  <si>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</si>
  <si>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</si>
  <si>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</si>
  <si>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</si>
  <si>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</si>
  <si>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</si>
  <si>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</si>
  <si>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</si>
  <si>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</si>
  <si>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</si>
  <si>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</si>
  <si>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</si>
  <si>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</si>
  <si>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</si>
  <si>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</si>
  <si>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</si>
  <si>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</si>
  <si>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</si>
  <si>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</si>
  <si>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</si>
  <si>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</si>
  <si>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</si>
  <si>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</si>
  <si>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</si>
  <si>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</si>
  <si>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</si>
  <si>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</si>
  <si>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</si>
  <si>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</si>
  <si>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</si>
  <si>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</si>
  <si>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</si>
  <si>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</si>
  <si>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</si>
  <si>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</si>
  <si>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</si>
  <si>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</si>
  <si>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</si>
  <si>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</si>
  <si>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</si>
  <si>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</si>
  <si>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</si>
  <si>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</si>
  <si>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</si>
  <si>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</si>
  <si>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</si>
  <si>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</si>
  <si>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</si>
  <si>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</si>
  <si>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</si>
  <si>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</si>
  <si>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</si>
  <si>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</si>
  <si>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</si>
  <si>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</si>
  <si>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</si>
  <si>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</si>
  <si>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</si>
  <si>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</si>
  <si>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</si>
  <si>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</si>
  <si>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</si>
  <si>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</si>
  <si>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</si>
  <si>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</si>
  <si>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</si>
  <si>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</si>
  <si>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</si>
  <si>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</si>
  <si>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</si>
  <si>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</si>
  <si>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</si>
  <si>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</si>
  <si>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</si>
  <si>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</si>
  <si>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</si>
  <si>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</si>
  <si>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</si>
  <si>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</si>
  <si>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</si>
  <si>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</si>
  <si>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</si>
  <si>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</si>
  <si>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</si>
  <si>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</si>
  <si>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</si>
  <si>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</si>
  <si>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</si>
  <si>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</si>
  <si>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</si>
  <si>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</si>
  <si>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</si>
  <si>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</si>
  <si>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</si>
  <si>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</si>
  <si>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</si>
  <si>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</si>
  <si>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</si>
  <si>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</si>
  <si>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</si>
  <si>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</si>
  <si>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</si>
  <si>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</si>
  <si>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</si>
  <si>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</si>
  <si>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</si>
  <si>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</si>
  <si>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</si>
  <si>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</si>
  <si>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</si>
  <si>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</si>
  <si>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</si>
  <si>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</si>
  <si>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</si>
  <si>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</si>
  <si>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</si>
  <si>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</si>
  <si>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</si>
  <si>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</si>
  <si>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</si>
  <si>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</si>
  <si>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</si>
  <si>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</si>
  <si>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</si>
  <si>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</si>
  <si>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</si>
  <si>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</si>
  <si>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</si>
  <si>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</si>
  <si>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</si>
  <si>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</si>
  <si>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</si>
  <si>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</si>
  <si>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</si>
  <si>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</si>
  <si>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</si>
  <si>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</si>
  <si>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</si>
  <si>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</si>
  <si>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</si>
  <si>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</si>
  <si>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</si>
  <si>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</si>
  <si>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</si>
  <si>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</si>
  <si>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</si>
  <si>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</si>
  <si>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</si>
  <si>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</si>
  <si>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</si>
  <si>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</si>
  <si>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</si>
  <si>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</si>
  <si>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</si>
  <si>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</si>
  <si>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</si>
  <si>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</si>
  <si>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</si>
  <si>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</si>
  <si>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</si>
  <si>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</si>
  <si>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</si>
  <si>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</si>
  <si>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</si>
  <si>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</si>
  <si>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</si>
  <si>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</si>
  <si>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</si>
  <si>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</si>
  <si>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</si>
  <si>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</si>
  <si>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</si>
  <si>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</si>
  <si>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</si>
  <si>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</si>
  <si>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</si>
  <si>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</si>
  <si>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</si>
  <si>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</si>
  <si>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</si>
  <si>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</si>
  <si>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</si>
  <si>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</si>
  <si>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</si>
  <si>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</si>
  <si>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</si>
  <si>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</si>
  <si>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</si>
  <si>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</si>
  <si>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</si>
  <si>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</si>
  <si>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</si>
  <si>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</si>
  <si>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</si>
  <si>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</si>
  <si>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</si>
  <si>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</si>
  <si>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</si>
  <si>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</si>
  <si>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</si>
  <si>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</si>
  <si>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</si>
  <si>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</si>
  <si>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</si>
  <si>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</si>
  <si>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</si>
  <si>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</si>
  <si>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</si>
  <si>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</si>
  <si>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</si>
  <si>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</si>
  <si>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</si>
  <si>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</si>
  <si>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</si>
  <si>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</si>
  <si>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</si>
  <si>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</si>
  <si>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</si>
  <si>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</si>
  <si>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</si>
  <si>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</si>
  <si>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</si>
  <si>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</si>
  <si>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</si>
  <si>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</si>
  <si>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</si>
  <si>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</si>
  <si>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</si>
  <si>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</si>
  <si>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</si>
  <si>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</si>
  <si>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</si>
  <si>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</si>
  <si>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</si>
  <si>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</si>
  <si>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</si>
  <si>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</si>
  <si>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</si>
  <si>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</si>
  <si>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</si>
  <si>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</si>
  <si>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</si>
  <si>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</si>
  <si>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</si>
  <si>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</si>
  <si>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</si>
  <si>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</si>
  <si>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</si>
  <si>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</si>
  <si>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</si>
  <si>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</si>
  <si>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</si>
  <si>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</si>
  <si>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</si>
  <si>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</si>
  <si>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</si>
  <si>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</si>
  <si>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</si>
  <si>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</si>
  <si>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</si>
  <si>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</si>
  <si>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</si>
  <si>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</si>
  <si>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</si>
  <si>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</si>
  <si>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</si>
  <si>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</si>
  <si>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</si>
  <si>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</si>
  <si>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</si>
  <si>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</si>
  <si>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</si>
  <si>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</si>
  <si>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</si>
  <si>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</si>
  <si>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</si>
  <si>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</si>
  <si>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</si>
  <si>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</si>
  <si>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</si>
  <si>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</si>
  <si>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</si>
  <si>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</si>
  <si>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</si>
  <si>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</si>
  <si>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</si>
  <si>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</si>
  <si>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</si>
  <si>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</si>
  <si>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</si>
  <si>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</si>
  <si>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</si>
  <si>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</si>
  <si>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</si>
  <si>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</si>
  <si>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</si>
  <si>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</si>
  <si>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</si>
  <si>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</si>
  <si>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</si>
  <si>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</si>
  <si>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</si>
  <si>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</si>
  <si>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</si>
  <si>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</si>
  <si>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</si>
  <si>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</si>
  <si>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</si>
  <si>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</si>
  <si>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</si>
  <si>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</si>
  <si>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</si>
  <si>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</si>
  <si>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</si>
  <si>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</si>
  <si>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</si>
  <si>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</si>
  <si>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</si>
  <si>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</si>
  <si>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</si>
  <si>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</si>
  <si>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</si>
  <si>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</si>
  <si>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</si>
  <si>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</si>
  <si>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</si>
  <si>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</si>
  <si>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</si>
  <si>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</si>
  <si>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</si>
  <si>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</si>
  <si>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</si>
  <si>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</si>
  <si>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</si>
  <si>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</si>
  <si>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</si>
  <si>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</si>
  <si>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</si>
  <si>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</si>
  <si>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</si>
  <si>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</si>
  <si>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</si>
  <si>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</si>
  <si>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</si>
  <si>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</si>
  <si>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</si>
  <si>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</si>
  <si>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</si>
  <si>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</si>
  <si>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</si>
  <si>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</si>
  <si>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</si>
  <si>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</si>
  <si>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</si>
  <si>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</si>
  <si>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</si>
  <si>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</si>
  <si>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</si>
  <si>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</si>
  <si>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</si>
  <si>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</si>
  <si>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</si>
  <si>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</si>
  <si>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</si>
  <si>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</si>
  <si>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</si>
  <si>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</si>
  <si>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</si>
  <si>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</si>
  <si>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</si>
  <si>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</si>
  <si>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</si>
  <si>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</si>
  <si>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</si>
  <si>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</si>
  <si>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</si>
  <si>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</si>
  <si>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</si>
  <si>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</si>
  <si>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</si>
  <si>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</si>
  <si>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</si>
  <si>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</si>
  <si>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</si>
  <si>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</si>
  <si>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</si>
  <si>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</si>
  <si>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</si>
  <si>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</si>
  <si>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</si>
  <si>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</si>
  <si>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</si>
  <si>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</si>
  <si>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</si>
  <si>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</si>
  <si>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</si>
  <si>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</si>
  <si>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</si>
  <si>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</si>
  <si>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</si>
  <si>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</si>
  <si>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</si>
  <si>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</si>
  <si>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</si>
  <si>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</si>
  <si>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</si>
  <si>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</si>
  <si>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</si>
  <si>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</si>
  <si>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</si>
  <si>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</si>
  <si>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</si>
  <si>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</si>
  <si>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</si>
  <si>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</si>
  <si>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</si>
  <si>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</si>
  <si>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</si>
  <si>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</si>
  <si>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</si>
  <si>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</si>
  <si>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</si>
  <si>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</si>
  <si>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</si>
  <si>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</si>
  <si>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</si>
  <si>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</si>
  <si>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</si>
  <si>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</si>
  <si>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</si>
  <si>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</si>
  <si>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</si>
  <si>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</si>
  <si>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</si>
  <si>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</si>
  <si>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</si>
  <si>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</si>
  <si>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</si>
  <si>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</si>
  <si>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</si>
  <si>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</si>
  <si>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</si>
  <si>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</si>
  <si>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</si>
  <si>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</si>
  <si>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</si>
  <si>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</si>
  <si>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</si>
  <si>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</si>
  <si>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</si>
  <si>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</si>
  <si>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</si>
  <si>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</si>
  <si>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</si>
  <si>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</si>
  <si>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</si>
  <si>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</si>
  <si>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</si>
  <si>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</si>
  <si>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</si>
  <si>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</si>
  <si>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</si>
  <si>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</si>
  <si>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</si>
  <si>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</si>
  <si>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</si>
  <si>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</si>
  <si>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</si>
  <si>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</si>
  <si>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</si>
  <si>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</si>
  <si>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</si>
  <si>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</si>
  <si>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</si>
  <si>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</si>
  <si>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</si>
  <si>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</si>
  <si>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</si>
  <si>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</si>
  <si>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</si>
  <si>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</si>
  <si>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</si>
  <si>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</si>
  <si>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</si>
  <si>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</si>
  <si>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</si>
  <si>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</si>
  <si>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</si>
  <si>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</si>
  <si>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</si>
  <si>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</si>
  <si>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</si>
  <si>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</si>
  <si>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</si>
  <si>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</si>
  <si>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</si>
  <si>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</si>
  <si>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</si>
  <si>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</si>
  <si>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</si>
  <si>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</si>
  <si>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</si>
  <si>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</si>
  <si>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</si>
  <si>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</si>
  <si>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</si>
  <si>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</si>
  <si>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</si>
  <si>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</si>
  <si>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</si>
  <si>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</si>
  <si>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</si>
  <si>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</si>
  <si>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</si>
  <si>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</si>
  <si>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</si>
  <si>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</si>
  <si>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</si>
  <si>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</si>
  <si>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</si>
  <si>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</si>
  <si>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</si>
  <si>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</si>
  <si>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</si>
  <si>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</si>
  <si>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</si>
  <si>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</si>
  <si>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</si>
  <si>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</si>
  <si>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</si>
  <si>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</si>
  <si>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</si>
  <si>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</si>
  <si>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</si>
  <si>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</si>
  <si>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</si>
  <si>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</si>
  <si>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</si>
  <si>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</si>
  <si>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</si>
  <si>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</si>
  <si>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</si>
  <si>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</si>
  <si>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</si>
  <si>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</si>
  <si>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</si>
  <si>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</si>
  <si>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</si>
  <si>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</si>
  <si>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</si>
  <si>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</si>
  <si>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</si>
  <si>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</si>
  <si>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</si>
  <si>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</si>
  <si>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</si>
  <si>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</si>
  <si>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</si>
  <si>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</si>
  <si>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</si>
  <si>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</si>
  <si>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</si>
  <si>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</si>
  <si>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</si>
  <si>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</si>
  <si>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</si>
  <si>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</si>
  <si>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</si>
  <si>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</si>
  <si>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</si>
  <si>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</si>
  <si>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</si>
  <si>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</si>
  <si>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</si>
  <si>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</si>
  <si>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</si>
  <si>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</si>
  <si>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</si>
  <si>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</si>
  <si>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</si>
  <si>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</si>
  <si>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</si>
  <si>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</si>
  <si>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</si>
  <si>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</si>
  <si>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</si>
  <si>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</si>
  <si>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</si>
  <si>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</si>
  <si>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</si>
  <si>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</si>
  <si>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</si>
  <si>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</si>
  <si>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</si>
  <si>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</si>
  <si>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</si>
  <si>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</si>
  <si>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</si>
  <si>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</si>
  <si>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</si>
  <si>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</si>
  <si>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</si>
  <si>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</si>
  <si>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</si>
  <si>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</si>
  <si>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</si>
  <si>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</si>
  <si>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</si>
  <si>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</si>
  <si>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</si>
  <si>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</si>
  <si>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</si>
  <si>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</si>
  <si>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</si>
  <si>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</si>
  <si>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</si>
  <si>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</si>
  <si>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</si>
  <si>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</si>
  <si>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</si>
  <si>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</si>
  <si>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</si>
  <si>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</si>
  <si>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</si>
  <si>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</si>
  <si>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</si>
  <si>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</si>
  <si>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</si>
  <si>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</si>
  <si>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</si>
  <si>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</si>
  <si>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</si>
  <si>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</si>
  <si>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</si>
  <si>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</si>
  <si>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</si>
  <si>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</si>
  <si>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</si>
  <si>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</si>
  <si>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</si>
  <si>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</si>
  <si>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</si>
  <si>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</si>
  <si>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</si>
  <si>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</si>
  <si>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</si>
  <si>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</si>
  <si>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</si>
  <si>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</si>
  <si>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</si>
  <si>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</si>
  <si>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</si>
  <si>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</si>
  <si>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</si>
  <si>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</si>
  <si>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</si>
  <si>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</si>
  <si>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</si>
  <si>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</si>
  <si>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</si>
  <si>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</si>
  <si>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</si>
  <si>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</si>
  <si>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</si>
  <si>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</si>
  <si>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</si>
  <si>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</si>
  <si>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</si>
  <si>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</si>
  <si>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</si>
  <si>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</si>
  <si>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</si>
  <si>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</si>
  <si>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</si>
  <si>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</si>
  <si>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</si>
  <si>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</si>
  <si>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</si>
  <si>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</si>
  <si>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</si>
  <si>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</si>
  <si>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</si>
  <si>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</si>
  <si>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</si>
  <si>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</si>
  <si>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</si>
  <si>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</si>
  <si>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</si>
  <si>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</si>
  <si>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</si>
  <si>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</si>
  <si>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</si>
  <si>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</si>
  <si>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</si>
  <si>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</si>
  <si>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</si>
  <si>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</si>
  <si>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</si>
  <si>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</si>
  <si>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</si>
  <si>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</si>
  <si>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</si>
  <si>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</si>
  <si>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</si>
  <si>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</si>
  <si>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</si>
  <si>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</si>
  <si>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</si>
  <si>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</si>
  <si>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</si>
  <si>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</si>
  <si>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</si>
  <si>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</si>
  <si>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</si>
  <si>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</si>
  <si>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</si>
  <si>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</si>
  <si>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</si>
  <si>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</si>
  <si>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</si>
  <si>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</si>
  <si>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</si>
  <si>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</si>
  <si>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</si>
  <si>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</si>
  <si>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</si>
  <si>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</si>
  <si>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</si>
  <si>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</si>
  <si>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</si>
  <si>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</si>
  <si>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</si>
  <si>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</si>
  <si>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</si>
  <si>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</si>
  <si>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</si>
  <si>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</si>
  <si>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</si>
  <si>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</si>
  <si>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</si>
  <si>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</si>
  <si>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</si>
  <si>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</si>
  <si>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</si>
  <si>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</si>
  <si>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</si>
  <si>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</si>
  <si>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</si>
  <si>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</si>
  <si>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</si>
  <si>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</si>
  <si>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</si>
  <si>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</si>
  <si>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</si>
  <si>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</si>
  <si>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</si>
  <si>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</si>
  <si>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</si>
  <si>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</si>
  <si>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</si>
  <si>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</si>
  <si>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</si>
  <si>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</si>
  <si>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</si>
  <si>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</si>
  <si>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</si>
  <si>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</si>
  <si>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</si>
  <si>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</si>
  <si>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</si>
  <si>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</si>
  <si>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</si>
  <si>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</si>
  <si>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</si>
  <si>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</si>
  <si>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</si>
  <si>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</si>
  <si>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</si>
  <si>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</si>
  <si>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</si>
  <si>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</si>
  <si>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</si>
  <si>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</si>
  <si>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</si>
  <si>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</si>
  <si>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</si>
  <si>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</si>
  <si>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</si>
  <si>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</si>
  <si>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</si>
  <si>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</si>
  <si>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</si>
  <si>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</si>
  <si>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</si>
  <si>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</si>
  <si>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</si>
  <si>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</si>
  <si>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</si>
  <si>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</si>
  <si>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</si>
  <si>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</si>
  <si>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</si>
  <si>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</si>
  <si>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</si>
  <si>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</si>
  <si>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</si>
  <si>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</si>
  <si>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</si>
  <si>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</si>
  <si>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</si>
  <si>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</si>
  <si>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</si>
  <si>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</si>
  <si>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</si>
  <si>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</si>
  <si>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P10</t>
  </si>
  <si>
    <t>Llegada</t>
  </si>
  <si>
    <t>P20</t>
  </si>
  <si>
    <t>Salida</t>
  </si>
  <si>
    <t>JONATHAN JESUS</t>
  </si>
  <si>
    <t>ALBERTO AGUSTIN</t>
  </si>
  <si>
    <t>-</t>
  </si>
  <si>
    <t>fecha</t>
  </si>
  <si>
    <t>MARCELO ALEJANDRO</t>
  </si>
  <si>
    <t>Admin</t>
  </si>
  <si>
    <t>Valores</t>
  </si>
  <si>
    <t>Horas informe</t>
  </si>
  <si>
    <t>Horas sap</t>
  </si>
  <si>
    <t>llegada</t>
  </si>
  <si>
    <t>salida</t>
  </si>
  <si>
    <t>turno</t>
  </si>
  <si>
    <t>hora extra</t>
  </si>
  <si>
    <t>nombre</t>
  </si>
  <si>
    <t>Total general</t>
  </si>
  <si>
    <t>Suma de hora extra</t>
  </si>
  <si>
    <t>0</t>
  </si>
  <si>
    <t>Hora llegada</t>
  </si>
  <si>
    <t>Hora  salida</t>
  </si>
  <si>
    <t>Suma de Horas trabajadas</t>
  </si>
  <si>
    <t>Horas a trabajar</t>
  </si>
  <si>
    <t>Suma de Horas a trabajar</t>
  </si>
  <si>
    <t>Suma de Horas extras hechas</t>
  </si>
  <si>
    <t>no hay marcaje</t>
  </si>
  <si>
    <t>Valores en negativo</t>
  </si>
  <si>
    <t>Trainee</t>
  </si>
  <si>
    <t>ZURA</t>
  </si>
  <si>
    <t>Operario Almacenamiento</t>
  </si>
  <si>
    <t>23.040.236-1</t>
  </si>
  <si>
    <t>11.267.622-8</t>
  </si>
  <si>
    <t xml:space="preserve">JOSE </t>
  </si>
  <si>
    <t>JOSE MATURANA RIOS</t>
  </si>
  <si>
    <t>MATURANA RIOS JOSE</t>
  </si>
  <si>
    <t>16.558.908-4</t>
  </si>
  <si>
    <t xml:space="preserve">ROJAS </t>
  </si>
  <si>
    <t>MARCELO ROJAS MUÑOZ</t>
  </si>
  <si>
    <t>ROJAS MUÑOZ MARCELO</t>
  </si>
  <si>
    <t>16.380.050-0</t>
  </si>
</sst>
</file>

<file path=xl/styles.xml><?xml version="1.0" encoding="utf-8"?>
<styleSheet xmlns="http://schemas.openxmlformats.org/spreadsheetml/2006/main">
  <numFmts count="5">
    <numFmt numFmtId="164" formatCode="_-[$€-2]* #,##0.00_-;\-[$€-2]* #,##0.00_-;_-[$€-2]* &quot;-&quot;??_-"/>
    <numFmt numFmtId="165" formatCode="yyyy"/>
    <numFmt numFmtId="166" formatCode="dd/mmmm/yyyy"/>
    <numFmt numFmtId="167" formatCode="########\-#"/>
    <numFmt numFmtId="168" formatCode="0.0"/>
  </numFmts>
  <fonts count="3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4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</cellStyleXfs>
  <cellXfs count="118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27" borderId="12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/>
    <xf numFmtId="0" fontId="21" fillId="0" borderId="13" xfId="0" applyFont="1" applyBorder="1"/>
    <xf numFmtId="0" fontId="22" fillId="0" borderId="11" xfId="0" applyFont="1" applyBorder="1"/>
    <xf numFmtId="0" fontId="21" fillId="0" borderId="11" xfId="0" applyFont="1" applyBorder="1" applyAlignment="1">
      <alignment horizontal="center"/>
    </xf>
    <xf numFmtId="0" fontId="21" fillId="28" borderId="0" xfId="0" applyFont="1" applyFill="1"/>
    <xf numFmtId="0" fontId="21" fillId="28" borderId="12" xfId="0" applyFont="1" applyFill="1" applyBorder="1"/>
    <xf numFmtId="0" fontId="21" fillId="0" borderId="14" xfId="0" applyFont="1" applyBorder="1"/>
    <xf numFmtId="0" fontId="21" fillId="0" borderId="11" xfId="0" applyFont="1" applyFill="1" applyBorder="1" applyAlignment="1">
      <alignment horizontal="center"/>
    </xf>
    <xf numFmtId="0" fontId="21" fillId="28" borderId="13" xfId="0" applyFont="1" applyFill="1" applyBorder="1"/>
    <xf numFmtId="0" fontId="21" fillId="0" borderId="15" xfId="0" applyFont="1" applyBorder="1"/>
    <xf numFmtId="0" fontId="22" fillId="0" borderId="15" xfId="0" applyFont="1" applyBorder="1"/>
    <xf numFmtId="0" fontId="21" fillId="28" borderId="11" xfId="0" applyFont="1" applyFill="1" applyBorder="1"/>
    <xf numFmtId="0" fontId="21" fillId="28" borderId="0" xfId="0" applyFont="1" applyFill="1" applyBorder="1"/>
    <xf numFmtId="0" fontId="22" fillId="0" borderId="11" xfId="0" applyFont="1" applyBorder="1" applyAlignment="1">
      <alignment horizontal="center"/>
    </xf>
    <xf numFmtId="0" fontId="22" fillId="28" borderId="11" xfId="0" applyFont="1" applyFill="1" applyBorder="1"/>
    <xf numFmtId="0" fontId="21" fillId="27" borderId="11" xfId="0" applyFont="1" applyFill="1" applyBorder="1"/>
    <xf numFmtId="0" fontId="21" fillId="0" borderId="11" xfId="0" applyFont="1" applyFill="1" applyBorder="1" applyAlignment="1"/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0" borderId="17" xfId="0" applyFont="1" applyBorder="1"/>
    <xf numFmtId="0" fontId="21" fillId="28" borderId="11" xfId="0" applyFont="1" applyFill="1" applyBorder="1" applyAlignment="1">
      <alignment horizontal="left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/>
    </xf>
    <xf numFmtId="0" fontId="21" fillId="0" borderId="12" xfId="0" applyFont="1" applyFill="1" applyBorder="1"/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Border="1"/>
    <xf numFmtId="0" fontId="21" fillId="0" borderId="18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16" xfId="0" applyFont="1" applyBorder="1" applyAlignment="1">
      <alignment horizontal="left"/>
    </xf>
    <xf numFmtId="0" fontId="21" fillId="0" borderId="10" xfId="0" applyFont="1" applyBorder="1"/>
    <xf numFmtId="0" fontId="21" fillId="0" borderId="15" xfId="0" applyFont="1" applyBorder="1" applyAlignment="1">
      <alignment horizontal="left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6" fillId="30" borderId="11" xfId="0" applyFont="1" applyFill="1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167" fontId="2" fillId="0" borderId="11" xfId="0" applyNumberFormat="1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31" borderId="19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21" fontId="0" fillId="0" borderId="0" xfId="0" applyNumberFormat="1"/>
    <xf numFmtId="0" fontId="0" fillId="27" borderId="0" xfId="0" applyFill="1"/>
    <xf numFmtId="21" fontId="0" fillId="27" borderId="0" xfId="0" applyNumberFormat="1" applyFill="1"/>
    <xf numFmtId="0" fontId="0" fillId="0" borderId="0" xfId="0" pivotButton="1"/>
    <xf numFmtId="14" fontId="0" fillId="0" borderId="0" xfId="0" applyNumberFormat="1"/>
    <xf numFmtId="0" fontId="21" fillId="32" borderId="11" xfId="0" applyFont="1" applyFill="1" applyBorder="1" applyAlignment="1">
      <alignment horizontal="left"/>
    </xf>
    <xf numFmtId="0" fontId="21" fillId="32" borderId="11" xfId="0" applyFont="1" applyFill="1" applyBorder="1" applyAlignment="1">
      <alignment horizontal="center"/>
    </xf>
    <xf numFmtId="0" fontId="27" fillId="32" borderId="11" xfId="0" applyFont="1" applyFill="1" applyBorder="1"/>
    <xf numFmtId="165" fontId="27" fillId="32" borderId="11" xfId="0" applyNumberFormat="1" applyFont="1" applyFill="1" applyBorder="1"/>
    <xf numFmtId="167" fontId="1" fillId="0" borderId="11" xfId="0" applyNumberFormat="1" applyFont="1" applyBorder="1" applyAlignment="1">
      <alignment horizontal="center"/>
    </xf>
    <xf numFmtId="46" fontId="0" fillId="0" borderId="0" xfId="0" applyNumberFormat="1"/>
    <xf numFmtId="46" fontId="0" fillId="0" borderId="0" xfId="0" applyNumberFormat="1" applyAlignment="1">
      <alignment horizontal="center"/>
    </xf>
    <xf numFmtId="46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0" xfId="0" applyNumberFormat="1"/>
    <xf numFmtId="0" fontId="0" fillId="0" borderId="0" xfId="0" applyFill="1"/>
    <xf numFmtId="21" fontId="0" fillId="0" borderId="0" xfId="0" applyNumberFormat="1" applyFill="1"/>
    <xf numFmtId="0" fontId="0" fillId="33" borderId="0" xfId="0" applyFill="1"/>
    <xf numFmtId="21" fontId="0" fillId="33" borderId="0" xfId="0" applyNumberFormat="1" applyFill="1"/>
    <xf numFmtId="0" fontId="0" fillId="0" borderId="0" xfId="0" applyAlignment="1">
      <alignment wrapText="1"/>
    </xf>
    <xf numFmtId="46" fontId="0" fillId="0" borderId="11" xfId="0" applyNumberFormat="1" applyBorder="1"/>
    <xf numFmtId="166" fontId="0" fillId="0" borderId="0" xfId="0" applyNumberFormat="1"/>
    <xf numFmtId="166" fontId="0" fillId="0" borderId="11" xfId="0" applyNumberFormat="1" applyBorder="1"/>
    <xf numFmtId="0" fontId="1" fillId="0" borderId="0" xfId="0" applyFont="1"/>
    <xf numFmtId="14" fontId="0" fillId="33" borderId="0" xfId="0" applyNumberFormat="1" applyFill="1"/>
    <xf numFmtId="14" fontId="0" fillId="0" borderId="0" xfId="0" applyNumberFormat="1" applyFill="1"/>
    <xf numFmtId="14" fontId="0" fillId="0" borderId="11" xfId="0" applyNumberFormat="1" applyFill="1" applyBorder="1"/>
    <xf numFmtId="0" fontId="0" fillId="0" borderId="0" xfId="0" applyAlignment="1">
      <alignment horizontal="center"/>
    </xf>
    <xf numFmtId="46" fontId="0" fillId="27" borderId="11" xfId="0" applyNumberFormat="1" applyFill="1" applyBorder="1"/>
    <xf numFmtId="14" fontId="0" fillId="27" borderId="11" xfId="0" applyNumberFormat="1" applyFill="1" applyBorder="1"/>
    <xf numFmtId="46" fontId="0" fillId="27" borderId="0" xfId="0" applyNumberFormat="1" applyFill="1"/>
    <xf numFmtId="1" fontId="1" fillId="0" borderId="11" xfId="0" applyNumberFormat="1" applyFont="1" applyFill="1" applyBorder="1" applyAlignment="1">
      <alignment horizontal="center"/>
    </xf>
    <xf numFmtId="1" fontId="1" fillId="27" borderId="11" xfId="0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46" fontId="0" fillId="0" borderId="0" xfId="0" pivotButton="1" applyNumberFormat="1" applyAlignment="1">
      <alignment horizontal="center"/>
    </xf>
    <xf numFmtId="46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46" fontId="0" fillId="27" borderId="0" xfId="0" applyNumberFormat="1" applyFill="1" applyAlignment="1">
      <alignment horizontal="center"/>
    </xf>
    <xf numFmtId="168" fontId="0" fillId="27" borderId="0" xfId="0" applyNumberFormat="1" applyFill="1" applyAlignment="1">
      <alignment horizontal="center"/>
    </xf>
    <xf numFmtId="0" fontId="0" fillId="27" borderId="0" xfId="0" applyFill="1" applyAlignment="1">
      <alignment horizontal="center"/>
    </xf>
    <xf numFmtId="0" fontId="0" fillId="35" borderId="11" xfId="0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4" borderId="11" xfId="0" applyFill="1" applyBorder="1"/>
    <xf numFmtId="0" fontId="1" fillId="0" borderId="11" xfId="0" applyFont="1" applyBorder="1"/>
    <xf numFmtId="0" fontId="0" fillId="0" borderId="11" xfId="0" applyFill="1" applyBorder="1"/>
    <xf numFmtId="0" fontId="0" fillId="0" borderId="11" xfId="0" applyFont="1" applyBorder="1" applyAlignment="1">
      <alignment horizontal="center"/>
    </xf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166" fontId="29" fillId="24" borderId="16" xfId="0" applyNumberFormat="1" applyFont="1" applyFill="1" applyBorder="1" applyAlignment="1">
      <alignment horizontal="left"/>
    </xf>
    <xf numFmtId="0" fontId="0" fillId="0" borderId="15" xfId="0" applyBorder="1" applyAlignment="1"/>
    <xf numFmtId="0" fontId="0" fillId="0" borderId="10" xfId="0" applyBorder="1" applyAlignment="1"/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12"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esias" refreshedDate="40660.416208333336" createdVersion="3" refreshedVersion="3" minRefreshableVersion="3" recordCount="1314">
  <cacheSource type="worksheet">
    <worksheetSource ref="A8:I1322" sheet="Control Maria"/>
  </cacheSource>
  <cacheFields count="13">
    <cacheField name="Rut" numFmtId="46">
      <sharedItems count="103">
        <s v="05.080.993-5"/>
        <s v="05.267.317-8"/>
        <s v="05.989.878-7"/>
        <s v="06.528.911-3"/>
        <s v="07.481.602-9"/>
        <s v="07.721.223-K"/>
        <s v="07.760.886-9"/>
        <s v="07.815.607-4"/>
        <s v="07.816.535-9"/>
        <s v="07.816.805-6"/>
        <s v="07.913.597-6"/>
        <s v="07.916.907-2"/>
        <s v="07.944.613-0"/>
        <s v="08.245.727-5"/>
        <s v="08.283.277-7"/>
        <s v="08.454.836-7"/>
        <s v="08.465.592-9"/>
        <s v="08.618.882-1"/>
        <s v="08.809.784-K"/>
        <s v="09.068.490-6"/>
        <s v="09.148.214-2"/>
        <s v="09.571.017-4"/>
        <s v="09.741.880-2"/>
        <s v="09.748.915-7"/>
        <s v="09.774.031-3"/>
        <s v="09.832.710-K"/>
        <s v="09.989.723-6"/>
        <s v="10.042.860-1"/>
        <s v="10.116.815-8"/>
        <s v="10.168.958-1"/>
        <s v="10.173.910-4"/>
        <s v="10.199.755-3"/>
        <s v="10.311.290-7"/>
        <s v="10.407.614-9"/>
        <s v="10.572.816-6"/>
        <s v="10.835.391-0"/>
        <s v="10.849.486-7"/>
        <s v="10.869.222-7"/>
        <s v="10.970.380-K"/>
        <s v="11.124.307-7"/>
        <s v="11.267.594-9"/>
        <s v="11.306.351-3"/>
        <s v="11.325.204-9"/>
        <s v="11.347.053-4"/>
        <s v="11.370.436-5"/>
        <s v="11.523.497-8"/>
        <s v="11.656.057-7"/>
        <s v="11.659.510-9"/>
        <s v="11.660.411-6"/>
        <s v="12.020.450-5"/>
        <s v="12.093.149-0"/>
        <s v="12.093.228-4"/>
        <s v="12.210.109-0"/>
        <s v="12.500.119-K"/>
        <s v="12.677.439-7"/>
        <s v="13.045.231-0"/>
        <s v="13.100.464-8"/>
        <s v="13.236.100-2"/>
        <s v="13.295.279-5"/>
        <s v="13.486.907-0"/>
        <s v="13.557.248-9"/>
        <s v="13.681.026-K"/>
        <s v="13.701.209-K"/>
        <s v="13.769.935-4"/>
        <s v="13.834.251-4"/>
        <s v="13.899.407-4"/>
        <s v="14.005.587-5"/>
        <s v="14.017.495-5"/>
        <s v="14.095.347-4"/>
        <s v="14.181.387-0"/>
        <s v="14.185.109-8"/>
        <s v="14.336.364-3"/>
        <s v="15.102.640-0"/>
        <s v="15.327.501-7"/>
        <s v="15.437.429-9"/>
        <s v="15.439.409-5"/>
        <s v="15.441.831-8"/>
        <s v="15.444.951-5"/>
        <s v="15.445.100-5"/>
        <s v="15.449.281-K"/>
        <s v="15.533.689-7"/>
        <s v="15.891.790-4"/>
        <s v="16.031.949-6"/>
        <s v="16.132.065-K"/>
        <s v="16149604-"/>
        <s v="16.169.301-4"/>
        <s v="16.266.817-K"/>
        <s v="16.268.829-4"/>
        <s v="16.380.050-5"/>
        <s v="16.413.939-5"/>
        <s v="16.441.340-3"/>
        <s v="16.649.200-9"/>
        <s v="16.691.386-1"/>
        <s v="16.697.450-K"/>
        <s v="17.002.272-6"/>
        <s v="17.065.312-2"/>
        <s v="17.245.009-1"/>
        <s v="17.542.884-4"/>
        <s v="17.609.782-5"/>
        <s v="17.929.108-8"/>
        <s v="20.342.651-8"/>
        <s v="22.637.242-3"/>
        <e v="#N/A"/>
      </sharedItems>
    </cacheField>
    <cacheField name="nombre" numFmtId="46">
      <sharedItems containsDate="1" containsMixedTypes="1" minDate="1899-12-30T00:00:00" maxDate="1899-12-31T00:00:00" count="103">
        <s v="FIGUEROA NILO CARLOS"/>
        <s v="DUARTE BECERRA LUIS "/>
        <s v="FIGUEROA PAVEZ NELLY E."/>
        <s v="PINO MARTINEZ CARLOS"/>
        <s v="NARVAI RIVERA JORGE PATRICIO"/>
        <s v="QUIROZ VENEGAS JOSE MANUEL "/>
        <s v="ALBORNOZ ROA OSCAR ALFREDO"/>
        <s v="CUEVAS ORDENES PATRICIO HERNAN"/>
        <s v="CERONI  PIZARRO,CARLOS"/>
        <s v="PINTO  FLORES,JULIO CESAR"/>
        <s v="RAMIREZ ROJAS JOSE"/>
        <s v="RUBIO CASTRO MARCOS"/>
        <s v="DIAZ CASTRO MIGUEL ANGEL"/>
        <s v="SALINAS CUEVAS JUAN"/>
        <s v="ARANCIBIA VILLAROEL LEONALDO ALFREDO"/>
        <s v="CARES LOPEZ BRIGIDA DEL CARMEN"/>
        <s v="CASTAÑEDA  SANHUEZA,JUAN A"/>
        <s v="SANDOVAL ACUÑA VICTOR H."/>
        <s v="AGUILERA  LABRIN,CARLOS ANTONIO"/>
        <s v="GONZALEZ DEL VALLE DARIO RODOLFO"/>
        <s v="BAEZA REYES JORGE"/>
        <s v="GALLARDO CASTRO MIGUEL FRANCISCO"/>
        <s v="REINOSO SALAS LAURA CECILIA"/>
        <s v="HERNANDEZ FLORES VICTOR MANUEL"/>
        <s v="CACERES VASQUEZ VICTOR"/>
        <s v="CARO RODRIGUEZ OMAR FCO"/>
        <s v="HERNANDEZ CESPEDES FRANKLIN LEONEL"/>
        <s v="QUIROGA GARCIA LUIS ABRAHAM"/>
        <s v="BUSTOS JARA TERESA DE LAS NIEVES"/>
        <s v="RAMIREZ VASQUEZ RAUL"/>
        <s v="ARSENDIGA PALMA FELIX EXEQUIEL"/>
        <s v="HERNANDEZ GONZALEZ QUINTIN ROBERTO"/>
        <s v="VIDAL  ATENAS,RICARDO V."/>
        <s v="MORA MORA CARLOS ALEJANDRO"/>
        <s v="VARGAS MORENO MARCO ANTONIO"/>
        <s v="SANCHEZ VASQUEZ DANIEL PATRICIO"/>
        <s v="VALDENEGRO  GARRIDO, ELVIO"/>
        <s v="MADRID PINTO MARCO ANTONIO"/>
        <s v="LEIVA MUÑOZ JUAN ENRIQUE"/>
        <s v="MUÑOZ QUENPUL JOSE ENRIQUE"/>
        <s v="ESPINOZA MORENO JOAQUIN"/>
        <s v="MANQUIAN NORIEGA RUBEN MARCO"/>
        <s v="ALVARADO MARTINEZ LUIS ALBERTO"/>
        <s v="CRUZ ROMERO LUISA ISABEL"/>
        <s v="MARDONES ALVARADO LUIS HUMBERTO"/>
        <s v="NARVAI DIAZ LUIS"/>
        <s v="IBAÑEZ GRANIFO PAOLO CESAR"/>
        <s v="MUÑOZ MUÑOZ CLAUDIO ARTURO"/>
        <s v="CORTES HERRERA SIXTO PATRICIO"/>
        <s v="PINEDA PEREZ ROBERTO"/>
        <s v="CONTRERAS CORTES ANGEL GUILLERMO"/>
        <s v="ARANCIBIA NIETO CRISTIAN"/>
        <s v="ESCOBAR RIVERA ROBERTO FERNANDO"/>
        <s v="SANCHEZ TORRES FREDDY"/>
        <s v="AEDO MUÑOZ ANDRES RAUL"/>
        <s v="ARANCIBIA SILVA FELIPE"/>
        <s v="GALLARDO  OYARCE,JOSE A."/>
        <s v="BUSTAMANTE GONZALEZ MARCO ANTONIO"/>
        <s v="TOLEDO YENEVES JUAN OSVALDO"/>
        <s v="MALDONADO DIAZ MIGUEL"/>
        <s v="BERRIOS LOPEZ OSCAR MAURICIO"/>
        <s v="OYANEDEL COFRE JULIO HERNAN"/>
        <s v="SANCHEZ TORRES MARCELINO JHONATTAN"/>
        <s v="LEDESMA ARRIAGADA GONZALO"/>
        <s v="MILLAN HERRERA MARIA ELIANA"/>
        <s v="BUSTAMANTE GONZALEZ MAURICIO ANDRES"/>
        <s v="RODRIGUEZ TORO GERARDO ALBERTO"/>
        <s v="OYARCE DIAZ CARLOS EUGENIO"/>
        <s v="CAÑOLES VERA ANDRES NICOLAS"/>
        <s v="DEL RIO TRONCOSO JORGE ANDRES"/>
        <s v="REYES FUENZALIDA GUILLERMO ANTONIO"/>
        <s v="HERRERA PALMA ARIEL"/>
        <s v="MARDONES ROJAS LUIS ARTURO"/>
        <s v="VASQUEZ MONTECINO LEONARDO"/>
        <s v="NADEAU JOFRE JULIO"/>
        <s v="BRAVO SALAMANCA MARICEL ANDREA"/>
        <s v="VALDERRAMA CAÑAS ROBERTO MARIO"/>
        <s v="PLAZA ARAYA MIGUEL ANTONIO"/>
        <s v="MACAYA MOSCOSO FELIPE ANDRES"/>
        <s v="DURAN MIRANDA ROBERTO FABIAN"/>
        <s v="DURAN  BRAVO, ROBERTO"/>
        <s v="SALINAS SALDIA LUIS ALBERTO"/>
        <s v="ESPINOZA MORENO JONATHAN"/>
        <s v="GALLARDO LUCERO EMERSON"/>
        <s v="POBLETE SANDOVAL RODRIGO "/>
        <s v="ÑANCUCHEO MARIQUEO JOSE MAURICIO"/>
        <s v="PEREZ PADILLA RODRIGO ALEJANDRO"/>
        <s v="MORALES DIAZ SLBERTO"/>
        <d v="1899-12-30T00:00:00"/>
        <s v="ESPINOZA MATURANA FABIAN"/>
        <s v="ORMAZABAL CACERES LUIS HERNAN"/>
        <s v="MARTINEZ RIVERA VICTOR ALFONSO"/>
        <s v="SANDOVAL ALTAMIRANO LORENZO "/>
        <s v="REYES ESPINOZA NATALIA BELEN"/>
        <s v="GARCES MUÑOZ JUAN DIEGO ALEXIS"/>
        <s v="GALVEZ CERNA ARIEL ALFREDO"/>
        <s v="ROJAS SALAMANCA RODRIGO ALEJANDRO"/>
        <s v="CASTILLO  AHUMADA FRANCISCO"/>
        <s v="ALVAREZ REYES CRISTIAN DANIEL"/>
        <s v="DONOSO SANTIBAÑEZ CRISTIAN ALFREDO"/>
        <s v="PEREZ SALAZAR CARLOS PATRICIO"/>
        <s v="ALVAREZ CONTRERAS MARISOL"/>
        <e v="#N/A"/>
      </sharedItems>
    </cacheField>
    <cacheField name="fecha" numFmtId="14">
      <sharedItems containsSemiMixedTypes="0" containsNonDate="0" containsDate="1" containsString="0" minDate="1899-12-30T00:00:00" maxDate="2011-04-18T00:00:00" count="8">
        <d v="2011-04-11T00:00:00"/>
        <d v="2011-04-12T00:00:00"/>
        <d v="2011-04-13T00:00:00"/>
        <d v="2011-04-14T00:00:00"/>
        <d v="2011-04-15T00:00:00"/>
        <d v="2011-04-16T00:00:00"/>
        <d v="2011-04-17T00:00:00"/>
        <d v="1899-12-30T00:00:00"/>
      </sharedItems>
    </cacheField>
    <cacheField name="0" numFmtId="1">
      <sharedItems containsSemiMixedTypes="0" containsString="0" containsNumber="1" containsInteger="1" minValue="1" maxValue="591" count="59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</sharedItems>
    </cacheField>
    <cacheField name="turno" numFmtId="46">
      <sharedItems count="5">
        <e v="#N/A"/>
        <s v="Admin"/>
        <s v="Turno C"/>
        <s v="Turno B"/>
        <s v="Turno A"/>
      </sharedItems>
    </cacheField>
    <cacheField name="llegada" numFmtId="46">
      <sharedItems containsDate="1" containsMixedTypes="1" minDate="1899-12-30T00:01:33" maxDate="1899-12-30T23:59:52"/>
    </cacheField>
    <cacheField name="salida" numFmtId="46">
      <sharedItems containsDate="1" containsMixedTypes="1" minDate="1899-12-30T07:14:00" maxDate="1899-12-30T22:55:13"/>
    </cacheField>
    <cacheField name="hora extra" numFmtId="46">
      <sharedItems containsDate="1" containsMixedTypes="1" minDate="1899-12-30T00:00:00" maxDate="1899-12-31T00:00:00"/>
    </cacheField>
    <cacheField name="Horas a trabajar" numFmtId="46">
      <sharedItems containsDate="1" containsMixedTypes="1" minDate="1899-12-30T00:00:00" maxDate="1899-12-31T00:00:00"/>
    </cacheField>
    <cacheField name="Horas trabajadas" numFmtId="0" formula="IF(llegada&gt;salida,(salida+0.5)-(llegada-0.5),salida-llegada)" databaseField="0"/>
    <cacheField name="Horas extras reales" numFmtId="0" formula="'Horas trabajadas'-'Horas a trabajar'" databaseField="0"/>
    <cacheField name="Extras reales" numFmtId="0" formula="'Horas extras reales'-'Horas a trabajar'" databaseField="0"/>
    <cacheField name="Horas extras hechas" numFmtId="0" formula="'Horas trabajadas'-'Horas a trabajar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14">
  <r>
    <x v="0"/>
    <x v="0"/>
    <x v="0"/>
    <x v="0"/>
    <x v="0"/>
    <d v="1899-12-30T14:24:50"/>
    <s v=""/>
    <e v="#N/A"/>
    <e v="#N/A"/>
  </r>
  <r>
    <x v="0"/>
    <x v="0"/>
    <x v="0"/>
    <x v="0"/>
    <x v="0"/>
    <s v=""/>
    <d v="1899-12-30T22:30:44"/>
    <d v="1899-12-30T00:00:00"/>
    <d v="1899-12-30T00:00:00"/>
  </r>
  <r>
    <x v="0"/>
    <x v="0"/>
    <x v="1"/>
    <x v="1"/>
    <x v="0"/>
    <d v="1899-12-30T14:15:35"/>
    <s v=""/>
    <e v="#N/A"/>
    <e v="#N/A"/>
  </r>
  <r>
    <x v="0"/>
    <x v="0"/>
    <x v="1"/>
    <x v="1"/>
    <x v="0"/>
    <s v=""/>
    <d v="1899-12-30T22:29:02"/>
    <d v="1899-12-30T00:00:00"/>
    <d v="1899-12-30T00:00:00"/>
  </r>
  <r>
    <x v="0"/>
    <x v="0"/>
    <x v="2"/>
    <x v="2"/>
    <x v="0"/>
    <d v="1899-12-30T14:24:28"/>
    <s v=""/>
    <e v="#N/A"/>
    <e v="#N/A"/>
  </r>
  <r>
    <x v="0"/>
    <x v="0"/>
    <x v="2"/>
    <x v="2"/>
    <x v="0"/>
    <s v=""/>
    <d v="1899-12-30T20:24:16"/>
    <d v="1899-12-30T00:00:00"/>
    <d v="1899-12-30T00:00:00"/>
  </r>
  <r>
    <x v="0"/>
    <x v="0"/>
    <x v="3"/>
    <x v="3"/>
    <x v="0"/>
    <d v="1899-12-30T14:24:35"/>
    <s v=""/>
    <e v="#N/A"/>
    <e v="#N/A"/>
  </r>
  <r>
    <x v="0"/>
    <x v="0"/>
    <x v="3"/>
    <x v="3"/>
    <x v="0"/>
    <s v=""/>
    <d v="1899-12-30T22:30:04"/>
    <d v="1899-12-30T00:00:00"/>
    <d v="1899-12-30T00:00:00"/>
  </r>
  <r>
    <x v="0"/>
    <x v="0"/>
    <x v="4"/>
    <x v="4"/>
    <x v="0"/>
    <d v="1899-12-30T14:57:16"/>
    <s v=""/>
    <e v="#N/A"/>
    <e v="#N/A"/>
  </r>
  <r>
    <x v="0"/>
    <x v="0"/>
    <x v="4"/>
    <x v="4"/>
    <x v="0"/>
    <s v=""/>
    <d v="1899-12-30T22:30:02"/>
    <d v="1899-12-30T00:00:00"/>
    <d v="1899-12-30T00:00:00"/>
  </r>
  <r>
    <x v="0"/>
    <x v="0"/>
    <x v="5"/>
    <x v="5"/>
    <x v="0"/>
    <s v=""/>
    <d v="1899-12-30T22:30:57"/>
    <e v="#N/A"/>
    <e v="#N/A"/>
  </r>
  <r>
    <x v="0"/>
    <x v="0"/>
    <x v="5"/>
    <x v="5"/>
    <x v="0"/>
    <d v="1899-12-30T14:16:28"/>
    <s v=""/>
    <d v="1899-12-30T00:00:00"/>
    <d v="1899-12-30T00:00:00"/>
  </r>
  <r>
    <x v="1"/>
    <x v="1"/>
    <x v="0"/>
    <x v="6"/>
    <x v="0"/>
    <d v="1899-12-30T06:52:50"/>
    <s v=""/>
    <e v="#N/A"/>
    <e v="#N/A"/>
  </r>
  <r>
    <x v="1"/>
    <x v="1"/>
    <x v="0"/>
    <x v="6"/>
    <x v="0"/>
    <s v=""/>
    <d v="1899-12-30T17:28:44"/>
    <d v="1899-12-30T00:00:00"/>
    <d v="1899-12-30T00:00:00"/>
  </r>
  <r>
    <x v="1"/>
    <x v="1"/>
    <x v="1"/>
    <x v="7"/>
    <x v="0"/>
    <d v="1899-12-30T07:11:31"/>
    <s v=""/>
    <e v="#N/A"/>
    <e v="#N/A"/>
  </r>
  <r>
    <x v="1"/>
    <x v="1"/>
    <x v="1"/>
    <x v="7"/>
    <x v="0"/>
    <s v=""/>
    <d v="1899-12-30T17:25:43"/>
    <d v="1899-12-30T00:00:00"/>
    <d v="1899-12-30T00:00:00"/>
  </r>
  <r>
    <x v="1"/>
    <x v="1"/>
    <x v="2"/>
    <x v="8"/>
    <x v="0"/>
    <d v="1899-12-30T06:53:13"/>
    <s v=""/>
    <e v="#N/A"/>
    <e v="#N/A"/>
  </r>
  <r>
    <x v="1"/>
    <x v="1"/>
    <x v="2"/>
    <x v="8"/>
    <x v="0"/>
    <s v=""/>
    <d v="1899-12-30T17:39:22"/>
    <d v="1899-12-30T00:00:00"/>
    <d v="1899-12-30T00:00:00"/>
  </r>
  <r>
    <x v="1"/>
    <x v="1"/>
    <x v="3"/>
    <x v="9"/>
    <x v="0"/>
    <d v="1899-12-30T06:54:13"/>
    <s v=""/>
    <e v="#N/A"/>
    <e v="#N/A"/>
  </r>
  <r>
    <x v="1"/>
    <x v="1"/>
    <x v="3"/>
    <x v="9"/>
    <x v="0"/>
    <s v=""/>
    <d v="1899-12-30T17:30:10"/>
    <d v="1899-12-30T00:00:00"/>
    <d v="1899-12-30T00:00:00"/>
  </r>
  <r>
    <x v="1"/>
    <x v="1"/>
    <x v="4"/>
    <x v="10"/>
    <x v="0"/>
    <d v="1899-12-30T06:49:03"/>
    <s v=""/>
    <e v="#N/A"/>
    <e v="#N/A"/>
  </r>
  <r>
    <x v="1"/>
    <x v="1"/>
    <x v="4"/>
    <x v="10"/>
    <x v="0"/>
    <s v=""/>
    <d v="1899-12-30T20:53:24"/>
    <d v="1899-12-30T00:00:00"/>
    <d v="1899-12-30T00:00:00"/>
  </r>
  <r>
    <x v="1"/>
    <x v="1"/>
    <x v="5"/>
    <x v="11"/>
    <x v="0"/>
    <s v=""/>
    <d v="1899-12-30T13:45:06"/>
    <e v="#N/A"/>
    <e v="#N/A"/>
  </r>
  <r>
    <x v="1"/>
    <x v="1"/>
    <x v="5"/>
    <x v="11"/>
    <x v="0"/>
    <d v="1899-12-30T07:23:23"/>
    <s v=""/>
    <d v="1899-12-30T00:00:00"/>
    <d v="1899-12-30T00:00:00"/>
  </r>
  <r>
    <x v="2"/>
    <x v="2"/>
    <x v="0"/>
    <x v="12"/>
    <x v="0"/>
    <d v="1899-12-30T14:34:50"/>
    <s v=""/>
    <e v="#N/A"/>
    <e v="#N/A"/>
  </r>
  <r>
    <x v="2"/>
    <x v="2"/>
    <x v="0"/>
    <x v="12"/>
    <x v="0"/>
    <s v=""/>
    <d v="1899-12-30T22:34:17"/>
    <d v="1899-12-30T00:00:00"/>
    <d v="1899-12-30T00:00:00"/>
  </r>
  <r>
    <x v="2"/>
    <x v="2"/>
    <x v="1"/>
    <x v="13"/>
    <x v="0"/>
    <d v="1899-12-30T14:35:03"/>
    <s v=""/>
    <e v="#N/A"/>
    <e v="#N/A"/>
  </r>
  <r>
    <x v="2"/>
    <x v="2"/>
    <x v="1"/>
    <x v="13"/>
    <x v="0"/>
    <s v=""/>
    <d v="1899-12-30T22:40:41"/>
    <d v="1899-12-30T00:00:00"/>
    <d v="1899-12-30T00:00:00"/>
  </r>
  <r>
    <x v="2"/>
    <x v="2"/>
    <x v="2"/>
    <x v="14"/>
    <x v="0"/>
    <d v="1899-12-30T14:38:10"/>
    <s v=""/>
    <e v="#N/A"/>
    <e v="#N/A"/>
  </r>
  <r>
    <x v="2"/>
    <x v="2"/>
    <x v="2"/>
    <x v="14"/>
    <x v="0"/>
    <s v=""/>
    <d v="1899-12-30T22:34:45"/>
    <d v="1899-12-30T00:00:00"/>
    <d v="1899-12-30T00:00:00"/>
  </r>
  <r>
    <x v="2"/>
    <x v="2"/>
    <x v="3"/>
    <x v="15"/>
    <x v="0"/>
    <d v="1899-12-30T07:10:43"/>
    <s v=""/>
    <e v="#N/A"/>
    <e v="#N/A"/>
  </r>
  <r>
    <x v="2"/>
    <x v="2"/>
    <x v="3"/>
    <x v="15"/>
    <x v="0"/>
    <s v=""/>
    <d v="1899-12-30T15:07:15"/>
    <d v="1899-12-30T00:00:00"/>
    <d v="1899-12-30T00:00:00"/>
  </r>
  <r>
    <x v="2"/>
    <x v="2"/>
    <x v="4"/>
    <x v="16"/>
    <x v="0"/>
    <d v="1899-12-30T14:35:02"/>
    <s v=""/>
    <e v="#N/A"/>
    <e v="#N/A"/>
  </r>
  <r>
    <x v="2"/>
    <x v="2"/>
    <x v="4"/>
    <x v="16"/>
    <x v="0"/>
    <s v=""/>
    <d v="1899-12-30T22:32:33"/>
    <d v="1899-12-30T00:00:00"/>
    <d v="1899-12-30T00:00:00"/>
  </r>
  <r>
    <x v="2"/>
    <x v="2"/>
    <x v="5"/>
    <x v="17"/>
    <x v="0"/>
    <s v=""/>
    <d v="1899-12-30T19:29:39"/>
    <e v="#N/A"/>
    <e v="#N/A"/>
  </r>
  <r>
    <x v="2"/>
    <x v="2"/>
    <x v="5"/>
    <x v="17"/>
    <x v="0"/>
    <d v="1899-12-30T11:46:51"/>
    <s v=""/>
    <d v="1899-12-30T00:00:00"/>
    <d v="1899-12-30T00:00:00"/>
  </r>
  <r>
    <x v="3"/>
    <x v="3"/>
    <x v="0"/>
    <x v="18"/>
    <x v="0"/>
    <d v="1899-12-30T07:01:21"/>
    <s v=""/>
    <e v="#N/A"/>
    <e v="#N/A"/>
  </r>
  <r>
    <x v="3"/>
    <x v="3"/>
    <x v="0"/>
    <x v="18"/>
    <x v="0"/>
    <s v=""/>
    <d v="1899-12-30T15:10:24"/>
    <d v="1899-12-30T00:00:00"/>
    <d v="1899-12-30T00:00:00"/>
  </r>
  <r>
    <x v="3"/>
    <x v="3"/>
    <x v="1"/>
    <x v="19"/>
    <x v="0"/>
    <d v="1899-12-30T07:01:10"/>
    <s v=""/>
    <e v="#N/A"/>
    <e v="#N/A"/>
  </r>
  <r>
    <x v="3"/>
    <x v="3"/>
    <x v="1"/>
    <x v="19"/>
    <x v="0"/>
    <s v=""/>
    <d v="1899-12-30T15:21:12"/>
    <d v="1899-12-30T00:00:00"/>
    <d v="1899-12-30T00:00:00"/>
  </r>
  <r>
    <x v="3"/>
    <x v="3"/>
    <x v="2"/>
    <x v="20"/>
    <x v="0"/>
    <d v="1899-12-30T07:01:59"/>
    <s v=""/>
    <e v="#N/A"/>
    <e v="#N/A"/>
  </r>
  <r>
    <x v="3"/>
    <x v="3"/>
    <x v="2"/>
    <x v="20"/>
    <x v="0"/>
    <s v=""/>
    <d v="1899-12-30T15:04:45"/>
    <d v="1899-12-30T00:00:00"/>
    <d v="1899-12-30T00:00:00"/>
  </r>
  <r>
    <x v="3"/>
    <x v="3"/>
    <x v="3"/>
    <x v="21"/>
    <x v="0"/>
    <d v="1899-12-30T07:01:39"/>
    <s v=""/>
    <e v="#N/A"/>
    <e v="#N/A"/>
  </r>
  <r>
    <x v="3"/>
    <x v="3"/>
    <x v="3"/>
    <x v="21"/>
    <x v="0"/>
    <s v=""/>
    <d v="1899-12-30T15:17:24"/>
    <d v="1899-12-30T00:00:00"/>
    <d v="1899-12-30T00:00:00"/>
  </r>
  <r>
    <x v="3"/>
    <x v="3"/>
    <x v="4"/>
    <x v="22"/>
    <x v="0"/>
    <d v="1899-12-30T07:03:15"/>
    <s v=""/>
    <e v="#N/A"/>
    <e v="#N/A"/>
  </r>
  <r>
    <x v="3"/>
    <x v="3"/>
    <x v="4"/>
    <x v="22"/>
    <x v="0"/>
    <s v=""/>
    <d v="1899-12-30T15:25:33"/>
    <d v="1899-12-30T00:00:00"/>
    <d v="1899-12-30T00:00:00"/>
  </r>
  <r>
    <x v="3"/>
    <x v="3"/>
    <x v="5"/>
    <x v="23"/>
    <x v="0"/>
    <s v=""/>
    <d v="1899-12-30T15:11:25"/>
    <e v="#N/A"/>
    <e v="#N/A"/>
  </r>
  <r>
    <x v="3"/>
    <x v="3"/>
    <x v="5"/>
    <x v="23"/>
    <x v="0"/>
    <d v="1899-12-30T07:02:26"/>
    <s v=""/>
    <d v="1899-12-30T00:00:00"/>
    <d v="1899-12-30T00:00:00"/>
  </r>
  <r>
    <x v="4"/>
    <x v="4"/>
    <x v="0"/>
    <x v="24"/>
    <x v="0"/>
    <d v="1899-12-30T14:36:02"/>
    <s v=""/>
    <e v="#N/A"/>
    <e v="#N/A"/>
  </r>
  <r>
    <x v="4"/>
    <x v="4"/>
    <x v="0"/>
    <x v="24"/>
    <x v="0"/>
    <s v=""/>
    <d v="1899-12-30T22:38:02"/>
    <d v="1899-12-30T00:00:00"/>
    <d v="1899-12-30T00:00:00"/>
  </r>
  <r>
    <x v="4"/>
    <x v="4"/>
    <x v="1"/>
    <x v="25"/>
    <x v="0"/>
    <d v="1899-12-30T14:35:46"/>
    <s v=""/>
    <e v="#N/A"/>
    <e v="#N/A"/>
  </r>
  <r>
    <x v="4"/>
    <x v="4"/>
    <x v="1"/>
    <x v="25"/>
    <x v="0"/>
    <s v=""/>
    <d v="1899-12-30T22:39:50"/>
    <d v="1899-12-30T00:00:00"/>
    <d v="1899-12-30T00:00:00"/>
  </r>
  <r>
    <x v="4"/>
    <x v="4"/>
    <x v="2"/>
    <x v="26"/>
    <x v="0"/>
    <d v="1899-12-30T14:37:37"/>
    <s v=""/>
    <e v="#N/A"/>
    <e v="#N/A"/>
  </r>
  <r>
    <x v="4"/>
    <x v="4"/>
    <x v="2"/>
    <x v="26"/>
    <x v="0"/>
    <s v=""/>
    <d v="1899-12-30T22:34:05"/>
    <d v="1899-12-30T00:00:00"/>
    <d v="1899-12-30T00:00:00"/>
  </r>
  <r>
    <x v="4"/>
    <x v="4"/>
    <x v="3"/>
    <x v="27"/>
    <x v="0"/>
    <d v="1899-12-30T14:42:02"/>
    <s v=""/>
    <e v="#N/A"/>
    <e v="#N/A"/>
  </r>
  <r>
    <x v="4"/>
    <x v="4"/>
    <x v="3"/>
    <x v="27"/>
    <x v="0"/>
    <s v=""/>
    <d v="1899-12-30T22:39:13"/>
    <d v="1899-12-30T00:00:00"/>
    <d v="1899-12-30T00:00:00"/>
  </r>
  <r>
    <x v="4"/>
    <x v="4"/>
    <x v="4"/>
    <x v="28"/>
    <x v="0"/>
    <d v="1899-12-30T14:49:55"/>
    <s v=""/>
    <e v="#N/A"/>
    <e v="#N/A"/>
  </r>
  <r>
    <x v="4"/>
    <x v="4"/>
    <x v="4"/>
    <x v="28"/>
    <x v="0"/>
    <s v=""/>
    <d v="1899-12-30T22:38:56"/>
    <d v="1899-12-30T00:00:00"/>
    <d v="1899-12-30T00:00:00"/>
  </r>
  <r>
    <x v="4"/>
    <x v="4"/>
    <x v="5"/>
    <x v="29"/>
    <x v="0"/>
    <s v=""/>
    <d v="1899-12-30T17:28:45"/>
    <e v="#N/A"/>
    <e v="#N/A"/>
  </r>
  <r>
    <x v="4"/>
    <x v="4"/>
    <x v="5"/>
    <x v="29"/>
    <x v="0"/>
    <d v="1899-12-30T10:18:04"/>
    <s v=""/>
    <d v="1899-12-30T00:00:00"/>
    <d v="1899-12-30T00:00:00"/>
  </r>
  <r>
    <x v="5"/>
    <x v="5"/>
    <x v="0"/>
    <x v="30"/>
    <x v="0"/>
    <d v="1899-12-30T22:03:47"/>
    <s v=""/>
    <e v="#N/A"/>
    <e v="#N/A"/>
  </r>
  <r>
    <x v="5"/>
    <x v="5"/>
    <x v="1"/>
    <x v="31"/>
    <x v="0"/>
    <s v=""/>
    <d v="1899-12-30T07:37:04"/>
    <e v="#N/A"/>
    <e v="#N/A"/>
  </r>
  <r>
    <x v="5"/>
    <x v="5"/>
    <x v="1"/>
    <x v="31"/>
    <x v="0"/>
    <d v="1899-12-30T22:02:12"/>
    <s v=""/>
    <d v="1899-12-30T00:00:00"/>
    <d v="1899-12-30T00:00:00"/>
  </r>
  <r>
    <x v="5"/>
    <x v="5"/>
    <x v="2"/>
    <x v="32"/>
    <x v="0"/>
    <s v=""/>
    <d v="1899-12-30T07:36:27"/>
    <e v="#N/A"/>
    <e v="#N/A"/>
  </r>
  <r>
    <x v="5"/>
    <x v="5"/>
    <x v="2"/>
    <x v="32"/>
    <x v="0"/>
    <d v="1899-12-30T22:02:04"/>
    <s v=""/>
    <d v="1899-12-30T00:00:00"/>
    <d v="1899-12-30T00:00:00"/>
  </r>
  <r>
    <x v="5"/>
    <x v="5"/>
    <x v="3"/>
    <x v="33"/>
    <x v="0"/>
    <s v=""/>
    <d v="1899-12-30T07:40:50"/>
    <e v="#N/A"/>
    <e v="#N/A"/>
  </r>
  <r>
    <x v="5"/>
    <x v="5"/>
    <x v="3"/>
    <x v="33"/>
    <x v="0"/>
    <d v="1899-12-30T22:04:03"/>
    <s v=""/>
    <d v="1899-12-30T00:00:00"/>
    <d v="1899-12-30T00:00:00"/>
  </r>
  <r>
    <x v="5"/>
    <x v="5"/>
    <x v="4"/>
    <x v="34"/>
    <x v="0"/>
    <d v="1899-12-30T22:07:24"/>
    <s v=""/>
    <e v="#N/A"/>
    <e v="#N/A"/>
  </r>
  <r>
    <x v="5"/>
    <x v="5"/>
    <x v="4"/>
    <x v="34"/>
    <x v="0"/>
    <s v=""/>
    <d v="1899-12-30T07:36:55"/>
    <d v="1899-12-30T00:00:00"/>
    <d v="1899-12-30T00:00:00"/>
  </r>
  <r>
    <x v="5"/>
    <x v="5"/>
    <x v="5"/>
    <x v="35"/>
    <x v="0"/>
    <s v=""/>
    <d v="1899-12-30T07:34:35"/>
    <e v="#N/A"/>
    <e v="#N/A"/>
  </r>
  <r>
    <x v="6"/>
    <x v="6"/>
    <x v="0"/>
    <x v="36"/>
    <x v="0"/>
    <d v="1899-12-30T07:25:56"/>
    <s v=""/>
    <e v="#N/A"/>
    <e v="#N/A"/>
  </r>
  <r>
    <x v="6"/>
    <x v="6"/>
    <x v="0"/>
    <x v="36"/>
    <x v="0"/>
    <s v=""/>
    <d v="1899-12-30T19:28:37"/>
    <d v="1899-12-30T00:00:00"/>
    <d v="1899-12-30T00:00:00"/>
  </r>
  <r>
    <x v="6"/>
    <x v="6"/>
    <x v="1"/>
    <x v="37"/>
    <x v="0"/>
    <d v="1899-12-30T07:27:13"/>
    <s v=""/>
    <e v="#N/A"/>
    <e v="#N/A"/>
  </r>
  <r>
    <x v="6"/>
    <x v="6"/>
    <x v="1"/>
    <x v="37"/>
    <x v="0"/>
    <s v=""/>
    <d v="1899-12-30T19:32:38"/>
    <d v="1899-12-30T00:00:00"/>
    <d v="1899-12-30T00:00:00"/>
  </r>
  <r>
    <x v="6"/>
    <x v="6"/>
    <x v="2"/>
    <x v="38"/>
    <x v="0"/>
    <d v="1899-12-30T07:20:25"/>
    <s v=""/>
    <e v="#N/A"/>
    <e v="#N/A"/>
  </r>
  <r>
    <x v="6"/>
    <x v="6"/>
    <x v="2"/>
    <x v="38"/>
    <x v="0"/>
    <s v=""/>
    <d v="1899-12-30T19:24:09"/>
    <d v="1899-12-30T00:00:00"/>
    <d v="1899-12-30T00:00:00"/>
  </r>
  <r>
    <x v="6"/>
    <x v="6"/>
    <x v="3"/>
    <x v="39"/>
    <x v="0"/>
    <d v="1899-12-30T07:22:06"/>
    <s v=""/>
    <e v="#N/A"/>
    <e v="#N/A"/>
  </r>
  <r>
    <x v="6"/>
    <x v="6"/>
    <x v="3"/>
    <x v="39"/>
    <x v="0"/>
    <s v=""/>
    <d v="1899-12-30T19:28:21"/>
    <d v="1899-12-30T00:00:00"/>
    <d v="1899-12-30T00:00:00"/>
  </r>
  <r>
    <x v="6"/>
    <x v="6"/>
    <x v="4"/>
    <x v="40"/>
    <x v="0"/>
    <s v=""/>
    <d v="1899-12-30T19:26:25"/>
    <e v="#N/A"/>
    <e v="#N/A"/>
  </r>
  <r>
    <x v="6"/>
    <x v="6"/>
    <x v="4"/>
    <x v="40"/>
    <x v="0"/>
    <d v="1899-12-30T07:16:22"/>
    <s v=""/>
    <d v="1899-12-30T00:00:00"/>
    <d v="1899-12-30T00:00:00"/>
  </r>
  <r>
    <x v="7"/>
    <x v="7"/>
    <x v="0"/>
    <x v="41"/>
    <x v="0"/>
    <d v="1899-12-30T06:43:21"/>
    <s v=""/>
    <e v="#N/A"/>
    <e v="#N/A"/>
  </r>
  <r>
    <x v="7"/>
    <x v="7"/>
    <x v="0"/>
    <x v="41"/>
    <x v="0"/>
    <s v=""/>
    <d v="1899-12-30T15:07:39"/>
    <d v="1899-12-30T00:00:00"/>
    <d v="1899-12-30T00:00:00"/>
  </r>
  <r>
    <x v="7"/>
    <x v="7"/>
    <x v="1"/>
    <x v="42"/>
    <x v="0"/>
    <d v="1899-12-30T06:56:43"/>
    <s v=""/>
    <e v="#N/A"/>
    <e v="#N/A"/>
  </r>
  <r>
    <x v="7"/>
    <x v="7"/>
    <x v="1"/>
    <x v="42"/>
    <x v="0"/>
    <s v=""/>
    <d v="1899-12-30T15:10:58"/>
    <d v="1899-12-30T00:00:00"/>
    <d v="1899-12-30T00:00:00"/>
  </r>
  <r>
    <x v="7"/>
    <x v="7"/>
    <x v="2"/>
    <x v="43"/>
    <x v="0"/>
    <d v="1899-12-30T06:39:08"/>
    <s v=""/>
    <e v="#N/A"/>
    <e v="#N/A"/>
  </r>
  <r>
    <x v="7"/>
    <x v="7"/>
    <x v="2"/>
    <x v="43"/>
    <x v="0"/>
    <s v=""/>
    <d v="1899-12-30T15:15:25"/>
    <d v="1899-12-30T00:00:00"/>
    <d v="1899-12-30T00:00:00"/>
  </r>
  <r>
    <x v="7"/>
    <x v="7"/>
    <x v="3"/>
    <x v="44"/>
    <x v="0"/>
    <d v="1899-12-30T06:39:08"/>
    <s v=""/>
    <e v="#N/A"/>
    <e v="#N/A"/>
  </r>
  <r>
    <x v="7"/>
    <x v="7"/>
    <x v="3"/>
    <x v="44"/>
    <x v="0"/>
    <s v=""/>
    <d v="1899-12-30T15:15:47"/>
    <d v="1899-12-30T00:00:00"/>
    <d v="1899-12-30T00:00:00"/>
  </r>
  <r>
    <x v="7"/>
    <x v="7"/>
    <x v="4"/>
    <x v="45"/>
    <x v="0"/>
    <s v=""/>
    <d v="1899-12-30T15:15:41"/>
    <e v="#N/A"/>
    <e v="#N/A"/>
  </r>
  <r>
    <x v="7"/>
    <x v="7"/>
    <x v="4"/>
    <x v="45"/>
    <x v="0"/>
    <d v="1899-12-30T06:49:40"/>
    <s v=""/>
    <d v="1899-12-30T00:00:00"/>
    <d v="1899-12-30T00:00:00"/>
  </r>
  <r>
    <x v="7"/>
    <x v="7"/>
    <x v="5"/>
    <x v="46"/>
    <x v="0"/>
    <d v="1899-12-30T14:29:13"/>
    <s v=""/>
    <e v="#N/A"/>
    <e v="#N/A"/>
  </r>
  <r>
    <x v="7"/>
    <x v="7"/>
    <x v="5"/>
    <x v="46"/>
    <x v="0"/>
    <s v=""/>
    <d v="1899-12-30T22:31:03"/>
    <d v="1899-12-30T00:00:00"/>
    <d v="1899-12-30T00:00:00"/>
  </r>
  <r>
    <x v="8"/>
    <x v="8"/>
    <x v="0"/>
    <x v="47"/>
    <x v="0"/>
    <d v="1899-12-30T07:23:40"/>
    <s v=""/>
    <e v="#N/A"/>
    <e v="#N/A"/>
  </r>
  <r>
    <x v="8"/>
    <x v="8"/>
    <x v="0"/>
    <x v="47"/>
    <x v="0"/>
    <s v=""/>
    <d v="1899-12-30T15:00:35"/>
    <d v="1899-12-30T00:00:00"/>
    <d v="1899-12-30T00:00:00"/>
  </r>
  <r>
    <x v="8"/>
    <x v="8"/>
    <x v="2"/>
    <x v="48"/>
    <x v="0"/>
    <d v="1899-12-30T07:19:30"/>
    <s v=""/>
    <e v="#N/A"/>
    <e v="#N/A"/>
  </r>
  <r>
    <x v="8"/>
    <x v="8"/>
    <x v="2"/>
    <x v="48"/>
    <x v="0"/>
    <s v=""/>
    <d v="1899-12-30T15:06:44"/>
    <d v="1899-12-30T00:00:00"/>
    <d v="1899-12-30T00:00:00"/>
  </r>
  <r>
    <x v="8"/>
    <x v="8"/>
    <x v="3"/>
    <x v="49"/>
    <x v="0"/>
    <d v="1899-12-30T07:19:00"/>
    <s v=""/>
    <e v="#N/A"/>
    <e v="#N/A"/>
  </r>
  <r>
    <x v="8"/>
    <x v="8"/>
    <x v="3"/>
    <x v="49"/>
    <x v="0"/>
    <s v=""/>
    <d v="1899-12-30T15:05:20"/>
    <d v="1899-12-30T00:00:00"/>
    <d v="1899-12-30T00:00:00"/>
  </r>
  <r>
    <x v="8"/>
    <x v="8"/>
    <x v="4"/>
    <x v="50"/>
    <x v="0"/>
    <s v=""/>
    <d v="1899-12-30T15:05:15"/>
    <e v="#N/A"/>
    <e v="#N/A"/>
  </r>
  <r>
    <x v="8"/>
    <x v="8"/>
    <x v="4"/>
    <x v="50"/>
    <x v="0"/>
    <d v="1899-12-30T07:26:33"/>
    <s v=""/>
    <d v="1899-12-30T00:00:00"/>
    <d v="1899-12-30T00:00:00"/>
  </r>
  <r>
    <x v="8"/>
    <x v="8"/>
    <x v="5"/>
    <x v="51"/>
    <x v="0"/>
    <d v="1899-12-30T07:20:31"/>
    <s v=""/>
    <e v="#N/A"/>
    <e v="#N/A"/>
  </r>
  <r>
    <x v="8"/>
    <x v="8"/>
    <x v="5"/>
    <x v="51"/>
    <x v="0"/>
    <s v=""/>
    <d v="1899-12-30T15:05:36"/>
    <d v="1899-12-30T00:00:00"/>
    <d v="1899-12-30T00:00:00"/>
  </r>
  <r>
    <x v="9"/>
    <x v="9"/>
    <x v="0"/>
    <x v="52"/>
    <x v="0"/>
    <d v="1899-12-30T21:59:30"/>
    <s v=""/>
    <e v="#N/A"/>
    <e v="#N/A"/>
  </r>
  <r>
    <x v="9"/>
    <x v="9"/>
    <x v="1"/>
    <x v="53"/>
    <x v="0"/>
    <s v=""/>
    <d v="1899-12-30T07:47:01"/>
    <e v="#N/A"/>
    <e v="#N/A"/>
  </r>
  <r>
    <x v="9"/>
    <x v="9"/>
    <x v="1"/>
    <x v="53"/>
    <x v="0"/>
    <d v="1899-12-30T21:56:36"/>
    <s v=""/>
    <d v="1899-12-30T00:00:00"/>
    <d v="1899-12-30T00:00:00"/>
  </r>
  <r>
    <x v="9"/>
    <x v="9"/>
    <x v="2"/>
    <x v="54"/>
    <x v="0"/>
    <s v=""/>
    <d v="1899-12-30T07:43:16"/>
    <e v="#N/A"/>
    <e v="#N/A"/>
  </r>
  <r>
    <x v="9"/>
    <x v="9"/>
    <x v="2"/>
    <x v="54"/>
    <x v="0"/>
    <d v="1899-12-30T21:56:07"/>
    <s v=""/>
    <d v="1899-12-30T00:00:00"/>
    <d v="1899-12-30T00:00:00"/>
  </r>
  <r>
    <x v="9"/>
    <x v="9"/>
    <x v="3"/>
    <x v="55"/>
    <x v="0"/>
    <s v=""/>
    <d v="1899-12-30T07:45:20"/>
    <e v="#N/A"/>
    <e v="#N/A"/>
  </r>
  <r>
    <x v="9"/>
    <x v="9"/>
    <x v="3"/>
    <x v="55"/>
    <x v="0"/>
    <d v="1899-12-30T21:58:43"/>
    <s v=""/>
    <d v="1899-12-30T00:00:00"/>
    <d v="1899-12-30T00:00:00"/>
  </r>
  <r>
    <x v="9"/>
    <x v="9"/>
    <x v="4"/>
    <x v="56"/>
    <x v="0"/>
    <d v="1899-12-30T21:56:46"/>
    <s v=""/>
    <e v="#N/A"/>
    <e v="#N/A"/>
  </r>
  <r>
    <x v="9"/>
    <x v="9"/>
    <x v="4"/>
    <x v="56"/>
    <x v="0"/>
    <s v=""/>
    <d v="1899-12-30T07:44:21"/>
    <d v="1899-12-30T00:00:00"/>
    <d v="1899-12-30T00:00:00"/>
  </r>
  <r>
    <x v="9"/>
    <x v="9"/>
    <x v="5"/>
    <x v="57"/>
    <x v="0"/>
    <s v=""/>
    <d v="1899-12-30T07:46:29"/>
    <e v="#N/A"/>
    <e v="#N/A"/>
  </r>
  <r>
    <x v="10"/>
    <x v="10"/>
    <x v="0"/>
    <x v="58"/>
    <x v="0"/>
    <d v="1899-12-30T06:58:20"/>
    <s v=""/>
    <e v="#N/A"/>
    <e v="#N/A"/>
  </r>
  <r>
    <x v="10"/>
    <x v="10"/>
    <x v="0"/>
    <x v="58"/>
    <x v="0"/>
    <s v=""/>
    <d v="1899-12-30T15:12:57"/>
    <d v="1899-12-30T00:00:00"/>
    <d v="1899-12-30T00:00:00"/>
  </r>
  <r>
    <x v="10"/>
    <x v="10"/>
    <x v="1"/>
    <x v="59"/>
    <x v="0"/>
    <d v="1899-12-30T06:58:04"/>
    <s v=""/>
    <e v="#N/A"/>
    <e v="#N/A"/>
  </r>
  <r>
    <x v="10"/>
    <x v="10"/>
    <x v="1"/>
    <x v="59"/>
    <x v="0"/>
    <s v=""/>
    <d v="1899-12-30T16:59:14"/>
    <d v="1899-12-30T00:00:00"/>
    <d v="1899-12-30T00:00:00"/>
  </r>
  <r>
    <x v="10"/>
    <x v="10"/>
    <x v="2"/>
    <x v="60"/>
    <x v="0"/>
    <d v="1899-12-30T06:56:09"/>
    <s v=""/>
    <e v="#N/A"/>
    <e v="#N/A"/>
  </r>
  <r>
    <x v="10"/>
    <x v="10"/>
    <x v="2"/>
    <x v="60"/>
    <x v="0"/>
    <s v=""/>
    <d v="1899-12-30T16:23:26"/>
    <d v="1899-12-30T00:00:00"/>
    <d v="1899-12-30T00:00:00"/>
  </r>
  <r>
    <x v="10"/>
    <x v="10"/>
    <x v="3"/>
    <x v="61"/>
    <x v="0"/>
    <d v="1899-12-30T07:06:35"/>
    <s v=""/>
    <e v="#N/A"/>
    <e v="#N/A"/>
  </r>
  <r>
    <x v="10"/>
    <x v="10"/>
    <x v="3"/>
    <x v="61"/>
    <x v="0"/>
    <s v=""/>
    <d v="1899-12-30T15:15:42"/>
    <d v="1899-12-30T00:00:00"/>
    <d v="1899-12-30T00:00:00"/>
  </r>
  <r>
    <x v="10"/>
    <x v="10"/>
    <x v="4"/>
    <x v="62"/>
    <x v="0"/>
    <s v=""/>
    <d v="1899-12-30T15:16:43"/>
    <e v="#N/A"/>
    <e v="#N/A"/>
  </r>
  <r>
    <x v="10"/>
    <x v="10"/>
    <x v="4"/>
    <x v="62"/>
    <x v="0"/>
    <d v="1899-12-30T07:06:42"/>
    <s v=""/>
    <d v="1899-12-30T00:00:00"/>
    <d v="1899-12-30T00:00:00"/>
  </r>
  <r>
    <x v="10"/>
    <x v="10"/>
    <x v="5"/>
    <x v="63"/>
    <x v="0"/>
    <d v="1899-12-30T06:59:53"/>
    <s v=""/>
    <e v="#N/A"/>
    <e v="#N/A"/>
  </r>
  <r>
    <x v="10"/>
    <x v="10"/>
    <x v="5"/>
    <x v="63"/>
    <x v="0"/>
    <s v=""/>
    <d v="1899-12-30T15:13:37"/>
    <d v="1899-12-30T00:00:00"/>
    <d v="1899-12-30T00:00:00"/>
  </r>
  <r>
    <x v="10"/>
    <x v="10"/>
    <x v="6"/>
    <x v="64"/>
    <x v="0"/>
    <d v="1899-12-30T22:27:09"/>
    <s v=""/>
    <e v="#N/A"/>
    <e v="#N/A"/>
  </r>
  <r>
    <x v="11"/>
    <x v="11"/>
    <x v="0"/>
    <x v="65"/>
    <x v="1"/>
    <s v=""/>
    <d v="1899-12-30T08:03:38"/>
    <d v="1899-12-30T07:30:00"/>
    <d v="1899-12-30T10:00:00"/>
  </r>
  <r>
    <x v="11"/>
    <x v="11"/>
    <x v="1"/>
    <x v="66"/>
    <x v="1"/>
    <d v="1899-12-30T07:15:15"/>
    <s v=""/>
    <d v="1899-12-30T00:00:00"/>
    <d v="1899-12-30T10:00:00"/>
  </r>
  <r>
    <x v="11"/>
    <x v="11"/>
    <x v="1"/>
    <x v="66"/>
    <x v="1"/>
    <s v=""/>
    <d v="1899-12-30T18:43:00"/>
    <d v="1899-12-30T00:00:00"/>
    <d v="1899-12-30T00:00:00"/>
  </r>
  <r>
    <x v="11"/>
    <x v="11"/>
    <x v="2"/>
    <x v="67"/>
    <x v="1"/>
    <d v="1899-12-30T07:17:12"/>
    <s v=""/>
    <d v="1899-12-30T00:00:00"/>
    <d v="1899-12-30T10:00:00"/>
  </r>
  <r>
    <x v="11"/>
    <x v="11"/>
    <x v="2"/>
    <x v="67"/>
    <x v="1"/>
    <s v=""/>
    <d v="1899-12-30T18:47:58"/>
    <d v="1899-12-30T00:00:00"/>
    <d v="1899-12-30T00:00:00"/>
  </r>
  <r>
    <x v="11"/>
    <x v="11"/>
    <x v="3"/>
    <x v="68"/>
    <x v="1"/>
    <d v="1899-12-30T08:19:41"/>
    <s v=""/>
    <d v="1899-12-30T00:00:00"/>
    <d v="1899-12-30T10:00:00"/>
  </r>
  <r>
    <x v="11"/>
    <x v="11"/>
    <x v="3"/>
    <x v="68"/>
    <x v="1"/>
    <s v=""/>
    <d v="1899-12-30T18:42:39"/>
    <d v="1899-12-30T00:00:00"/>
    <d v="1899-12-30T00:00:00"/>
  </r>
  <r>
    <x v="11"/>
    <x v="11"/>
    <x v="4"/>
    <x v="69"/>
    <x v="1"/>
    <d v="1899-12-30T07:18:22"/>
    <s v=""/>
    <d v="1899-12-30T00:00:00"/>
    <d v="1899-12-30T10:00:00"/>
  </r>
  <r>
    <x v="11"/>
    <x v="11"/>
    <x v="4"/>
    <x v="69"/>
    <x v="1"/>
    <s v=""/>
    <d v="1899-12-30T18:07:44"/>
    <d v="1899-12-30T00:00:00"/>
    <d v="1899-12-30T00:00:00"/>
  </r>
  <r>
    <x v="11"/>
    <x v="11"/>
    <x v="6"/>
    <x v="70"/>
    <x v="1"/>
    <d v="1899-12-30T23:59:52"/>
    <s v=""/>
    <d v="1899-12-30T00:00:00"/>
    <d v="1899-12-30T10:00:00"/>
  </r>
  <r>
    <x v="12"/>
    <x v="12"/>
    <x v="0"/>
    <x v="71"/>
    <x v="0"/>
    <d v="1899-12-30T07:04:49"/>
    <s v=""/>
    <e v="#N/A"/>
    <e v="#N/A"/>
  </r>
  <r>
    <x v="12"/>
    <x v="12"/>
    <x v="0"/>
    <x v="71"/>
    <x v="0"/>
    <s v=""/>
    <d v="1899-12-30T15:04:23"/>
    <d v="1899-12-30T00:00:00"/>
    <d v="1899-12-30T00:00:00"/>
  </r>
  <r>
    <x v="12"/>
    <x v="12"/>
    <x v="1"/>
    <x v="72"/>
    <x v="0"/>
    <d v="1899-12-30T07:06:00"/>
    <s v=""/>
    <e v="#N/A"/>
    <e v="#N/A"/>
  </r>
  <r>
    <x v="12"/>
    <x v="12"/>
    <x v="1"/>
    <x v="72"/>
    <x v="0"/>
    <s v=""/>
    <d v="1899-12-30T15:06:51"/>
    <d v="1899-12-30T00:00:00"/>
    <d v="1899-12-30T00:00:00"/>
  </r>
  <r>
    <x v="12"/>
    <x v="12"/>
    <x v="2"/>
    <x v="73"/>
    <x v="0"/>
    <d v="1899-12-30T07:05:33"/>
    <s v=""/>
    <e v="#N/A"/>
    <e v="#N/A"/>
  </r>
  <r>
    <x v="12"/>
    <x v="12"/>
    <x v="2"/>
    <x v="73"/>
    <x v="0"/>
    <s v=""/>
    <d v="1899-12-30T15:05:56"/>
    <d v="1899-12-30T00:00:00"/>
    <d v="1899-12-30T00:00:00"/>
  </r>
  <r>
    <x v="12"/>
    <x v="12"/>
    <x v="3"/>
    <x v="74"/>
    <x v="0"/>
    <d v="1899-12-30T07:03:57"/>
    <s v=""/>
    <e v="#N/A"/>
    <e v="#N/A"/>
  </r>
  <r>
    <x v="12"/>
    <x v="12"/>
    <x v="3"/>
    <x v="74"/>
    <x v="0"/>
    <s v=""/>
    <d v="1899-12-30T15:03:41"/>
    <d v="1899-12-30T00:00:00"/>
    <d v="1899-12-30T00:00:00"/>
  </r>
  <r>
    <x v="12"/>
    <x v="12"/>
    <x v="4"/>
    <x v="75"/>
    <x v="0"/>
    <s v=""/>
    <d v="1899-12-30T15:08:42"/>
    <e v="#N/A"/>
    <e v="#N/A"/>
  </r>
  <r>
    <x v="12"/>
    <x v="12"/>
    <x v="4"/>
    <x v="75"/>
    <x v="0"/>
    <d v="1899-12-30T07:04:30"/>
    <s v=""/>
    <d v="1899-12-30T00:00:00"/>
    <d v="1899-12-30T00:00:00"/>
  </r>
  <r>
    <x v="12"/>
    <x v="12"/>
    <x v="5"/>
    <x v="76"/>
    <x v="0"/>
    <d v="1899-12-30T07:03:38"/>
    <s v=""/>
    <e v="#N/A"/>
    <e v="#N/A"/>
  </r>
  <r>
    <x v="12"/>
    <x v="12"/>
    <x v="5"/>
    <x v="76"/>
    <x v="0"/>
    <s v=""/>
    <d v="1899-12-30T15:01:31"/>
    <d v="1899-12-30T00:00:00"/>
    <d v="1899-12-30T00:00:00"/>
  </r>
  <r>
    <x v="13"/>
    <x v="13"/>
    <x v="0"/>
    <x v="77"/>
    <x v="0"/>
    <d v="1899-12-30T07:04:45"/>
    <s v=""/>
    <e v="#N/A"/>
    <e v="#N/A"/>
  </r>
  <r>
    <x v="13"/>
    <x v="13"/>
    <x v="0"/>
    <x v="77"/>
    <x v="0"/>
    <s v=""/>
    <d v="1899-12-30T15:20:03"/>
    <d v="1899-12-30T00:00:00"/>
    <d v="1899-12-30T00:00:00"/>
  </r>
  <r>
    <x v="13"/>
    <x v="13"/>
    <x v="1"/>
    <x v="78"/>
    <x v="0"/>
    <d v="1899-12-30T07:04:21"/>
    <s v=""/>
    <e v="#N/A"/>
    <e v="#N/A"/>
  </r>
  <r>
    <x v="13"/>
    <x v="13"/>
    <x v="1"/>
    <x v="78"/>
    <x v="0"/>
    <s v=""/>
    <d v="1899-12-30T15:15:56"/>
    <d v="1899-12-30T00:00:00"/>
    <d v="1899-12-30T00:00:00"/>
  </r>
  <r>
    <x v="13"/>
    <x v="13"/>
    <x v="2"/>
    <x v="79"/>
    <x v="0"/>
    <d v="1899-12-30T07:03:40"/>
    <s v=""/>
    <e v="#N/A"/>
    <e v="#N/A"/>
  </r>
  <r>
    <x v="13"/>
    <x v="13"/>
    <x v="2"/>
    <x v="79"/>
    <x v="0"/>
    <s v=""/>
    <d v="1899-12-30T15:49:55"/>
    <d v="1899-12-30T00:00:00"/>
    <d v="1899-12-30T00:00:00"/>
  </r>
  <r>
    <x v="13"/>
    <x v="13"/>
    <x v="3"/>
    <x v="80"/>
    <x v="0"/>
    <d v="1899-12-30T07:02:53"/>
    <s v=""/>
    <e v="#N/A"/>
    <e v="#N/A"/>
  </r>
  <r>
    <x v="13"/>
    <x v="13"/>
    <x v="3"/>
    <x v="80"/>
    <x v="0"/>
    <s v=""/>
    <d v="1899-12-30T15:15:55"/>
    <d v="1899-12-30T00:00:00"/>
    <d v="1899-12-30T00:00:00"/>
  </r>
  <r>
    <x v="13"/>
    <x v="13"/>
    <x v="4"/>
    <x v="81"/>
    <x v="0"/>
    <s v=""/>
    <d v="1899-12-30T15:19:38"/>
    <e v="#N/A"/>
    <e v="#N/A"/>
  </r>
  <r>
    <x v="13"/>
    <x v="13"/>
    <x v="4"/>
    <x v="81"/>
    <x v="0"/>
    <d v="1899-12-30T07:04:37"/>
    <s v=""/>
    <d v="1899-12-30T00:00:00"/>
    <d v="1899-12-30T00:00:00"/>
  </r>
  <r>
    <x v="13"/>
    <x v="13"/>
    <x v="5"/>
    <x v="82"/>
    <x v="0"/>
    <d v="1899-12-30T07:03:03"/>
    <s v=""/>
    <e v="#N/A"/>
    <e v="#N/A"/>
  </r>
  <r>
    <x v="13"/>
    <x v="13"/>
    <x v="5"/>
    <x v="82"/>
    <x v="0"/>
    <s v=""/>
    <d v="1899-12-30T15:38:05"/>
    <d v="1899-12-30T00:00:00"/>
    <d v="1899-12-30T00:00:00"/>
  </r>
  <r>
    <x v="13"/>
    <x v="13"/>
    <x v="6"/>
    <x v="83"/>
    <x v="0"/>
    <d v="1899-12-30T23:48:34"/>
    <s v=""/>
    <e v="#N/A"/>
    <e v="#N/A"/>
  </r>
  <r>
    <x v="14"/>
    <x v="14"/>
    <x v="0"/>
    <x v="84"/>
    <x v="0"/>
    <d v="1899-12-30T07:01:40"/>
    <s v=""/>
    <e v="#N/A"/>
    <e v="#N/A"/>
  </r>
  <r>
    <x v="14"/>
    <x v="14"/>
    <x v="0"/>
    <x v="84"/>
    <x v="0"/>
    <s v=""/>
    <d v="1899-12-30T15:11:22"/>
    <d v="1899-12-30T00:00:00"/>
    <d v="1899-12-30T00:00:00"/>
  </r>
  <r>
    <x v="14"/>
    <x v="14"/>
    <x v="1"/>
    <x v="85"/>
    <x v="0"/>
    <d v="1899-12-30T07:01:06"/>
    <s v=""/>
    <e v="#N/A"/>
    <e v="#N/A"/>
  </r>
  <r>
    <x v="14"/>
    <x v="14"/>
    <x v="1"/>
    <x v="85"/>
    <x v="0"/>
    <s v=""/>
    <d v="1899-12-30T17:21:04"/>
    <d v="1899-12-30T00:00:00"/>
    <d v="1899-12-30T00:00:00"/>
  </r>
  <r>
    <x v="14"/>
    <x v="14"/>
    <x v="2"/>
    <x v="86"/>
    <x v="0"/>
    <d v="1899-12-30T07:17:46"/>
    <s v=""/>
    <e v="#N/A"/>
    <e v="#N/A"/>
  </r>
  <r>
    <x v="14"/>
    <x v="14"/>
    <x v="2"/>
    <x v="86"/>
    <x v="0"/>
    <s v=""/>
    <d v="1899-12-30T17:40:17"/>
    <d v="1899-12-30T00:00:00"/>
    <d v="1899-12-30T00:00:00"/>
  </r>
  <r>
    <x v="14"/>
    <x v="14"/>
    <x v="3"/>
    <x v="87"/>
    <x v="0"/>
    <d v="1899-12-30T07:15:16"/>
    <s v=""/>
    <e v="#N/A"/>
    <e v="#N/A"/>
  </r>
  <r>
    <x v="14"/>
    <x v="14"/>
    <x v="3"/>
    <x v="87"/>
    <x v="0"/>
    <s v=""/>
    <d v="1899-12-30T17:40:33"/>
    <d v="1899-12-30T00:00:00"/>
    <d v="1899-12-30T00:00:00"/>
  </r>
  <r>
    <x v="14"/>
    <x v="14"/>
    <x v="4"/>
    <x v="88"/>
    <x v="0"/>
    <d v="1899-12-30T07:03:18"/>
    <s v=""/>
    <e v="#N/A"/>
    <e v="#N/A"/>
  </r>
  <r>
    <x v="14"/>
    <x v="14"/>
    <x v="4"/>
    <x v="88"/>
    <x v="0"/>
    <s v=""/>
    <d v="1899-12-30T17:25:13"/>
    <d v="1899-12-30T00:00:00"/>
    <d v="1899-12-30T00:00:00"/>
  </r>
  <r>
    <x v="14"/>
    <x v="14"/>
    <x v="5"/>
    <x v="89"/>
    <x v="0"/>
    <s v=""/>
    <d v="1899-12-30T15:09:31"/>
    <e v="#N/A"/>
    <e v="#N/A"/>
  </r>
  <r>
    <x v="14"/>
    <x v="14"/>
    <x v="5"/>
    <x v="89"/>
    <x v="0"/>
    <d v="1899-12-30T07:02:17"/>
    <s v=""/>
    <d v="1899-12-30T00:00:00"/>
    <d v="1899-12-30T00:00:00"/>
  </r>
  <r>
    <x v="15"/>
    <x v="15"/>
    <x v="0"/>
    <x v="90"/>
    <x v="0"/>
    <d v="1899-12-30T14:34:57"/>
    <s v=""/>
    <e v="#N/A"/>
    <e v="#N/A"/>
  </r>
  <r>
    <x v="15"/>
    <x v="15"/>
    <x v="0"/>
    <x v="90"/>
    <x v="0"/>
    <s v=""/>
    <d v="1899-12-30T22:43:35"/>
    <d v="1899-12-30T00:00:00"/>
    <d v="1899-12-30T00:00:00"/>
  </r>
  <r>
    <x v="15"/>
    <x v="15"/>
    <x v="1"/>
    <x v="91"/>
    <x v="0"/>
    <d v="1899-12-30T14:31:13"/>
    <s v=""/>
    <e v="#N/A"/>
    <e v="#N/A"/>
  </r>
  <r>
    <x v="15"/>
    <x v="15"/>
    <x v="1"/>
    <x v="91"/>
    <x v="0"/>
    <s v=""/>
    <d v="1899-12-30T22:42:11"/>
    <d v="1899-12-30T00:00:00"/>
    <d v="1899-12-30T00:00:00"/>
  </r>
  <r>
    <x v="15"/>
    <x v="15"/>
    <x v="2"/>
    <x v="92"/>
    <x v="0"/>
    <d v="1899-12-30T14:34:03"/>
    <s v=""/>
    <e v="#N/A"/>
    <e v="#N/A"/>
  </r>
  <r>
    <x v="15"/>
    <x v="15"/>
    <x v="2"/>
    <x v="92"/>
    <x v="0"/>
    <s v=""/>
    <d v="1899-12-30T22:41:16"/>
    <d v="1899-12-30T00:00:00"/>
    <d v="1899-12-30T00:00:00"/>
  </r>
  <r>
    <x v="15"/>
    <x v="15"/>
    <x v="3"/>
    <x v="93"/>
    <x v="0"/>
    <d v="1899-12-30T14:34:00"/>
    <s v=""/>
    <e v="#N/A"/>
    <e v="#N/A"/>
  </r>
  <r>
    <x v="15"/>
    <x v="15"/>
    <x v="3"/>
    <x v="93"/>
    <x v="0"/>
    <s v=""/>
    <d v="1899-12-30T22:47:26"/>
    <d v="1899-12-30T00:00:00"/>
    <d v="1899-12-30T00:00:00"/>
  </r>
  <r>
    <x v="15"/>
    <x v="15"/>
    <x v="4"/>
    <x v="94"/>
    <x v="0"/>
    <s v=""/>
    <d v="1899-12-30T22:45:36"/>
    <e v="#N/A"/>
    <e v="#N/A"/>
  </r>
  <r>
    <x v="15"/>
    <x v="15"/>
    <x v="4"/>
    <x v="94"/>
    <x v="0"/>
    <d v="1899-12-30T14:33:27"/>
    <s v=""/>
    <d v="1899-12-30T00:00:00"/>
    <d v="1899-12-30T00:00:00"/>
  </r>
  <r>
    <x v="15"/>
    <x v="15"/>
    <x v="5"/>
    <x v="95"/>
    <x v="0"/>
    <d v="1899-12-30T14:42:14"/>
    <s v=""/>
    <e v="#N/A"/>
    <e v="#N/A"/>
  </r>
  <r>
    <x v="15"/>
    <x v="15"/>
    <x v="5"/>
    <x v="95"/>
    <x v="0"/>
    <s v=""/>
    <d v="1899-12-30T22:48:24"/>
    <d v="1899-12-30T00:00:00"/>
    <d v="1899-12-30T00:00:00"/>
  </r>
  <r>
    <x v="16"/>
    <x v="16"/>
    <x v="0"/>
    <x v="96"/>
    <x v="2"/>
    <s v=""/>
    <d v="1899-12-30T07:43:07"/>
    <d v="1899-12-30T07:30:00"/>
    <d v="1899-12-30T09:00:00"/>
  </r>
  <r>
    <x v="16"/>
    <x v="16"/>
    <x v="0"/>
    <x v="96"/>
    <x v="2"/>
    <d v="1899-12-30T22:05:10"/>
    <s v=""/>
    <d v="1899-12-30T00:00:00"/>
    <d v="1899-12-30T00:00:00"/>
  </r>
  <r>
    <x v="16"/>
    <x v="16"/>
    <x v="1"/>
    <x v="97"/>
    <x v="2"/>
    <s v=""/>
    <d v="1899-12-30T07:44:35"/>
    <d v="1899-12-30T00:00:00"/>
    <d v="1899-12-30T09:00:00"/>
  </r>
  <r>
    <x v="16"/>
    <x v="16"/>
    <x v="1"/>
    <x v="97"/>
    <x v="2"/>
    <d v="1899-12-30T22:02:24"/>
    <s v=""/>
    <d v="1899-12-30T00:00:00"/>
    <d v="1899-12-30T00:00:00"/>
  </r>
  <r>
    <x v="16"/>
    <x v="16"/>
    <x v="2"/>
    <x v="98"/>
    <x v="2"/>
    <s v=""/>
    <d v="1899-12-30T07:41:11"/>
    <d v="1899-12-30T00:00:00"/>
    <d v="1899-12-30T09:00:00"/>
  </r>
  <r>
    <x v="16"/>
    <x v="16"/>
    <x v="2"/>
    <x v="98"/>
    <x v="2"/>
    <d v="1899-12-30T22:11:29"/>
    <s v=""/>
    <d v="1899-12-30T00:00:00"/>
    <d v="1899-12-30T00:00:00"/>
  </r>
  <r>
    <x v="16"/>
    <x v="16"/>
    <x v="3"/>
    <x v="99"/>
    <x v="2"/>
    <s v=""/>
    <d v="1899-12-30T07:44:29"/>
    <d v="1899-12-30T00:00:00"/>
    <d v="1899-12-30T09:00:00"/>
  </r>
  <r>
    <x v="16"/>
    <x v="16"/>
    <x v="3"/>
    <x v="99"/>
    <x v="2"/>
    <d v="1899-12-30T22:04:08"/>
    <s v=""/>
    <d v="1899-12-30T00:00:00"/>
    <d v="1899-12-30T00:00:00"/>
  </r>
  <r>
    <x v="16"/>
    <x v="16"/>
    <x v="4"/>
    <x v="100"/>
    <x v="2"/>
    <d v="1899-12-30T22:04:47"/>
    <s v=""/>
    <d v="1899-12-30T00:00:00"/>
    <d v="1899-12-30T09:00:00"/>
  </r>
  <r>
    <x v="16"/>
    <x v="16"/>
    <x v="4"/>
    <x v="100"/>
    <x v="2"/>
    <s v=""/>
    <d v="1899-12-30T07:47:16"/>
    <d v="1899-12-30T00:00:00"/>
    <d v="1899-12-30T00:00:00"/>
  </r>
  <r>
    <x v="16"/>
    <x v="16"/>
    <x v="5"/>
    <x v="101"/>
    <x v="2"/>
    <s v=""/>
    <d v="1899-12-30T07:47:56"/>
    <d v="1899-12-30T00:00:00"/>
    <d v="1899-12-30T09:00:00"/>
  </r>
  <r>
    <x v="17"/>
    <x v="17"/>
    <x v="0"/>
    <x v="102"/>
    <x v="0"/>
    <d v="1899-12-30T14:46:55"/>
    <s v=""/>
    <e v="#N/A"/>
    <e v="#N/A"/>
  </r>
  <r>
    <x v="17"/>
    <x v="17"/>
    <x v="0"/>
    <x v="102"/>
    <x v="0"/>
    <s v=""/>
    <d v="1899-12-30T22:38:28"/>
    <d v="1899-12-30T00:00:00"/>
    <d v="1899-12-30T00:00:00"/>
  </r>
  <r>
    <x v="17"/>
    <x v="17"/>
    <x v="1"/>
    <x v="103"/>
    <x v="0"/>
    <d v="1899-12-30T14:48:47"/>
    <s v=""/>
    <e v="#N/A"/>
    <e v="#N/A"/>
  </r>
  <r>
    <x v="17"/>
    <x v="17"/>
    <x v="1"/>
    <x v="103"/>
    <x v="0"/>
    <s v=""/>
    <d v="1899-12-30T22:35:20"/>
    <d v="1899-12-30T00:00:00"/>
    <d v="1899-12-30T00:00:00"/>
  </r>
  <r>
    <x v="17"/>
    <x v="17"/>
    <x v="2"/>
    <x v="104"/>
    <x v="0"/>
    <d v="1899-12-30T14:52:23"/>
    <s v=""/>
    <e v="#N/A"/>
    <e v="#N/A"/>
  </r>
  <r>
    <x v="17"/>
    <x v="17"/>
    <x v="2"/>
    <x v="104"/>
    <x v="0"/>
    <s v=""/>
    <d v="1899-12-30T22:22:48"/>
    <d v="1899-12-30T00:00:00"/>
    <d v="1899-12-30T00:00:00"/>
  </r>
  <r>
    <x v="17"/>
    <x v="17"/>
    <x v="3"/>
    <x v="105"/>
    <x v="0"/>
    <d v="1899-12-30T14:51:02"/>
    <s v=""/>
    <e v="#N/A"/>
    <e v="#N/A"/>
  </r>
  <r>
    <x v="17"/>
    <x v="17"/>
    <x v="3"/>
    <x v="105"/>
    <x v="0"/>
    <s v=""/>
    <d v="1899-12-30T22:40:29"/>
    <d v="1899-12-30T00:00:00"/>
    <d v="1899-12-30T00:00:00"/>
  </r>
  <r>
    <x v="17"/>
    <x v="17"/>
    <x v="4"/>
    <x v="106"/>
    <x v="0"/>
    <d v="1899-12-30T14:48:27"/>
    <s v=""/>
    <e v="#N/A"/>
    <e v="#N/A"/>
  </r>
  <r>
    <x v="17"/>
    <x v="17"/>
    <x v="4"/>
    <x v="106"/>
    <x v="0"/>
    <s v=""/>
    <d v="1899-12-30T22:40:22"/>
    <d v="1899-12-30T00:00:00"/>
    <d v="1899-12-30T00:00:00"/>
  </r>
  <r>
    <x v="17"/>
    <x v="17"/>
    <x v="5"/>
    <x v="107"/>
    <x v="0"/>
    <s v=""/>
    <d v="1899-12-30T22:21:51"/>
    <e v="#N/A"/>
    <e v="#N/A"/>
  </r>
  <r>
    <x v="17"/>
    <x v="17"/>
    <x v="5"/>
    <x v="107"/>
    <x v="0"/>
    <d v="1899-12-30T14:49:40"/>
    <s v=""/>
    <d v="1899-12-30T00:00:00"/>
    <d v="1899-12-30T00:00:00"/>
  </r>
  <r>
    <x v="18"/>
    <x v="18"/>
    <x v="0"/>
    <x v="108"/>
    <x v="0"/>
    <d v="1899-12-30T14:32:35"/>
    <s v=""/>
    <e v="#N/A"/>
    <e v="#N/A"/>
  </r>
  <r>
    <x v="18"/>
    <x v="18"/>
    <x v="0"/>
    <x v="108"/>
    <x v="0"/>
    <s v=""/>
    <d v="1899-12-30T22:44:05"/>
    <d v="1899-12-30T00:00:00"/>
    <d v="1899-12-30T00:00:00"/>
  </r>
  <r>
    <x v="18"/>
    <x v="18"/>
    <x v="1"/>
    <x v="109"/>
    <x v="0"/>
    <d v="1899-12-30T14:29:41"/>
    <s v=""/>
    <e v="#N/A"/>
    <e v="#N/A"/>
  </r>
  <r>
    <x v="18"/>
    <x v="18"/>
    <x v="1"/>
    <x v="109"/>
    <x v="0"/>
    <s v=""/>
    <d v="1899-12-30T22:42:44"/>
    <d v="1899-12-30T00:00:00"/>
    <d v="1899-12-30T00:00:00"/>
  </r>
  <r>
    <x v="18"/>
    <x v="18"/>
    <x v="2"/>
    <x v="110"/>
    <x v="0"/>
    <d v="1899-12-30T14:33:15"/>
    <s v=""/>
    <e v="#N/A"/>
    <e v="#N/A"/>
  </r>
  <r>
    <x v="18"/>
    <x v="18"/>
    <x v="2"/>
    <x v="110"/>
    <x v="0"/>
    <s v=""/>
    <d v="1899-12-30T22:46:28"/>
    <d v="1899-12-30T00:00:00"/>
    <d v="1899-12-30T00:00:00"/>
  </r>
  <r>
    <x v="18"/>
    <x v="18"/>
    <x v="3"/>
    <x v="111"/>
    <x v="0"/>
    <d v="1899-12-30T14:30:08"/>
    <s v=""/>
    <e v="#N/A"/>
    <e v="#N/A"/>
  </r>
  <r>
    <x v="18"/>
    <x v="18"/>
    <x v="3"/>
    <x v="111"/>
    <x v="0"/>
    <s v=""/>
    <d v="1899-12-30T22:46:18"/>
    <d v="1899-12-30T00:00:00"/>
    <d v="1899-12-30T00:00:00"/>
  </r>
  <r>
    <x v="18"/>
    <x v="18"/>
    <x v="4"/>
    <x v="112"/>
    <x v="0"/>
    <d v="1899-12-30T14:34:31"/>
    <s v=""/>
    <e v="#N/A"/>
    <e v="#N/A"/>
  </r>
  <r>
    <x v="18"/>
    <x v="18"/>
    <x v="4"/>
    <x v="112"/>
    <x v="0"/>
    <s v=""/>
    <d v="1899-12-30T22:44:45"/>
    <d v="1899-12-30T00:00:00"/>
    <d v="1899-12-30T00:00:00"/>
  </r>
  <r>
    <x v="18"/>
    <x v="18"/>
    <x v="5"/>
    <x v="113"/>
    <x v="0"/>
    <s v=""/>
    <d v="1899-12-30T22:48:33"/>
    <e v="#N/A"/>
    <e v="#N/A"/>
  </r>
  <r>
    <x v="18"/>
    <x v="18"/>
    <x v="5"/>
    <x v="113"/>
    <x v="0"/>
    <d v="1899-12-30T14:28:56"/>
    <s v=""/>
    <d v="1899-12-30T00:00:00"/>
    <d v="1899-12-30T00:00:00"/>
  </r>
  <r>
    <x v="19"/>
    <x v="19"/>
    <x v="0"/>
    <x v="114"/>
    <x v="0"/>
    <d v="1899-12-30T07:06:46"/>
    <s v=""/>
    <e v="#N/A"/>
    <e v="#N/A"/>
  </r>
  <r>
    <x v="19"/>
    <x v="19"/>
    <x v="0"/>
    <x v="114"/>
    <x v="0"/>
    <s v=""/>
    <d v="1899-12-30T15:04:57"/>
    <d v="1899-12-30T00:00:00"/>
    <d v="1899-12-30T00:00:00"/>
  </r>
  <r>
    <x v="19"/>
    <x v="19"/>
    <x v="1"/>
    <x v="115"/>
    <x v="0"/>
    <d v="1899-12-30T07:05:15"/>
    <s v=""/>
    <e v="#N/A"/>
    <e v="#N/A"/>
  </r>
  <r>
    <x v="19"/>
    <x v="19"/>
    <x v="1"/>
    <x v="115"/>
    <x v="0"/>
    <s v=""/>
    <d v="1899-12-30T15:02:23"/>
    <d v="1899-12-30T00:00:00"/>
    <d v="1899-12-30T00:00:00"/>
  </r>
  <r>
    <x v="19"/>
    <x v="19"/>
    <x v="2"/>
    <x v="116"/>
    <x v="0"/>
    <d v="1899-12-30T07:05:03"/>
    <s v=""/>
    <e v="#N/A"/>
    <e v="#N/A"/>
  </r>
  <r>
    <x v="19"/>
    <x v="19"/>
    <x v="2"/>
    <x v="116"/>
    <x v="0"/>
    <s v=""/>
    <d v="1899-12-30T15:21:00"/>
    <d v="1899-12-30T00:00:00"/>
    <d v="1899-12-30T00:00:00"/>
  </r>
  <r>
    <x v="19"/>
    <x v="19"/>
    <x v="3"/>
    <x v="117"/>
    <x v="0"/>
    <d v="1899-12-30T07:04:10"/>
    <s v=""/>
    <e v="#N/A"/>
    <e v="#N/A"/>
  </r>
  <r>
    <x v="19"/>
    <x v="19"/>
    <x v="3"/>
    <x v="117"/>
    <x v="0"/>
    <s v=""/>
    <d v="1899-12-30T15:09:47"/>
    <d v="1899-12-30T00:00:00"/>
    <d v="1899-12-30T00:00:00"/>
  </r>
  <r>
    <x v="19"/>
    <x v="19"/>
    <x v="4"/>
    <x v="118"/>
    <x v="0"/>
    <s v=""/>
    <d v="1899-12-30T15:08:36"/>
    <e v="#N/A"/>
    <e v="#N/A"/>
  </r>
  <r>
    <x v="19"/>
    <x v="19"/>
    <x v="4"/>
    <x v="118"/>
    <x v="0"/>
    <d v="1899-12-30T07:05:33"/>
    <s v=""/>
    <d v="1899-12-30T00:00:00"/>
    <d v="1899-12-30T00:00:00"/>
  </r>
  <r>
    <x v="19"/>
    <x v="19"/>
    <x v="5"/>
    <x v="119"/>
    <x v="0"/>
    <d v="1899-12-30T07:03:29"/>
    <s v=""/>
    <e v="#N/A"/>
    <e v="#N/A"/>
  </r>
  <r>
    <x v="19"/>
    <x v="19"/>
    <x v="5"/>
    <x v="119"/>
    <x v="0"/>
    <s v=""/>
    <d v="1899-12-30T15:01:58"/>
    <d v="1899-12-30T00:00:00"/>
    <d v="1899-12-30T00:00:00"/>
  </r>
  <r>
    <x v="20"/>
    <x v="20"/>
    <x v="0"/>
    <x v="120"/>
    <x v="0"/>
    <d v="1899-12-30T14:36:50"/>
    <s v=""/>
    <e v="#N/A"/>
    <e v="#N/A"/>
  </r>
  <r>
    <x v="20"/>
    <x v="20"/>
    <x v="0"/>
    <x v="120"/>
    <x v="0"/>
    <s v=""/>
    <d v="1899-12-30T22:34:47"/>
    <d v="1899-12-30T00:00:00"/>
    <d v="1899-12-30T00:00:00"/>
  </r>
  <r>
    <x v="20"/>
    <x v="20"/>
    <x v="1"/>
    <x v="121"/>
    <x v="0"/>
    <d v="1899-12-30T14:31:07"/>
    <s v=""/>
    <e v="#N/A"/>
    <e v="#N/A"/>
  </r>
  <r>
    <x v="20"/>
    <x v="20"/>
    <x v="1"/>
    <x v="121"/>
    <x v="0"/>
    <s v=""/>
    <d v="1899-12-30T22:27:20"/>
    <d v="1899-12-30T00:00:00"/>
    <d v="1899-12-30T00:00:00"/>
  </r>
  <r>
    <x v="20"/>
    <x v="20"/>
    <x v="2"/>
    <x v="122"/>
    <x v="0"/>
    <d v="1899-12-30T14:34:08"/>
    <s v=""/>
    <e v="#N/A"/>
    <e v="#N/A"/>
  </r>
  <r>
    <x v="20"/>
    <x v="20"/>
    <x v="2"/>
    <x v="122"/>
    <x v="0"/>
    <s v=""/>
    <d v="1899-12-30T22:31:17"/>
    <d v="1899-12-30T00:00:00"/>
    <d v="1899-12-30T00:00:00"/>
  </r>
  <r>
    <x v="20"/>
    <x v="20"/>
    <x v="3"/>
    <x v="123"/>
    <x v="0"/>
    <d v="1899-12-30T14:33:52"/>
    <s v=""/>
    <e v="#N/A"/>
    <e v="#N/A"/>
  </r>
  <r>
    <x v="20"/>
    <x v="20"/>
    <x v="3"/>
    <x v="123"/>
    <x v="0"/>
    <s v=""/>
    <d v="1899-12-30T22:36:24"/>
    <d v="1899-12-30T00:00:00"/>
    <d v="1899-12-30T00:00:00"/>
  </r>
  <r>
    <x v="20"/>
    <x v="20"/>
    <x v="4"/>
    <x v="124"/>
    <x v="0"/>
    <s v=""/>
    <d v="1899-12-30T22:34:46"/>
    <e v="#N/A"/>
    <e v="#N/A"/>
  </r>
  <r>
    <x v="20"/>
    <x v="20"/>
    <x v="4"/>
    <x v="124"/>
    <x v="0"/>
    <d v="1899-12-30T14:32:18"/>
    <s v=""/>
    <d v="1899-12-30T00:00:00"/>
    <d v="1899-12-30T00:00:00"/>
  </r>
  <r>
    <x v="20"/>
    <x v="20"/>
    <x v="5"/>
    <x v="125"/>
    <x v="0"/>
    <d v="1899-12-30T14:42:18"/>
    <s v=""/>
    <e v="#N/A"/>
    <e v="#N/A"/>
  </r>
  <r>
    <x v="20"/>
    <x v="20"/>
    <x v="5"/>
    <x v="125"/>
    <x v="0"/>
    <s v=""/>
    <d v="1899-12-30T22:34:52"/>
    <d v="1899-12-30T00:00:00"/>
    <d v="1899-12-30T00:00:00"/>
  </r>
  <r>
    <x v="21"/>
    <x v="21"/>
    <x v="0"/>
    <x v="126"/>
    <x v="0"/>
    <d v="1899-12-30T07:25:15"/>
    <s v=""/>
    <e v="#N/A"/>
    <e v="#N/A"/>
  </r>
  <r>
    <x v="21"/>
    <x v="21"/>
    <x v="0"/>
    <x v="126"/>
    <x v="0"/>
    <s v=""/>
    <d v="1899-12-30T15:24:00"/>
    <d v="1899-12-30T00:00:00"/>
    <d v="1899-12-30T00:00:00"/>
  </r>
  <r>
    <x v="21"/>
    <x v="21"/>
    <x v="1"/>
    <x v="127"/>
    <x v="0"/>
    <d v="1899-12-30T07:10:03"/>
    <s v=""/>
    <e v="#N/A"/>
    <e v="#N/A"/>
  </r>
  <r>
    <x v="21"/>
    <x v="21"/>
    <x v="1"/>
    <x v="127"/>
    <x v="0"/>
    <s v=""/>
    <d v="1899-12-30T15:22:38"/>
    <d v="1899-12-30T00:00:00"/>
    <d v="1899-12-30T00:00:00"/>
  </r>
  <r>
    <x v="21"/>
    <x v="21"/>
    <x v="2"/>
    <x v="128"/>
    <x v="0"/>
    <d v="1899-12-30T07:17:29"/>
    <s v=""/>
    <e v="#N/A"/>
    <e v="#N/A"/>
  </r>
  <r>
    <x v="21"/>
    <x v="21"/>
    <x v="2"/>
    <x v="128"/>
    <x v="0"/>
    <s v=""/>
    <d v="1899-12-30T15:24:01"/>
    <d v="1899-12-30T00:00:00"/>
    <d v="1899-12-30T00:00:00"/>
  </r>
  <r>
    <x v="21"/>
    <x v="21"/>
    <x v="3"/>
    <x v="129"/>
    <x v="0"/>
    <d v="1899-12-30T07:35:07"/>
    <s v=""/>
    <e v="#N/A"/>
    <e v="#N/A"/>
  </r>
  <r>
    <x v="21"/>
    <x v="21"/>
    <x v="3"/>
    <x v="129"/>
    <x v="0"/>
    <s v=""/>
    <d v="1899-12-30T15:19:13"/>
    <d v="1899-12-30T00:00:00"/>
    <d v="1899-12-30T00:00:00"/>
  </r>
  <r>
    <x v="21"/>
    <x v="21"/>
    <x v="4"/>
    <x v="130"/>
    <x v="0"/>
    <s v=""/>
    <d v="1899-12-30T15:25:11"/>
    <e v="#N/A"/>
    <e v="#N/A"/>
  </r>
  <r>
    <x v="21"/>
    <x v="21"/>
    <x v="4"/>
    <x v="130"/>
    <x v="0"/>
    <d v="1899-12-30T07:19:32"/>
    <s v=""/>
    <d v="1899-12-30T00:00:00"/>
    <d v="1899-12-30T00:00:00"/>
  </r>
  <r>
    <x v="21"/>
    <x v="21"/>
    <x v="5"/>
    <x v="131"/>
    <x v="0"/>
    <d v="1899-12-30T08:25:22"/>
    <s v=""/>
    <e v="#N/A"/>
    <e v="#N/A"/>
  </r>
  <r>
    <x v="21"/>
    <x v="21"/>
    <x v="5"/>
    <x v="131"/>
    <x v="0"/>
    <s v=""/>
    <d v="1899-12-30T15:33:30"/>
    <d v="1899-12-30T00:00:00"/>
    <d v="1899-12-30T00:00:00"/>
  </r>
  <r>
    <x v="22"/>
    <x v="22"/>
    <x v="0"/>
    <x v="132"/>
    <x v="0"/>
    <d v="1899-12-30T07:35:56"/>
    <s v=""/>
    <e v="#N/A"/>
    <e v="#N/A"/>
  </r>
  <r>
    <x v="22"/>
    <x v="22"/>
    <x v="0"/>
    <x v="132"/>
    <x v="0"/>
    <s v=""/>
    <d v="1899-12-30T15:16:10"/>
    <d v="1899-12-30T00:00:00"/>
    <d v="1899-12-30T00:00:00"/>
  </r>
  <r>
    <x v="22"/>
    <x v="22"/>
    <x v="1"/>
    <x v="133"/>
    <x v="0"/>
    <d v="1899-12-30T07:23:58"/>
    <s v=""/>
    <e v="#N/A"/>
    <e v="#N/A"/>
  </r>
  <r>
    <x v="22"/>
    <x v="22"/>
    <x v="1"/>
    <x v="133"/>
    <x v="0"/>
    <s v=""/>
    <d v="1899-12-30T15:13:29"/>
    <d v="1899-12-30T00:00:00"/>
    <d v="1899-12-30T00:00:00"/>
  </r>
  <r>
    <x v="22"/>
    <x v="22"/>
    <x v="2"/>
    <x v="134"/>
    <x v="0"/>
    <d v="1899-12-30T07:04:04"/>
    <s v=""/>
    <e v="#N/A"/>
    <e v="#N/A"/>
  </r>
  <r>
    <x v="22"/>
    <x v="22"/>
    <x v="2"/>
    <x v="134"/>
    <x v="0"/>
    <s v=""/>
    <d v="1899-12-30T15:14:15"/>
    <d v="1899-12-30T00:00:00"/>
    <d v="1899-12-30T00:00:00"/>
  </r>
  <r>
    <x v="22"/>
    <x v="22"/>
    <x v="3"/>
    <x v="135"/>
    <x v="0"/>
    <d v="1899-12-30T14:41:51"/>
    <s v=""/>
    <e v="#N/A"/>
    <e v="#N/A"/>
  </r>
  <r>
    <x v="22"/>
    <x v="22"/>
    <x v="3"/>
    <x v="135"/>
    <x v="0"/>
    <s v=""/>
    <d v="1899-12-30T22:38:04"/>
    <d v="1899-12-30T00:00:00"/>
    <d v="1899-12-30T00:00:00"/>
  </r>
  <r>
    <x v="22"/>
    <x v="22"/>
    <x v="4"/>
    <x v="136"/>
    <x v="0"/>
    <s v=""/>
    <d v="1899-12-30T15:06:36"/>
    <e v="#N/A"/>
    <e v="#N/A"/>
  </r>
  <r>
    <x v="22"/>
    <x v="22"/>
    <x v="4"/>
    <x v="136"/>
    <x v="0"/>
    <d v="1899-12-30T07:04:49"/>
    <s v=""/>
    <d v="1899-12-30T00:00:00"/>
    <d v="1899-12-30T00:00:00"/>
  </r>
  <r>
    <x v="23"/>
    <x v="23"/>
    <x v="0"/>
    <x v="137"/>
    <x v="0"/>
    <d v="1899-12-30T14:39:54"/>
    <s v=""/>
    <e v="#N/A"/>
    <e v="#N/A"/>
  </r>
  <r>
    <x v="23"/>
    <x v="23"/>
    <x v="0"/>
    <x v="137"/>
    <x v="0"/>
    <s v=""/>
    <d v="1899-12-30T22:39:18"/>
    <d v="1899-12-30T00:00:00"/>
    <d v="1899-12-30T00:00:00"/>
  </r>
  <r>
    <x v="23"/>
    <x v="23"/>
    <x v="1"/>
    <x v="138"/>
    <x v="0"/>
    <d v="1899-12-30T07:43:02"/>
    <s v=""/>
    <e v="#N/A"/>
    <e v="#N/A"/>
  </r>
  <r>
    <x v="23"/>
    <x v="23"/>
    <x v="1"/>
    <x v="138"/>
    <x v="0"/>
    <s v=""/>
    <d v="1899-12-30T15:12:52"/>
    <d v="1899-12-30T00:00:00"/>
    <d v="1899-12-30T00:00:00"/>
  </r>
  <r>
    <x v="23"/>
    <x v="23"/>
    <x v="2"/>
    <x v="139"/>
    <x v="0"/>
    <d v="1899-12-30T15:00:31"/>
    <s v=""/>
    <e v="#N/A"/>
    <e v="#N/A"/>
  </r>
  <r>
    <x v="23"/>
    <x v="23"/>
    <x v="2"/>
    <x v="139"/>
    <x v="0"/>
    <s v=""/>
    <d v="1899-12-30T22:36:39"/>
    <d v="1899-12-30T00:00:00"/>
    <d v="1899-12-30T00:00:00"/>
  </r>
  <r>
    <x v="23"/>
    <x v="23"/>
    <x v="3"/>
    <x v="140"/>
    <x v="0"/>
    <d v="1899-12-30T14:27:38"/>
    <s v=""/>
    <e v="#N/A"/>
    <e v="#N/A"/>
  </r>
  <r>
    <x v="23"/>
    <x v="23"/>
    <x v="3"/>
    <x v="140"/>
    <x v="0"/>
    <s v=""/>
    <d v="1899-12-30T22:41:09"/>
    <d v="1899-12-30T00:00:00"/>
    <d v="1899-12-30T00:00:00"/>
  </r>
  <r>
    <x v="23"/>
    <x v="23"/>
    <x v="4"/>
    <x v="141"/>
    <x v="0"/>
    <s v=""/>
    <d v="1899-12-30T15:21:04"/>
    <e v="#N/A"/>
    <e v="#N/A"/>
  </r>
  <r>
    <x v="23"/>
    <x v="23"/>
    <x v="4"/>
    <x v="141"/>
    <x v="0"/>
    <d v="1899-12-30T07:43:55"/>
    <s v=""/>
    <d v="1899-12-30T00:00:00"/>
    <d v="1899-12-30T00:00:00"/>
  </r>
  <r>
    <x v="23"/>
    <x v="23"/>
    <x v="5"/>
    <x v="142"/>
    <x v="0"/>
    <d v="1899-12-30T15:28:11"/>
    <s v=""/>
    <e v="#N/A"/>
    <e v="#N/A"/>
  </r>
  <r>
    <x v="23"/>
    <x v="23"/>
    <x v="5"/>
    <x v="142"/>
    <x v="0"/>
    <s v=""/>
    <d v="1899-12-30T22:30:03"/>
    <d v="1899-12-30T00:00:00"/>
    <d v="1899-12-30T00:00:00"/>
  </r>
  <r>
    <x v="24"/>
    <x v="24"/>
    <x v="0"/>
    <x v="143"/>
    <x v="3"/>
    <d v="1899-12-30T00:13:08"/>
    <s v=""/>
    <d v="1899-12-30T07:30:00"/>
    <d v="1899-12-30T07:30:00"/>
  </r>
  <r>
    <x v="24"/>
    <x v="24"/>
    <x v="0"/>
    <x v="143"/>
    <x v="3"/>
    <s v=""/>
    <d v="1899-12-30T07:57:14"/>
    <d v="1899-12-30T00:00:00"/>
    <d v="1899-12-30T00:00:00"/>
  </r>
  <r>
    <x v="24"/>
    <x v="24"/>
    <x v="0"/>
    <x v="144"/>
    <x v="3"/>
    <d v="1899-12-30T14:50:39"/>
    <s v=""/>
    <d v="1899-12-30T00:00:00"/>
    <d v="1899-12-30T00:00:00"/>
  </r>
  <r>
    <x v="24"/>
    <x v="24"/>
    <x v="0"/>
    <x v="144"/>
    <x v="3"/>
    <s v=""/>
    <d v="1899-12-30T22:37:07"/>
    <d v="1899-12-30T00:00:00"/>
    <d v="1899-12-30T00:00:00"/>
  </r>
  <r>
    <x v="24"/>
    <x v="24"/>
    <x v="1"/>
    <x v="145"/>
    <x v="3"/>
    <d v="1899-12-30T14:31:57"/>
    <s v=""/>
    <d v="1899-12-30T00:00:00"/>
    <d v="1899-12-30T07:30:00"/>
  </r>
  <r>
    <x v="24"/>
    <x v="24"/>
    <x v="1"/>
    <x v="145"/>
    <x v="3"/>
    <s v=""/>
    <d v="1899-12-30T22:37:40"/>
    <d v="1899-12-30T00:00:00"/>
    <d v="1899-12-30T00:00:00"/>
  </r>
  <r>
    <x v="24"/>
    <x v="24"/>
    <x v="2"/>
    <x v="146"/>
    <x v="3"/>
    <s v=""/>
    <d v="1899-12-30T22:38:19"/>
    <d v="1899-12-30T00:00:00"/>
    <d v="1899-12-30T07:30:00"/>
  </r>
  <r>
    <x v="24"/>
    <x v="24"/>
    <x v="2"/>
    <x v="146"/>
    <x v="3"/>
    <d v="1899-12-30T14:36:01"/>
    <s v=""/>
    <d v="1899-12-30T00:00:00"/>
    <d v="1899-12-30T00:00:00"/>
  </r>
  <r>
    <x v="24"/>
    <x v="24"/>
    <x v="3"/>
    <x v="147"/>
    <x v="3"/>
    <d v="1899-12-30T14:34:05"/>
    <s v=""/>
    <d v="1899-12-30T00:00:00"/>
    <d v="1899-12-30T07:30:00"/>
  </r>
  <r>
    <x v="24"/>
    <x v="24"/>
    <x v="3"/>
    <x v="147"/>
    <x v="3"/>
    <s v=""/>
    <d v="1899-12-30T22:41:41"/>
    <d v="1899-12-30T00:00:00"/>
    <d v="1899-12-30T00:00:00"/>
  </r>
  <r>
    <x v="24"/>
    <x v="24"/>
    <x v="4"/>
    <x v="148"/>
    <x v="3"/>
    <d v="1899-12-30T14:33:23"/>
    <s v=""/>
    <d v="1899-12-30T00:00:00"/>
    <d v="1899-12-30T07:30:00"/>
  </r>
  <r>
    <x v="24"/>
    <x v="24"/>
    <x v="4"/>
    <x v="148"/>
    <x v="3"/>
    <s v=""/>
    <d v="1899-12-30T22:45:27"/>
    <d v="1899-12-30T00:00:00"/>
    <d v="1899-12-30T00:00:00"/>
  </r>
  <r>
    <x v="24"/>
    <x v="24"/>
    <x v="5"/>
    <x v="149"/>
    <x v="3"/>
    <d v="1899-12-30T14:34:57"/>
    <s v=""/>
    <d v="1899-12-30T00:00:00"/>
    <d v="1899-12-30T07:30:00"/>
  </r>
  <r>
    <x v="24"/>
    <x v="24"/>
    <x v="5"/>
    <x v="149"/>
    <x v="3"/>
    <s v=""/>
    <d v="1899-12-30T15:47:37"/>
    <d v="1899-12-30T00:00:00"/>
    <d v="1899-12-30T00:00:00"/>
  </r>
  <r>
    <x v="25"/>
    <x v="25"/>
    <x v="0"/>
    <x v="150"/>
    <x v="0"/>
    <d v="1899-12-30T07:12:13"/>
    <s v=""/>
    <e v="#N/A"/>
    <e v="#N/A"/>
  </r>
  <r>
    <x v="25"/>
    <x v="25"/>
    <x v="0"/>
    <x v="150"/>
    <x v="0"/>
    <s v=""/>
    <d v="1899-12-30T17:27:32"/>
    <d v="1899-12-30T00:00:00"/>
    <d v="1899-12-30T00:00:00"/>
  </r>
  <r>
    <x v="25"/>
    <x v="25"/>
    <x v="1"/>
    <x v="151"/>
    <x v="0"/>
    <d v="1899-12-30T07:20:45"/>
    <s v=""/>
    <e v="#N/A"/>
    <e v="#N/A"/>
  </r>
  <r>
    <x v="25"/>
    <x v="25"/>
    <x v="1"/>
    <x v="151"/>
    <x v="0"/>
    <s v=""/>
    <d v="1899-12-30T17:25:53"/>
    <d v="1899-12-30T00:00:00"/>
    <d v="1899-12-30T00:00:00"/>
  </r>
  <r>
    <x v="25"/>
    <x v="25"/>
    <x v="2"/>
    <x v="152"/>
    <x v="0"/>
    <d v="1899-12-30T07:14:23"/>
    <s v=""/>
    <e v="#N/A"/>
    <e v="#N/A"/>
  </r>
  <r>
    <x v="25"/>
    <x v="25"/>
    <x v="2"/>
    <x v="152"/>
    <x v="0"/>
    <s v=""/>
    <d v="1899-12-30T17:35:55"/>
    <d v="1899-12-30T00:00:00"/>
    <d v="1899-12-30T00:00:00"/>
  </r>
  <r>
    <x v="25"/>
    <x v="25"/>
    <x v="3"/>
    <x v="153"/>
    <x v="0"/>
    <d v="1899-12-30T07:14:21"/>
    <s v=""/>
    <e v="#N/A"/>
    <e v="#N/A"/>
  </r>
  <r>
    <x v="25"/>
    <x v="25"/>
    <x v="3"/>
    <x v="153"/>
    <x v="0"/>
    <s v=""/>
    <d v="1899-12-30T18:20:56"/>
    <d v="1899-12-30T00:00:00"/>
    <d v="1899-12-30T00:00:00"/>
  </r>
  <r>
    <x v="25"/>
    <x v="25"/>
    <x v="4"/>
    <x v="154"/>
    <x v="0"/>
    <s v=""/>
    <d v="1899-12-30T17:20:10"/>
    <e v="#N/A"/>
    <e v="#N/A"/>
  </r>
  <r>
    <x v="25"/>
    <x v="25"/>
    <x v="4"/>
    <x v="154"/>
    <x v="0"/>
    <d v="1899-12-30T07:21:40"/>
    <s v=""/>
    <d v="1899-12-30T00:00:00"/>
    <d v="1899-12-30T00:00:00"/>
  </r>
  <r>
    <x v="26"/>
    <x v="26"/>
    <x v="0"/>
    <x v="155"/>
    <x v="0"/>
    <d v="1899-12-30T07:21:49"/>
    <s v=""/>
    <e v="#N/A"/>
    <e v="#N/A"/>
  </r>
  <r>
    <x v="26"/>
    <x v="26"/>
    <x v="0"/>
    <x v="155"/>
    <x v="0"/>
    <s v=""/>
    <d v="1899-12-30T15:08:55"/>
    <d v="1899-12-30T00:00:00"/>
    <d v="1899-12-30T00:00:00"/>
  </r>
  <r>
    <x v="26"/>
    <x v="26"/>
    <x v="1"/>
    <x v="156"/>
    <x v="0"/>
    <d v="1899-12-30T07:07:46"/>
    <s v=""/>
    <e v="#N/A"/>
    <e v="#N/A"/>
  </r>
  <r>
    <x v="26"/>
    <x v="26"/>
    <x v="1"/>
    <x v="156"/>
    <x v="0"/>
    <s v=""/>
    <d v="1899-12-30T15:14:34"/>
    <d v="1899-12-30T00:00:00"/>
    <d v="1899-12-30T00:00:00"/>
  </r>
  <r>
    <x v="26"/>
    <x v="26"/>
    <x v="2"/>
    <x v="157"/>
    <x v="0"/>
    <d v="1899-12-30T07:05:36"/>
    <s v=""/>
    <e v="#N/A"/>
    <e v="#N/A"/>
  </r>
  <r>
    <x v="26"/>
    <x v="26"/>
    <x v="2"/>
    <x v="157"/>
    <x v="0"/>
    <s v=""/>
    <d v="1899-12-30T15:13:53"/>
    <d v="1899-12-30T00:00:00"/>
    <d v="1899-12-30T00:00:00"/>
  </r>
  <r>
    <x v="26"/>
    <x v="26"/>
    <x v="3"/>
    <x v="158"/>
    <x v="0"/>
    <d v="1899-12-30T06:57:21"/>
    <s v=""/>
    <e v="#N/A"/>
    <e v="#N/A"/>
  </r>
  <r>
    <x v="26"/>
    <x v="26"/>
    <x v="3"/>
    <x v="158"/>
    <x v="0"/>
    <s v=""/>
    <d v="1899-12-30T15:06:36"/>
    <d v="1899-12-30T00:00:00"/>
    <d v="1899-12-30T00:00:00"/>
  </r>
  <r>
    <x v="26"/>
    <x v="26"/>
    <x v="4"/>
    <x v="159"/>
    <x v="0"/>
    <s v=""/>
    <d v="1899-12-30T15:20:07"/>
    <e v="#N/A"/>
    <e v="#N/A"/>
  </r>
  <r>
    <x v="26"/>
    <x v="26"/>
    <x v="4"/>
    <x v="159"/>
    <x v="0"/>
    <d v="1899-12-30T07:05:46"/>
    <s v=""/>
    <d v="1899-12-30T00:00:00"/>
    <d v="1899-12-30T00:00:00"/>
  </r>
  <r>
    <x v="26"/>
    <x v="26"/>
    <x v="5"/>
    <x v="160"/>
    <x v="0"/>
    <d v="1899-12-30T07:25:22"/>
    <s v=""/>
    <e v="#N/A"/>
    <e v="#N/A"/>
  </r>
  <r>
    <x v="26"/>
    <x v="26"/>
    <x v="5"/>
    <x v="160"/>
    <x v="0"/>
    <s v=""/>
    <d v="1899-12-30T15:14:12"/>
    <d v="1899-12-30T00:00:00"/>
    <d v="1899-12-30T00:00:00"/>
  </r>
  <r>
    <x v="27"/>
    <x v="27"/>
    <x v="0"/>
    <x v="161"/>
    <x v="0"/>
    <d v="1899-12-30T07:07:18"/>
    <s v=""/>
    <e v="#N/A"/>
    <e v="#N/A"/>
  </r>
  <r>
    <x v="27"/>
    <x v="27"/>
    <x v="0"/>
    <x v="161"/>
    <x v="0"/>
    <s v=""/>
    <d v="1899-12-30T15:16:44"/>
    <d v="1899-12-30T00:00:00"/>
    <d v="1899-12-30T00:00:00"/>
  </r>
  <r>
    <x v="27"/>
    <x v="27"/>
    <x v="1"/>
    <x v="162"/>
    <x v="0"/>
    <d v="1899-12-30T07:05:11"/>
    <s v=""/>
    <e v="#N/A"/>
    <e v="#N/A"/>
  </r>
  <r>
    <x v="27"/>
    <x v="27"/>
    <x v="1"/>
    <x v="162"/>
    <x v="0"/>
    <s v=""/>
    <d v="1899-12-30T15:16:11"/>
    <d v="1899-12-30T00:00:00"/>
    <d v="1899-12-30T00:00:00"/>
  </r>
  <r>
    <x v="27"/>
    <x v="27"/>
    <x v="2"/>
    <x v="163"/>
    <x v="0"/>
    <d v="1899-12-30T07:05:29"/>
    <s v=""/>
    <e v="#N/A"/>
    <e v="#N/A"/>
  </r>
  <r>
    <x v="27"/>
    <x v="27"/>
    <x v="2"/>
    <x v="163"/>
    <x v="0"/>
    <s v=""/>
    <d v="1899-12-30T15:20:14"/>
    <d v="1899-12-30T00:00:00"/>
    <d v="1899-12-30T00:00:00"/>
  </r>
  <r>
    <x v="27"/>
    <x v="27"/>
    <x v="3"/>
    <x v="164"/>
    <x v="0"/>
    <d v="1899-12-30T07:04:16"/>
    <s v=""/>
    <e v="#N/A"/>
    <e v="#N/A"/>
  </r>
  <r>
    <x v="27"/>
    <x v="27"/>
    <x v="3"/>
    <x v="164"/>
    <x v="0"/>
    <s v=""/>
    <d v="1899-12-30T15:16:51"/>
    <d v="1899-12-30T00:00:00"/>
    <d v="1899-12-30T00:00:00"/>
  </r>
  <r>
    <x v="27"/>
    <x v="27"/>
    <x v="4"/>
    <x v="165"/>
    <x v="0"/>
    <s v=""/>
    <d v="1899-12-30T15:22:07"/>
    <e v="#N/A"/>
    <e v="#N/A"/>
  </r>
  <r>
    <x v="27"/>
    <x v="27"/>
    <x v="4"/>
    <x v="165"/>
    <x v="0"/>
    <d v="1899-12-30T07:05:42"/>
    <s v=""/>
    <d v="1899-12-30T00:00:00"/>
    <d v="1899-12-30T00:00:00"/>
  </r>
  <r>
    <x v="27"/>
    <x v="27"/>
    <x v="5"/>
    <x v="166"/>
    <x v="0"/>
    <d v="1899-12-30T07:04:15"/>
    <s v=""/>
    <e v="#N/A"/>
    <e v="#N/A"/>
  </r>
  <r>
    <x v="27"/>
    <x v="27"/>
    <x v="5"/>
    <x v="166"/>
    <x v="0"/>
    <s v=""/>
    <d v="1899-12-30T15:22:12"/>
    <d v="1899-12-30T00:00:00"/>
    <d v="1899-12-30T00:00:00"/>
  </r>
  <r>
    <x v="28"/>
    <x v="28"/>
    <x v="0"/>
    <x v="167"/>
    <x v="0"/>
    <d v="1899-12-30T06:58:29"/>
    <s v=""/>
    <e v="#N/A"/>
    <e v="#N/A"/>
  </r>
  <r>
    <x v="28"/>
    <x v="28"/>
    <x v="0"/>
    <x v="167"/>
    <x v="0"/>
    <s v=""/>
    <d v="1899-12-30T15:10:11"/>
    <d v="1899-12-30T00:00:00"/>
    <d v="1899-12-30T00:00:00"/>
  </r>
  <r>
    <x v="28"/>
    <x v="28"/>
    <x v="1"/>
    <x v="168"/>
    <x v="0"/>
    <d v="1899-12-30T06:58:31"/>
    <s v=""/>
    <e v="#N/A"/>
    <e v="#N/A"/>
  </r>
  <r>
    <x v="28"/>
    <x v="28"/>
    <x v="1"/>
    <x v="168"/>
    <x v="0"/>
    <s v=""/>
    <d v="1899-12-30T15:13:13"/>
    <d v="1899-12-30T00:00:00"/>
    <d v="1899-12-30T00:00:00"/>
  </r>
  <r>
    <x v="28"/>
    <x v="28"/>
    <x v="2"/>
    <x v="169"/>
    <x v="0"/>
    <d v="1899-12-30T06:56:13"/>
    <s v=""/>
    <e v="#N/A"/>
    <e v="#N/A"/>
  </r>
  <r>
    <x v="28"/>
    <x v="28"/>
    <x v="2"/>
    <x v="169"/>
    <x v="0"/>
    <s v=""/>
    <d v="1899-12-30T15:15:33"/>
    <d v="1899-12-30T00:00:00"/>
    <d v="1899-12-30T00:00:00"/>
  </r>
  <r>
    <x v="28"/>
    <x v="28"/>
    <x v="3"/>
    <x v="170"/>
    <x v="0"/>
    <d v="1899-12-30T07:11:10"/>
    <s v=""/>
    <e v="#N/A"/>
    <e v="#N/A"/>
  </r>
  <r>
    <x v="28"/>
    <x v="28"/>
    <x v="3"/>
    <x v="170"/>
    <x v="0"/>
    <s v=""/>
    <d v="1899-12-30T15:11:12"/>
    <d v="1899-12-30T00:00:00"/>
    <d v="1899-12-30T00:00:00"/>
  </r>
  <r>
    <x v="28"/>
    <x v="28"/>
    <x v="4"/>
    <x v="171"/>
    <x v="0"/>
    <s v=""/>
    <d v="1899-12-30T15:16:16"/>
    <e v="#N/A"/>
    <e v="#N/A"/>
  </r>
  <r>
    <x v="28"/>
    <x v="28"/>
    <x v="4"/>
    <x v="171"/>
    <x v="0"/>
    <d v="1899-12-30T07:02:34"/>
    <s v=""/>
    <d v="1899-12-30T00:00:00"/>
    <d v="1899-12-30T00:00:00"/>
  </r>
  <r>
    <x v="28"/>
    <x v="28"/>
    <x v="5"/>
    <x v="172"/>
    <x v="0"/>
    <d v="1899-12-30T06:59:57"/>
    <s v=""/>
    <e v="#N/A"/>
    <e v="#N/A"/>
  </r>
  <r>
    <x v="28"/>
    <x v="28"/>
    <x v="5"/>
    <x v="172"/>
    <x v="0"/>
    <s v=""/>
    <d v="1899-12-30T15:17:58"/>
    <d v="1899-12-30T00:00:00"/>
    <d v="1899-12-30T00:00:00"/>
  </r>
  <r>
    <x v="29"/>
    <x v="29"/>
    <x v="0"/>
    <x v="173"/>
    <x v="0"/>
    <d v="1899-12-30T14:34:31"/>
    <s v=""/>
    <e v="#N/A"/>
    <e v="#N/A"/>
  </r>
  <r>
    <x v="29"/>
    <x v="29"/>
    <x v="0"/>
    <x v="173"/>
    <x v="0"/>
    <s v=""/>
    <d v="1899-12-30T22:41:48"/>
    <d v="1899-12-30T00:00:00"/>
    <d v="1899-12-30T00:00:00"/>
  </r>
  <r>
    <x v="29"/>
    <x v="29"/>
    <x v="1"/>
    <x v="174"/>
    <x v="0"/>
    <d v="1899-12-30T14:33:42"/>
    <s v=""/>
    <e v="#N/A"/>
    <e v="#N/A"/>
  </r>
  <r>
    <x v="29"/>
    <x v="29"/>
    <x v="1"/>
    <x v="174"/>
    <x v="0"/>
    <s v=""/>
    <d v="1899-12-30T22:43:51"/>
    <d v="1899-12-30T00:00:00"/>
    <d v="1899-12-30T00:00:00"/>
  </r>
  <r>
    <x v="29"/>
    <x v="29"/>
    <x v="2"/>
    <x v="175"/>
    <x v="0"/>
    <d v="1899-12-30T15:02:33"/>
    <s v=""/>
    <e v="#N/A"/>
    <e v="#N/A"/>
  </r>
  <r>
    <x v="29"/>
    <x v="29"/>
    <x v="2"/>
    <x v="175"/>
    <x v="0"/>
    <s v=""/>
    <d v="1899-12-30T22:42:45"/>
    <d v="1899-12-30T00:00:00"/>
    <d v="1899-12-30T00:00:00"/>
  </r>
  <r>
    <x v="29"/>
    <x v="29"/>
    <x v="3"/>
    <x v="176"/>
    <x v="0"/>
    <d v="1899-12-30T14:35:14"/>
    <s v=""/>
    <e v="#N/A"/>
    <e v="#N/A"/>
  </r>
  <r>
    <x v="29"/>
    <x v="29"/>
    <x v="3"/>
    <x v="176"/>
    <x v="0"/>
    <s v=""/>
    <d v="1899-12-30T22:49:17"/>
    <d v="1899-12-30T00:00:00"/>
    <d v="1899-12-30T00:00:00"/>
  </r>
  <r>
    <x v="29"/>
    <x v="29"/>
    <x v="4"/>
    <x v="177"/>
    <x v="0"/>
    <s v=""/>
    <d v="1899-12-30T22:43:59"/>
    <e v="#N/A"/>
    <e v="#N/A"/>
  </r>
  <r>
    <x v="29"/>
    <x v="29"/>
    <x v="4"/>
    <x v="177"/>
    <x v="0"/>
    <d v="1899-12-30T14:37:09"/>
    <s v=""/>
    <d v="1899-12-30T00:00:00"/>
    <d v="1899-12-30T00:00:00"/>
  </r>
  <r>
    <x v="30"/>
    <x v="30"/>
    <x v="0"/>
    <x v="178"/>
    <x v="0"/>
    <d v="1899-12-30T14:44:42"/>
    <s v=""/>
    <e v="#N/A"/>
    <e v="#N/A"/>
  </r>
  <r>
    <x v="30"/>
    <x v="30"/>
    <x v="0"/>
    <x v="178"/>
    <x v="0"/>
    <s v=""/>
    <d v="1899-12-30T22:30:32"/>
    <d v="1899-12-30T00:00:00"/>
    <d v="1899-12-30T00:00:00"/>
  </r>
  <r>
    <x v="30"/>
    <x v="30"/>
    <x v="1"/>
    <x v="179"/>
    <x v="0"/>
    <d v="1899-12-30T14:48:37"/>
    <s v=""/>
    <e v="#N/A"/>
    <e v="#N/A"/>
  </r>
  <r>
    <x v="30"/>
    <x v="30"/>
    <x v="1"/>
    <x v="179"/>
    <x v="0"/>
    <s v=""/>
    <d v="1899-12-30T22:27:33"/>
    <d v="1899-12-30T00:00:00"/>
    <d v="1899-12-30T00:00:00"/>
  </r>
  <r>
    <x v="30"/>
    <x v="30"/>
    <x v="2"/>
    <x v="180"/>
    <x v="0"/>
    <d v="1899-12-30T14:50:47"/>
    <s v=""/>
    <e v="#N/A"/>
    <e v="#N/A"/>
  </r>
  <r>
    <x v="30"/>
    <x v="30"/>
    <x v="2"/>
    <x v="180"/>
    <x v="0"/>
    <s v=""/>
    <d v="1899-12-30T22:25:04"/>
    <d v="1899-12-30T00:00:00"/>
    <d v="1899-12-30T00:00:00"/>
  </r>
  <r>
    <x v="30"/>
    <x v="30"/>
    <x v="3"/>
    <x v="181"/>
    <x v="0"/>
    <d v="1899-12-30T14:52:40"/>
    <s v=""/>
    <e v="#N/A"/>
    <e v="#N/A"/>
  </r>
  <r>
    <x v="30"/>
    <x v="30"/>
    <x v="3"/>
    <x v="181"/>
    <x v="0"/>
    <s v=""/>
    <d v="1899-12-30T22:27:17"/>
    <d v="1899-12-30T00:00:00"/>
    <d v="1899-12-30T00:00:00"/>
  </r>
  <r>
    <x v="30"/>
    <x v="30"/>
    <x v="4"/>
    <x v="182"/>
    <x v="0"/>
    <s v=""/>
    <d v="1899-12-30T22:25:42"/>
    <e v="#N/A"/>
    <e v="#N/A"/>
  </r>
  <r>
    <x v="30"/>
    <x v="30"/>
    <x v="4"/>
    <x v="182"/>
    <x v="0"/>
    <d v="1899-12-30T14:51:16"/>
    <s v=""/>
    <d v="1899-12-30T00:00:00"/>
    <d v="1899-12-30T00:00:00"/>
  </r>
  <r>
    <x v="30"/>
    <x v="30"/>
    <x v="5"/>
    <x v="183"/>
    <x v="0"/>
    <d v="1899-12-30T14:49:44"/>
    <s v=""/>
    <e v="#N/A"/>
    <e v="#N/A"/>
  </r>
  <r>
    <x v="30"/>
    <x v="30"/>
    <x v="5"/>
    <x v="183"/>
    <x v="0"/>
    <s v=""/>
    <d v="1899-12-30T22:25:32"/>
    <d v="1899-12-30T00:00:00"/>
    <d v="1899-12-30T00:00:00"/>
  </r>
  <r>
    <x v="31"/>
    <x v="31"/>
    <x v="0"/>
    <x v="184"/>
    <x v="0"/>
    <d v="1899-12-30T22:06:38"/>
    <s v=""/>
    <e v="#N/A"/>
    <e v="#N/A"/>
  </r>
  <r>
    <x v="31"/>
    <x v="31"/>
    <x v="1"/>
    <x v="185"/>
    <x v="0"/>
    <s v=""/>
    <d v="1899-12-30T07:47:30"/>
    <e v="#N/A"/>
    <e v="#N/A"/>
  </r>
  <r>
    <x v="31"/>
    <x v="31"/>
    <x v="1"/>
    <x v="185"/>
    <x v="0"/>
    <d v="1899-12-30T22:03:21"/>
    <s v=""/>
    <d v="1899-12-30T00:00:00"/>
    <d v="1899-12-30T00:00:00"/>
  </r>
  <r>
    <x v="31"/>
    <x v="31"/>
    <x v="2"/>
    <x v="186"/>
    <x v="0"/>
    <s v=""/>
    <d v="1899-12-30T07:48:04"/>
    <e v="#N/A"/>
    <e v="#N/A"/>
  </r>
  <r>
    <x v="31"/>
    <x v="31"/>
    <x v="2"/>
    <x v="186"/>
    <x v="0"/>
    <d v="1899-12-30T22:06:43"/>
    <s v=""/>
    <d v="1899-12-30T00:00:00"/>
    <d v="1899-12-30T00:00:00"/>
  </r>
  <r>
    <x v="31"/>
    <x v="31"/>
    <x v="3"/>
    <x v="187"/>
    <x v="0"/>
    <s v=""/>
    <d v="1899-12-30T07:50:03"/>
    <e v="#N/A"/>
    <e v="#N/A"/>
  </r>
  <r>
    <x v="31"/>
    <x v="31"/>
    <x v="3"/>
    <x v="187"/>
    <x v="0"/>
    <d v="1899-12-30T22:04:56"/>
    <s v=""/>
    <d v="1899-12-30T00:00:00"/>
    <d v="1899-12-30T00:00:00"/>
  </r>
  <r>
    <x v="31"/>
    <x v="31"/>
    <x v="4"/>
    <x v="188"/>
    <x v="0"/>
    <d v="1899-12-30T22:04:54"/>
    <s v=""/>
    <e v="#N/A"/>
    <e v="#N/A"/>
  </r>
  <r>
    <x v="31"/>
    <x v="31"/>
    <x v="4"/>
    <x v="188"/>
    <x v="0"/>
    <s v=""/>
    <d v="1899-12-30T07:49:46"/>
    <d v="1899-12-30T00:00:00"/>
    <d v="1899-12-30T00:00:00"/>
  </r>
  <r>
    <x v="31"/>
    <x v="31"/>
    <x v="5"/>
    <x v="189"/>
    <x v="0"/>
    <s v=""/>
    <d v="1899-12-30T07:50:37"/>
    <e v="#N/A"/>
    <e v="#N/A"/>
  </r>
  <r>
    <x v="32"/>
    <x v="32"/>
    <x v="0"/>
    <x v="190"/>
    <x v="0"/>
    <d v="1899-12-30T14:33:14"/>
    <s v=""/>
    <e v="#N/A"/>
    <e v="#N/A"/>
  </r>
  <r>
    <x v="32"/>
    <x v="32"/>
    <x v="0"/>
    <x v="190"/>
    <x v="0"/>
    <s v=""/>
    <d v="1899-12-30T22:43:41"/>
    <d v="1899-12-30T00:00:00"/>
    <d v="1899-12-30T00:00:00"/>
  </r>
  <r>
    <x v="32"/>
    <x v="32"/>
    <x v="1"/>
    <x v="191"/>
    <x v="0"/>
    <d v="1899-12-30T14:33:06"/>
    <s v=""/>
    <e v="#N/A"/>
    <e v="#N/A"/>
  </r>
  <r>
    <x v="32"/>
    <x v="32"/>
    <x v="1"/>
    <x v="191"/>
    <x v="0"/>
    <s v=""/>
    <d v="1899-12-30T22:41:59"/>
    <d v="1899-12-30T00:00:00"/>
    <d v="1899-12-30T00:00:00"/>
  </r>
  <r>
    <x v="32"/>
    <x v="32"/>
    <x v="2"/>
    <x v="192"/>
    <x v="0"/>
    <d v="1899-12-30T14:36:18"/>
    <s v=""/>
    <e v="#N/A"/>
    <e v="#N/A"/>
  </r>
  <r>
    <x v="32"/>
    <x v="32"/>
    <x v="2"/>
    <x v="192"/>
    <x v="0"/>
    <s v=""/>
    <d v="1899-12-30T22:43:20"/>
    <d v="1899-12-30T00:00:00"/>
    <d v="1899-12-30T00:00:00"/>
  </r>
  <r>
    <x v="32"/>
    <x v="32"/>
    <x v="3"/>
    <x v="193"/>
    <x v="0"/>
    <d v="1899-12-30T14:33:28"/>
    <s v=""/>
    <e v="#N/A"/>
    <e v="#N/A"/>
  </r>
  <r>
    <x v="32"/>
    <x v="32"/>
    <x v="3"/>
    <x v="193"/>
    <x v="0"/>
    <s v=""/>
    <d v="1899-12-30T22:46:37"/>
    <d v="1899-12-30T00:00:00"/>
    <d v="1899-12-30T00:00:00"/>
  </r>
  <r>
    <x v="32"/>
    <x v="32"/>
    <x v="4"/>
    <x v="194"/>
    <x v="0"/>
    <d v="1899-12-30T14:36:56"/>
    <s v=""/>
    <e v="#N/A"/>
    <e v="#N/A"/>
  </r>
  <r>
    <x v="32"/>
    <x v="32"/>
    <x v="4"/>
    <x v="194"/>
    <x v="0"/>
    <s v=""/>
    <d v="1899-12-30T22:44:04"/>
    <d v="1899-12-30T00:00:00"/>
    <d v="1899-12-30T00:00:00"/>
  </r>
  <r>
    <x v="32"/>
    <x v="32"/>
    <x v="5"/>
    <x v="195"/>
    <x v="0"/>
    <s v=""/>
    <d v="1899-12-30T22:48:09"/>
    <e v="#N/A"/>
    <e v="#N/A"/>
  </r>
  <r>
    <x v="32"/>
    <x v="32"/>
    <x v="5"/>
    <x v="195"/>
    <x v="0"/>
    <d v="1899-12-30T14:48:18"/>
    <s v=""/>
    <d v="1899-12-30T00:00:00"/>
    <d v="1899-12-30T00:00:00"/>
  </r>
  <r>
    <x v="33"/>
    <x v="33"/>
    <x v="0"/>
    <x v="196"/>
    <x v="0"/>
    <d v="1899-12-30T21:59:12"/>
    <s v=""/>
    <e v="#N/A"/>
    <e v="#N/A"/>
  </r>
  <r>
    <x v="33"/>
    <x v="33"/>
    <x v="1"/>
    <x v="197"/>
    <x v="0"/>
    <s v=""/>
    <d v="1899-12-30T07:35:37"/>
    <e v="#N/A"/>
    <e v="#N/A"/>
  </r>
  <r>
    <x v="33"/>
    <x v="33"/>
    <x v="1"/>
    <x v="197"/>
    <x v="0"/>
    <d v="1899-12-30T21:54:56"/>
    <s v=""/>
    <d v="1899-12-30T00:00:00"/>
    <d v="1899-12-30T00:00:00"/>
  </r>
  <r>
    <x v="33"/>
    <x v="33"/>
    <x v="2"/>
    <x v="198"/>
    <x v="0"/>
    <s v=""/>
    <d v="1899-12-30T07:36:18"/>
    <e v="#N/A"/>
    <e v="#N/A"/>
  </r>
  <r>
    <x v="33"/>
    <x v="33"/>
    <x v="2"/>
    <x v="198"/>
    <x v="0"/>
    <d v="1899-12-30T21:54:23"/>
    <s v=""/>
    <d v="1899-12-30T00:00:00"/>
    <d v="1899-12-30T00:00:00"/>
  </r>
  <r>
    <x v="33"/>
    <x v="33"/>
    <x v="3"/>
    <x v="199"/>
    <x v="0"/>
    <s v=""/>
    <d v="1899-12-30T07:41:22"/>
    <e v="#N/A"/>
    <e v="#N/A"/>
  </r>
  <r>
    <x v="33"/>
    <x v="33"/>
    <x v="3"/>
    <x v="199"/>
    <x v="0"/>
    <d v="1899-12-30T21:56:42"/>
    <s v=""/>
    <d v="1899-12-30T00:00:00"/>
    <d v="1899-12-30T00:00:00"/>
  </r>
  <r>
    <x v="33"/>
    <x v="33"/>
    <x v="4"/>
    <x v="200"/>
    <x v="0"/>
    <d v="1899-12-30T22:01:08"/>
    <s v=""/>
    <e v="#N/A"/>
    <e v="#N/A"/>
  </r>
  <r>
    <x v="33"/>
    <x v="33"/>
    <x v="4"/>
    <x v="200"/>
    <x v="0"/>
    <s v=""/>
    <d v="1899-12-30T07:41:07"/>
    <d v="1899-12-30T00:00:00"/>
    <d v="1899-12-30T00:00:00"/>
  </r>
  <r>
    <x v="33"/>
    <x v="33"/>
    <x v="5"/>
    <x v="201"/>
    <x v="0"/>
    <s v=""/>
    <d v="1899-12-30T07:41:34"/>
    <e v="#N/A"/>
    <e v="#N/A"/>
  </r>
  <r>
    <x v="34"/>
    <x v="34"/>
    <x v="0"/>
    <x v="202"/>
    <x v="0"/>
    <d v="1899-12-30T14:34:07"/>
    <s v=""/>
    <e v="#N/A"/>
    <e v="#N/A"/>
  </r>
  <r>
    <x v="34"/>
    <x v="34"/>
    <x v="0"/>
    <x v="202"/>
    <x v="0"/>
    <s v=""/>
    <d v="1899-12-30T22:50:39"/>
    <d v="1899-12-30T00:00:00"/>
    <d v="1899-12-30T00:00:00"/>
  </r>
  <r>
    <x v="34"/>
    <x v="34"/>
    <x v="1"/>
    <x v="203"/>
    <x v="0"/>
    <d v="1899-12-30T14:33:53"/>
    <s v=""/>
    <e v="#N/A"/>
    <e v="#N/A"/>
  </r>
  <r>
    <x v="34"/>
    <x v="34"/>
    <x v="1"/>
    <x v="203"/>
    <x v="0"/>
    <s v=""/>
    <d v="1899-12-30T22:45:37"/>
    <d v="1899-12-30T00:00:00"/>
    <d v="1899-12-30T00:00:00"/>
  </r>
  <r>
    <x v="34"/>
    <x v="34"/>
    <x v="2"/>
    <x v="204"/>
    <x v="0"/>
    <d v="1899-12-30T14:36:43"/>
    <s v=""/>
    <e v="#N/A"/>
    <e v="#N/A"/>
  </r>
  <r>
    <x v="34"/>
    <x v="34"/>
    <x v="2"/>
    <x v="204"/>
    <x v="0"/>
    <s v=""/>
    <d v="1899-12-30T22:44:10"/>
    <d v="1899-12-30T00:00:00"/>
    <d v="1899-12-30T00:00:00"/>
  </r>
  <r>
    <x v="34"/>
    <x v="34"/>
    <x v="3"/>
    <x v="205"/>
    <x v="0"/>
    <d v="1899-12-30T14:35:25"/>
    <s v=""/>
    <e v="#N/A"/>
    <e v="#N/A"/>
  </r>
  <r>
    <x v="34"/>
    <x v="34"/>
    <x v="3"/>
    <x v="205"/>
    <x v="0"/>
    <s v=""/>
    <d v="1899-12-30T22:44:11"/>
    <d v="1899-12-30T00:00:00"/>
    <d v="1899-12-30T00:00:00"/>
  </r>
  <r>
    <x v="34"/>
    <x v="34"/>
    <x v="4"/>
    <x v="206"/>
    <x v="0"/>
    <s v=""/>
    <d v="1899-12-30T22:47:12"/>
    <e v="#N/A"/>
    <e v="#N/A"/>
  </r>
  <r>
    <x v="34"/>
    <x v="34"/>
    <x v="4"/>
    <x v="206"/>
    <x v="0"/>
    <d v="1899-12-30T14:37:30"/>
    <s v=""/>
    <d v="1899-12-30T00:00:00"/>
    <d v="1899-12-30T00:00:00"/>
  </r>
  <r>
    <x v="34"/>
    <x v="34"/>
    <x v="5"/>
    <x v="207"/>
    <x v="0"/>
    <d v="1899-12-30T14:48:22"/>
    <s v=""/>
    <e v="#N/A"/>
    <e v="#N/A"/>
  </r>
  <r>
    <x v="34"/>
    <x v="34"/>
    <x v="5"/>
    <x v="207"/>
    <x v="0"/>
    <s v=""/>
    <d v="1899-12-30T22:45:25"/>
    <d v="1899-12-30T00:00:00"/>
    <d v="1899-12-30T00:00:00"/>
  </r>
  <r>
    <x v="35"/>
    <x v="35"/>
    <x v="0"/>
    <x v="208"/>
    <x v="0"/>
    <d v="1899-12-30T07:59:15"/>
    <s v=""/>
    <e v="#N/A"/>
    <e v="#N/A"/>
  </r>
  <r>
    <x v="35"/>
    <x v="35"/>
    <x v="0"/>
    <x v="208"/>
    <x v="0"/>
    <s v=""/>
    <d v="1899-12-30T15:12:40"/>
    <d v="1899-12-30T00:00:00"/>
    <d v="1899-12-30T00:00:00"/>
  </r>
  <r>
    <x v="35"/>
    <x v="35"/>
    <x v="1"/>
    <x v="209"/>
    <x v="0"/>
    <d v="1899-12-30T07:18:41"/>
    <s v=""/>
    <e v="#N/A"/>
    <e v="#N/A"/>
  </r>
  <r>
    <x v="35"/>
    <x v="35"/>
    <x v="1"/>
    <x v="209"/>
    <x v="0"/>
    <s v=""/>
    <d v="1899-12-30T15:02:29"/>
    <d v="1899-12-30T00:00:00"/>
    <d v="1899-12-30T00:00:00"/>
  </r>
  <r>
    <x v="35"/>
    <x v="35"/>
    <x v="2"/>
    <x v="210"/>
    <x v="0"/>
    <d v="1899-12-30T07:17:03"/>
    <s v=""/>
    <e v="#N/A"/>
    <e v="#N/A"/>
  </r>
  <r>
    <x v="35"/>
    <x v="35"/>
    <x v="2"/>
    <x v="210"/>
    <x v="0"/>
    <s v=""/>
    <d v="1899-12-30T15:21:48"/>
    <d v="1899-12-30T00:00:00"/>
    <d v="1899-12-30T00:00:00"/>
  </r>
  <r>
    <x v="35"/>
    <x v="35"/>
    <x v="3"/>
    <x v="211"/>
    <x v="0"/>
    <d v="1899-12-30T07:12:35"/>
    <s v=""/>
    <e v="#N/A"/>
    <e v="#N/A"/>
  </r>
  <r>
    <x v="35"/>
    <x v="35"/>
    <x v="3"/>
    <x v="211"/>
    <x v="0"/>
    <s v=""/>
    <d v="1899-12-30T15:16:13"/>
    <d v="1899-12-30T00:00:00"/>
    <d v="1899-12-30T00:00:00"/>
  </r>
  <r>
    <x v="35"/>
    <x v="35"/>
    <x v="4"/>
    <x v="212"/>
    <x v="0"/>
    <s v=""/>
    <d v="1899-12-30T15:08:07"/>
    <e v="#N/A"/>
    <e v="#N/A"/>
  </r>
  <r>
    <x v="35"/>
    <x v="35"/>
    <x v="4"/>
    <x v="212"/>
    <x v="0"/>
    <d v="1899-12-30T08:07:37"/>
    <s v=""/>
    <d v="1899-12-30T00:00:00"/>
    <d v="1899-12-30T00:00:00"/>
  </r>
  <r>
    <x v="35"/>
    <x v="35"/>
    <x v="5"/>
    <x v="213"/>
    <x v="0"/>
    <d v="1899-12-30T07:25:44"/>
    <s v=""/>
    <e v="#N/A"/>
    <e v="#N/A"/>
  </r>
  <r>
    <x v="35"/>
    <x v="35"/>
    <x v="5"/>
    <x v="213"/>
    <x v="0"/>
    <s v=""/>
    <d v="1899-12-30T15:03:50"/>
    <d v="1899-12-30T00:00:00"/>
    <d v="1899-12-30T00:00:00"/>
  </r>
  <r>
    <x v="36"/>
    <x v="36"/>
    <x v="0"/>
    <x v="214"/>
    <x v="0"/>
    <d v="1899-12-30T14:33:04"/>
    <s v=""/>
    <e v="#N/A"/>
    <e v="#N/A"/>
  </r>
  <r>
    <x v="36"/>
    <x v="36"/>
    <x v="0"/>
    <x v="214"/>
    <x v="0"/>
    <s v=""/>
    <d v="1899-12-30T22:46:53"/>
    <d v="1899-12-30T00:00:00"/>
    <d v="1899-12-30T00:00:00"/>
  </r>
  <r>
    <x v="36"/>
    <x v="36"/>
    <x v="1"/>
    <x v="215"/>
    <x v="0"/>
    <d v="1899-12-30T14:30:01"/>
    <s v=""/>
    <e v="#N/A"/>
    <e v="#N/A"/>
  </r>
  <r>
    <x v="36"/>
    <x v="36"/>
    <x v="1"/>
    <x v="215"/>
    <x v="0"/>
    <s v=""/>
    <d v="1899-12-30T22:45:49"/>
    <d v="1899-12-30T00:00:00"/>
    <d v="1899-12-30T00:00:00"/>
  </r>
  <r>
    <x v="36"/>
    <x v="36"/>
    <x v="2"/>
    <x v="216"/>
    <x v="0"/>
    <d v="1899-12-30T13:01:21"/>
    <s v=""/>
    <e v="#N/A"/>
    <e v="#N/A"/>
  </r>
  <r>
    <x v="36"/>
    <x v="36"/>
    <x v="2"/>
    <x v="216"/>
    <x v="0"/>
    <s v=""/>
    <d v="1899-12-30T22:47:57"/>
    <d v="1899-12-30T00:00:00"/>
    <d v="1899-12-30T00:00:00"/>
  </r>
  <r>
    <x v="36"/>
    <x v="36"/>
    <x v="3"/>
    <x v="217"/>
    <x v="0"/>
    <d v="1899-12-30T14:30:34"/>
    <s v=""/>
    <e v="#N/A"/>
    <e v="#N/A"/>
  </r>
  <r>
    <x v="36"/>
    <x v="36"/>
    <x v="3"/>
    <x v="217"/>
    <x v="0"/>
    <s v=""/>
    <d v="1899-12-30T22:48:09"/>
    <d v="1899-12-30T00:00:00"/>
    <d v="1899-12-30T00:00:00"/>
  </r>
  <r>
    <x v="36"/>
    <x v="36"/>
    <x v="4"/>
    <x v="218"/>
    <x v="0"/>
    <s v=""/>
    <d v="1899-12-30T22:48:07"/>
    <e v="#N/A"/>
    <e v="#N/A"/>
  </r>
  <r>
    <x v="36"/>
    <x v="36"/>
    <x v="4"/>
    <x v="218"/>
    <x v="0"/>
    <d v="1899-12-30T14:34:53"/>
    <s v=""/>
    <d v="1899-12-30T00:00:00"/>
    <d v="1899-12-30T00:00:00"/>
  </r>
  <r>
    <x v="36"/>
    <x v="36"/>
    <x v="5"/>
    <x v="219"/>
    <x v="0"/>
    <d v="1899-12-30T14:45:39"/>
    <s v=""/>
    <e v="#N/A"/>
    <e v="#N/A"/>
  </r>
  <r>
    <x v="36"/>
    <x v="36"/>
    <x v="5"/>
    <x v="219"/>
    <x v="0"/>
    <s v=""/>
    <d v="1899-12-30T22:55:13"/>
    <d v="1899-12-30T00:00:00"/>
    <d v="1899-12-30T00:00:00"/>
  </r>
  <r>
    <x v="37"/>
    <x v="37"/>
    <x v="1"/>
    <x v="220"/>
    <x v="0"/>
    <d v="1899-12-30T14:48:42"/>
    <s v=""/>
    <e v="#N/A"/>
    <e v="#N/A"/>
  </r>
  <r>
    <x v="37"/>
    <x v="37"/>
    <x v="1"/>
    <x v="220"/>
    <x v="0"/>
    <s v=""/>
    <d v="1899-12-30T22:27:40"/>
    <d v="1899-12-30T00:00:00"/>
    <d v="1899-12-30T00:00:00"/>
  </r>
  <r>
    <x v="37"/>
    <x v="37"/>
    <x v="2"/>
    <x v="221"/>
    <x v="0"/>
    <d v="1899-12-30T14:50:53"/>
    <s v=""/>
    <e v="#N/A"/>
    <e v="#N/A"/>
  </r>
  <r>
    <x v="37"/>
    <x v="37"/>
    <x v="2"/>
    <x v="221"/>
    <x v="0"/>
    <s v=""/>
    <d v="1899-12-30T22:25:23"/>
    <d v="1899-12-30T00:00:00"/>
    <d v="1899-12-30T00:00:00"/>
  </r>
  <r>
    <x v="37"/>
    <x v="37"/>
    <x v="3"/>
    <x v="222"/>
    <x v="0"/>
    <d v="1899-12-30T14:52:50"/>
    <s v=""/>
    <e v="#N/A"/>
    <e v="#N/A"/>
  </r>
  <r>
    <x v="37"/>
    <x v="37"/>
    <x v="3"/>
    <x v="222"/>
    <x v="0"/>
    <s v=""/>
    <d v="1899-12-30T22:27:25"/>
    <d v="1899-12-30T00:00:00"/>
    <d v="1899-12-30T00:00:00"/>
  </r>
  <r>
    <x v="37"/>
    <x v="37"/>
    <x v="4"/>
    <x v="223"/>
    <x v="0"/>
    <d v="1899-12-30T14:51:31"/>
    <s v=""/>
    <e v="#N/A"/>
    <e v="#N/A"/>
  </r>
  <r>
    <x v="37"/>
    <x v="37"/>
    <x v="4"/>
    <x v="223"/>
    <x v="0"/>
    <s v=""/>
    <d v="1899-12-30T22:25:56"/>
    <d v="1899-12-30T00:00:00"/>
    <d v="1899-12-30T00:00:00"/>
  </r>
  <r>
    <x v="37"/>
    <x v="37"/>
    <x v="5"/>
    <x v="224"/>
    <x v="0"/>
    <s v=""/>
    <d v="1899-12-30T22:25:43"/>
    <e v="#N/A"/>
    <e v="#N/A"/>
  </r>
  <r>
    <x v="37"/>
    <x v="37"/>
    <x v="5"/>
    <x v="224"/>
    <x v="0"/>
    <d v="1899-12-30T14:38:21"/>
    <s v=""/>
    <d v="1899-12-30T00:00:00"/>
    <d v="1899-12-30T00:00:00"/>
  </r>
  <r>
    <x v="38"/>
    <x v="38"/>
    <x v="0"/>
    <x v="225"/>
    <x v="0"/>
    <d v="1899-12-30T22:15:57"/>
    <s v=""/>
    <e v="#N/A"/>
    <e v="#N/A"/>
  </r>
  <r>
    <x v="38"/>
    <x v="38"/>
    <x v="1"/>
    <x v="226"/>
    <x v="0"/>
    <s v=""/>
    <d v="1899-12-30T07:35:30"/>
    <e v="#N/A"/>
    <e v="#N/A"/>
  </r>
  <r>
    <x v="38"/>
    <x v="38"/>
    <x v="1"/>
    <x v="226"/>
    <x v="0"/>
    <d v="1899-12-30T22:18:03"/>
    <s v=""/>
    <d v="1899-12-30T00:00:00"/>
    <d v="1899-12-30T00:00:00"/>
  </r>
  <r>
    <x v="38"/>
    <x v="38"/>
    <x v="2"/>
    <x v="227"/>
    <x v="0"/>
    <s v=""/>
    <d v="1899-12-30T07:35:45"/>
    <e v="#N/A"/>
    <e v="#N/A"/>
  </r>
  <r>
    <x v="38"/>
    <x v="38"/>
    <x v="2"/>
    <x v="227"/>
    <x v="0"/>
    <d v="1899-12-30T22:15:13"/>
    <s v=""/>
    <d v="1899-12-30T00:00:00"/>
    <d v="1899-12-30T00:00:00"/>
  </r>
  <r>
    <x v="38"/>
    <x v="38"/>
    <x v="3"/>
    <x v="228"/>
    <x v="0"/>
    <s v=""/>
    <d v="1899-12-30T07:33:39"/>
    <e v="#N/A"/>
    <e v="#N/A"/>
  </r>
  <r>
    <x v="38"/>
    <x v="38"/>
    <x v="3"/>
    <x v="228"/>
    <x v="0"/>
    <d v="1899-12-30T22:18:58"/>
    <s v=""/>
    <d v="1899-12-30T00:00:00"/>
    <d v="1899-12-30T00:00:00"/>
  </r>
  <r>
    <x v="38"/>
    <x v="38"/>
    <x v="4"/>
    <x v="229"/>
    <x v="0"/>
    <d v="1899-12-30T22:18:58"/>
    <s v=""/>
    <e v="#N/A"/>
    <e v="#N/A"/>
  </r>
  <r>
    <x v="38"/>
    <x v="38"/>
    <x v="4"/>
    <x v="229"/>
    <x v="0"/>
    <s v=""/>
    <d v="1899-12-30T07:37:50"/>
    <d v="1899-12-30T00:00:00"/>
    <d v="1899-12-30T00:00:00"/>
  </r>
  <r>
    <x v="38"/>
    <x v="38"/>
    <x v="5"/>
    <x v="230"/>
    <x v="0"/>
    <s v=""/>
    <d v="1899-12-30T07:36:08"/>
    <e v="#N/A"/>
    <e v="#N/A"/>
  </r>
  <r>
    <x v="39"/>
    <x v="39"/>
    <x v="0"/>
    <x v="231"/>
    <x v="0"/>
    <d v="1899-12-30T22:04:06"/>
    <s v=""/>
    <e v="#N/A"/>
    <e v="#N/A"/>
  </r>
  <r>
    <x v="39"/>
    <x v="39"/>
    <x v="1"/>
    <x v="232"/>
    <x v="0"/>
    <s v=""/>
    <d v="1899-12-30T07:47:12"/>
    <e v="#N/A"/>
    <e v="#N/A"/>
  </r>
  <r>
    <x v="39"/>
    <x v="39"/>
    <x v="1"/>
    <x v="232"/>
    <x v="0"/>
    <d v="1899-12-30T22:02:16"/>
    <s v=""/>
    <d v="1899-12-30T00:00:00"/>
    <d v="1899-12-30T00:00:00"/>
  </r>
  <r>
    <x v="39"/>
    <x v="39"/>
    <x v="2"/>
    <x v="233"/>
    <x v="0"/>
    <s v=""/>
    <d v="1899-12-30T07:49:34"/>
    <e v="#N/A"/>
    <e v="#N/A"/>
  </r>
  <r>
    <x v="39"/>
    <x v="39"/>
    <x v="2"/>
    <x v="233"/>
    <x v="0"/>
    <d v="1899-12-30T22:02:13"/>
    <s v=""/>
    <d v="1899-12-30T00:00:00"/>
    <d v="1899-12-30T00:00:00"/>
  </r>
  <r>
    <x v="39"/>
    <x v="39"/>
    <x v="3"/>
    <x v="234"/>
    <x v="0"/>
    <s v=""/>
    <d v="1899-12-30T07:51:49"/>
    <e v="#N/A"/>
    <e v="#N/A"/>
  </r>
  <r>
    <x v="39"/>
    <x v="39"/>
    <x v="3"/>
    <x v="234"/>
    <x v="0"/>
    <d v="1899-12-30T22:03:58"/>
    <s v=""/>
    <d v="1899-12-30T00:00:00"/>
    <d v="1899-12-30T00:00:00"/>
  </r>
  <r>
    <x v="39"/>
    <x v="39"/>
    <x v="3"/>
    <x v="235"/>
    <x v="0"/>
    <d v="1899-12-30T22:14:57"/>
    <s v=""/>
    <d v="1899-12-30T00:00:00"/>
    <d v="1899-12-30T00:00:00"/>
  </r>
  <r>
    <x v="39"/>
    <x v="39"/>
    <x v="4"/>
    <x v="236"/>
    <x v="0"/>
    <d v="1899-12-30T22:06:08"/>
    <s v=""/>
    <e v="#N/A"/>
    <e v="#N/A"/>
  </r>
  <r>
    <x v="39"/>
    <x v="39"/>
    <x v="4"/>
    <x v="236"/>
    <x v="0"/>
    <s v=""/>
    <d v="1899-12-30T07:46:27"/>
    <d v="1899-12-30T00:00:00"/>
    <d v="1899-12-30T00:00:00"/>
  </r>
  <r>
    <x v="39"/>
    <x v="39"/>
    <x v="5"/>
    <x v="237"/>
    <x v="0"/>
    <s v=""/>
    <d v="1899-12-30T07:49:07"/>
    <e v="#N/A"/>
    <e v="#N/A"/>
  </r>
  <r>
    <x v="40"/>
    <x v="40"/>
    <x v="0"/>
    <x v="238"/>
    <x v="0"/>
    <d v="1899-12-30T06:58:09"/>
    <s v=""/>
    <e v="#N/A"/>
    <e v="#N/A"/>
  </r>
  <r>
    <x v="40"/>
    <x v="40"/>
    <x v="0"/>
    <x v="238"/>
    <x v="0"/>
    <s v=""/>
    <d v="1899-12-30T19:23:20"/>
    <d v="1899-12-30T00:00:00"/>
    <d v="1899-12-30T00:00:00"/>
  </r>
  <r>
    <x v="40"/>
    <x v="40"/>
    <x v="1"/>
    <x v="239"/>
    <x v="0"/>
    <d v="1899-12-30T06:58:00"/>
    <s v=""/>
    <e v="#N/A"/>
    <e v="#N/A"/>
  </r>
  <r>
    <x v="40"/>
    <x v="40"/>
    <x v="1"/>
    <x v="239"/>
    <x v="0"/>
    <s v=""/>
    <d v="1899-12-30T19:14:23"/>
    <d v="1899-12-30T00:00:00"/>
    <d v="1899-12-30T00:00:00"/>
  </r>
  <r>
    <x v="40"/>
    <x v="40"/>
    <x v="2"/>
    <x v="240"/>
    <x v="0"/>
    <d v="1899-12-30T07:05:25"/>
    <s v=""/>
    <e v="#N/A"/>
    <e v="#N/A"/>
  </r>
  <r>
    <x v="40"/>
    <x v="40"/>
    <x v="2"/>
    <x v="240"/>
    <x v="0"/>
    <s v=""/>
    <d v="1899-12-30T19:24:02"/>
    <d v="1899-12-30T00:00:00"/>
    <d v="1899-12-30T00:00:00"/>
  </r>
  <r>
    <x v="40"/>
    <x v="40"/>
    <x v="3"/>
    <x v="241"/>
    <x v="0"/>
    <d v="1899-12-30T07:11:22"/>
    <s v=""/>
    <e v="#N/A"/>
    <e v="#N/A"/>
  </r>
  <r>
    <x v="40"/>
    <x v="40"/>
    <x v="3"/>
    <x v="241"/>
    <x v="0"/>
    <s v=""/>
    <d v="1899-12-30T19:27:49"/>
    <d v="1899-12-30T00:00:00"/>
    <d v="1899-12-30T00:00:00"/>
  </r>
  <r>
    <x v="40"/>
    <x v="40"/>
    <x v="4"/>
    <x v="242"/>
    <x v="0"/>
    <s v=""/>
    <d v="1899-12-30T17:33:46"/>
    <e v="#N/A"/>
    <e v="#N/A"/>
  </r>
  <r>
    <x v="40"/>
    <x v="40"/>
    <x v="4"/>
    <x v="242"/>
    <x v="0"/>
    <d v="1899-12-30T07:01:57"/>
    <s v=""/>
    <d v="1899-12-30T00:00:00"/>
    <d v="1899-12-30T00:00:00"/>
  </r>
  <r>
    <x v="41"/>
    <x v="41"/>
    <x v="0"/>
    <x v="243"/>
    <x v="0"/>
    <d v="1899-12-30T06:22:38"/>
    <s v=""/>
    <e v="#N/A"/>
    <e v="#N/A"/>
  </r>
  <r>
    <x v="41"/>
    <x v="41"/>
    <x v="0"/>
    <x v="243"/>
    <x v="0"/>
    <s v=""/>
    <d v="1899-12-30T15:18:20"/>
    <d v="1899-12-30T00:00:00"/>
    <d v="1899-12-30T00:00:00"/>
  </r>
  <r>
    <x v="41"/>
    <x v="41"/>
    <x v="1"/>
    <x v="244"/>
    <x v="0"/>
    <d v="1899-12-30T06:27:41"/>
    <s v=""/>
    <e v="#N/A"/>
    <e v="#N/A"/>
  </r>
  <r>
    <x v="41"/>
    <x v="41"/>
    <x v="1"/>
    <x v="244"/>
    <x v="0"/>
    <s v=""/>
    <d v="1899-12-30T15:12:27"/>
    <d v="1899-12-30T00:00:00"/>
    <d v="1899-12-30T00:00:00"/>
  </r>
  <r>
    <x v="41"/>
    <x v="41"/>
    <x v="2"/>
    <x v="245"/>
    <x v="0"/>
    <d v="1899-12-30T06:31:52"/>
    <s v=""/>
    <e v="#N/A"/>
    <e v="#N/A"/>
  </r>
  <r>
    <x v="41"/>
    <x v="41"/>
    <x v="2"/>
    <x v="245"/>
    <x v="0"/>
    <s v=""/>
    <d v="1899-12-30T15:14:54"/>
    <d v="1899-12-30T00:00:00"/>
    <d v="1899-12-30T00:00:00"/>
  </r>
  <r>
    <x v="41"/>
    <x v="41"/>
    <x v="3"/>
    <x v="246"/>
    <x v="0"/>
    <d v="1899-12-30T06:32:40"/>
    <s v=""/>
    <e v="#N/A"/>
    <e v="#N/A"/>
  </r>
  <r>
    <x v="41"/>
    <x v="41"/>
    <x v="3"/>
    <x v="246"/>
    <x v="0"/>
    <s v=""/>
    <d v="1899-12-30T15:16:37"/>
    <d v="1899-12-30T00:00:00"/>
    <d v="1899-12-30T00:00:00"/>
  </r>
  <r>
    <x v="41"/>
    <x v="41"/>
    <x v="4"/>
    <x v="247"/>
    <x v="0"/>
    <s v=""/>
    <d v="1899-12-30T15:12:59"/>
    <e v="#N/A"/>
    <e v="#N/A"/>
  </r>
  <r>
    <x v="41"/>
    <x v="41"/>
    <x v="4"/>
    <x v="247"/>
    <x v="0"/>
    <d v="1899-12-30T06:35:15"/>
    <s v=""/>
    <d v="1899-12-30T00:00:00"/>
    <d v="1899-12-30T00:00:00"/>
  </r>
  <r>
    <x v="41"/>
    <x v="41"/>
    <x v="5"/>
    <x v="248"/>
    <x v="0"/>
    <d v="1899-12-30T06:32:09"/>
    <s v=""/>
    <e v="#N/A"/>
    <e v="#N/A"/>
  </r>
  <r>
    <x v="41"/>
    <x v="41"/>
    <x v="5"/>
    <x v="248"/>
    <x v="0"/>
    <s v=""/>
    <d v="1899-12-30T15:11:15"/>
    <d v="1899-12-30T00:00:00"/>
    <d v="1899-12-30T00:00:00"/>
  </r>
  <r>
    <x v="42"/>
    <x v="42"/>
    <x v="0"/>
    <x v="249"/>
    <x v="0"/>
    <d v="1899-12-30T00:01:36"/>
    <s v=""/>
    <e v="#N/A"/>
    <e v="#N/A"/>
  </r>
  <r>
    <x v="42"/>
    <x v="42"/>
    <x v="0"/>
    <x v="249"/>
    <x v="0"/>
    <s v=""/>
    <d v="1899-12-30T07:28:07"/>
    <d v="1899-12-30T00:00:00"/>
    <d v="1899-12-30T00:00:00"/>
  </r>
  <r>
    <x v="42"/>
    <x v="42"/>
    <x v="0"/>
    <x v="250"/>
    <x v="0"/>
    <d v="1899-12-30T22:28:05"/>
    <s v=""/>
    <d v="1899-12-30T00:00:00"/>
    <d v="1899-12-30T00:00:00"/>
  </r>
  <r>
    <x v="42"/>
    <x v="42"/>
    <x v="1"/>
    <x v="251"/>
    <x v="0"/>
    <s v=""/>
    <d v="1899-12-30T07:33:12"/>
    <e v="#N/A"/>
    <e v="#N/A"/>
  </r>
  <r>
    <x v="42"/>
    <x v="42"/>
    <x v="1"/>
    <x v="251"/>
    <x v="0"/>
    <d v="1899-12-30T22:26:50"/>
    <s v=""/>
    <d v="1899-12-30T00:00:00"/>
    <d v="1899-12-30T00:00:00"/>
  </r>
  <r>
    <x v="42"/>
    <x v="42"/>
    <x v="2"/>
    <x v="252"/>
    <x v="0"/>
    <s v=""/>
    <d v="1899-12-30T07:36:18"/>
    <e v="#N/A"/>
    <e v="#N/A"/>
  </r>
  <r>
    <x v="43"/>
    <x v="43"/>
    <x v="0"/>
    <x v="253"/>
    <x v="0"/>
    <d v="1899-12-30T14:55:13"/>
    <s v=""/>
    <e v="#N/A"/>
    <e v="#N/A"/>
  </r>
  <r>
    <x v="43"/>
    <x v="43"/>
    <x v="0"/>
    <x v="253"/>
    <x v="0"/>
    <s v=""/>
    <d v="1899-12-30T22:40:42"/>
    <d v="1899-12-30T00:00:00"/>
    <d v="1899-12-30T00:00:00"/>
  </r>
  <r>
    <x v="43"/>
    <x v="43"/>
    <x v="1"/>
    <x v="254"/>
    <x v="0"/>
    <d v="1899-12-30T14:46:16"/>
    <s v=""/>
    <e v="#N/A"/>
    <e v="#N/A"/>
  </r>
  <r>
    <x v="43"/>
    <x v="43"/>
    <x v="1"/>
    <x v="254"/>
    <x v="0"/>
    <s v=""/>
    <d v="1899-12-30T22:41:13"/>
    <d v="1899-12-30T00:00:00"/>
    <d v="1899-12-30T00:00:00"/>
  </r>
  <r>
    <x v="43"/>
    <x v="43"/>
    <x v="2"/>
    <x v="255"/>
    <x v="0"/>
    <d v="1899-12-30T14:50:57"/>
    <s v=""/>
    <e v="#N/A"/>
    <e v="#N/A"/>
  </r>
  <r>
    <x v="43"/>
    <x v="43"/>
    <x v="2"/>
    <x v="255"/>
    <x v="0"/>
    <s v=""/>
    <d v="1899-12-30T22:40:44"/>
    <d v="1899-12-30T00:00:00"/>
    <d v="1899-12-30T00:00:00"/>
  </r>
  <r>
    <x v="43"/>
    <x v="43"/>
    <x v="3"/>
    <x v="256"/>
    <x v="0"/>
    <d v="1899-12-30T14:59:16"/>
    <s v=""/>
    <e v="#N/A"/>
    <e v="#N/A"/>
  </r>
  <r>
    <x v="43"/>
    <x v="43"/>
    <x v="3"/>
    <x v="256"/>
    <x v="0"/>
    <s v=""/>
    <d v="1899-12-30T22:33:31"/>
    <d v="1899-12-30T00:00:00"/>
    <d v="1899-12-30T00:00:00"/>
  </r>
  <r>
    <x v="43"/>
    <x v="43"/>
    <x v="4"/>
    <x v="257"/>
    <x v="0"/>
    <s v=""/>
    <d v="1899-12-30T22:44:50"/>
    <e v="#N/A"/>
    <e v="#N/A"/>
  </r>
  <r>
    <x v="43"/>
    <x v="43"/>
    <x v="4"/>
    <x v="257"/>
    <x v="0"/>
    <d v="1899-12-30T14:33:35"/>
    <s v=""/>
    <d v="1899-12-30T00:00:00"/>
    <d v="1899-12-30T00:00:00"/>
  </r>
  <r>
    <x v="43"/>
    <x v="43"/>
    <x v="5"/>
    <x v="258"/>
    <x v="0"/>
    <d v="1899-12-30T15:37:57"/>
    <s v=""/>
    <e v="#N/A"/>
    <e v="#N/A"/>
  </r>
  <r>
    <x v="43"/>
    <x v="43"/>
    <x v="5"/>
    <x v="258"/>
    <x v="0"/>
    <s v=""/>
    <d v="1899-12-30T22:23:47"/>
    <d v="1899-12-30T00:00:00"/>
    <d v="1899-12-30T00:00:00"/>
  </r>
  <r>
    <x v="44"/>
    <x v="44"/>
    <x v="0"/>
    <x v="259"/>
    <x v="0"/>
    <d v="1899-12-30T22:02:48"/>
    <s v=""/>
    <e v="#N/A"/>
    <e v="#N/A"/>
  </r>
  <r>
    <x v="44"/>
    <x v="44"/>
    <x v="1"/>
    <x v="260"/>
    <x v="0"/>
    <s v=""/>
    <d v="1899-12-30T07:38:53"/>
    <e v="#N/A"/>
    <e v="#N/A"/>
  </r>
  <r>
    <x v="44"/>
    <x v="44"/>
    <x v="1"/>
    <x v="260"/>
    <x v="0"/>
    <d v="1899-12-30T22:02:20"/>
    <s v=""/>
    <d v="1899-12-30T00:00:00"/>
    <d v="1899-12-30T00:00:00"/>
  </r>
  <r>
    <x v="44"/>
    <x v="44"/>
    <x v="2"/>
    <x v="261"/>
    <x v="0"/>
    <s v=""/>
    <d v="1899-12-30T07:42:52"/>
    <e v="#N/A"/>
    <e v="#N/A"/>
  </r>
  <r>
    <x v="44"/>
    <x v="44"/>
    <x v="2"/>
    <x v="261"/>
    <x v="0"/>
    <d v="1899-12-30T22:01:30"/>
    <s v=""/>
    <d v="1899-12-30T00:00:00"/>
    <d v="1899-12-30T00:00:00"/>
  </r>
  <r>
    <x v="44"/>
    <x v="44"/>
    <x v="3"/>
    <x v="262"/>
    <x v="0"/>
    <s v=""/>
    <d v="1899-12-30T07:40:58"/>
    <e v="#N/A"/>
    <e v="#N/A"/>
  </r>
  <r>
    <x v="44"/>
    <x v="44"/>
    <x v="3"/>
    <x v="262"/>
    <x v="0"/>
    <d v="1899-12-30T21:55:33"/>
    <s v=""/>
    <d v="1899-12-30T00:00:00"/>
    <d v="1899-12-30T00:00:00"/>
  </r>
  <r>
    <x v="44"/>
    <x v="44"/>
    <x v="4"/>
    <x v="263"/>
    <x v="0"/>
    <d v="1899-12-30T22:04:43"/>
    <s v=""/>
    <e v="#N/A"/>
    <e v="#N/A"/>
  </r>
  <r>
    <x v="44"/>
    <x v="44"/>
    <x v="4"/>
    <x v="263"/>
    <x v="0"/>
    <s v=""/>
    <d v="1899-12-30T07:41:24"/>
    <d v="1899-12-30T00:00:00"/>
    <d v="1899-12-30T00:00:00"/>
  </r>
  <r>
    <x v="44"/>
    <x v="44"/>
    <x v="5"/>
    <x v="264"/>
    <x v="0"/>
    <s v=""/>
    <d v="1899-12-30T07:39:33"/>
    <e v="#N/A"/>
    <e v="#N/A"/>
  </r>
  <r>
    <x v="45"/>
    <x v="45"/>
    <x v="0"/>
    <x v="265"/>
    <x v="0"/>
    <d v="1899-12-30T10:57:05"/>
    <s v=""/>
    <e v="#N/A"/>
    <e v="#N/A"/>
  </r>
  <r>
    <x v="45"/>
    <x v="45"/>
    <x v="0"/>
    <x v="265"/>
    <x v="0"/>
    <s v=""/>
    <d v="1899-12-30T19:28:19"/>
    <d v="1899-12-30T00:00:00"/>
    <d v="1899-12-30T00:00:00"/>
  </r>
  <r>
    <x v="45"/>
    <x v="45"/>
    <x v="1"/>
    <x v="266"/>
    <x v="0"/>
    <d v="1899-12-30T07:14:42"/>
    <s v=""/>
    <e v="#N/A"/>
    <e v="#N/A"/>
  </r>
  <r>
    <x v="45"/>
    <x v="45"/>
    <x v="1"/>
    <x v="266"/>
    <x v="0"/>
    <s v=""/>
    <d v="1899-12-30T19:23:31"/>
    <d v="1899-12-30T00:00:00"/>
    <d v="1899-12-30T00:00:00"/>
  </r>
  <r>
    <x v="45"/>
    <x v="45"/>
    <x v="2"/>
    <x v="267"/>
    <x v="0"/>
    <d v="1899-12-30T07:12:14"/>
    <s v=""/>
    <e v="#N/A"/>
    <e v="#N/A"/>
  </r>
  <r>
    <x v="45"/>
    <x v="45"/>
    <x v="2"/>
    <x v="267"/>
    <x v="0"/>
    <s v=""/>
    <d v="1899-12-30T19:18:39"/>
    <d v="1899-12-30T00:00:00"/>
    <d v="1899-12-30T00:00:00"/>
  </r>
  <r>
    <x v="45"/>
    <x v="45"/>
    <x v="3"/>
    <x v="268"/>
    <x v="0"/>
    <d v="1899-12-30T07:20:52"/>
    <s v=""/>
    <e v="#N/A"/>
    <e v="#N/A"/>
  </r>
  <r>
    <x v="45"/>
    <x v="45"/>
    <x v="3"/>
    <x v="268"/>
    <x v="0"/>
    <s v=""/>
    <d v="1899-12-30T19:24:01"/>
    <d v="1899-12-30T00:00:00"/>
    <d v="1899-12-30T00:00:00"/>
  </r>
  <r>
    <x v="45"/>
    <x v="45"/>
    <x v="4"/>
    <x v="269"/>
    <x v="0"/>
    <s v=""/>
    <d v="1899-12-30T19:32:23"/>
    <e v="#N/A"/>
    <e v="#N/A"/>
  </r>
  <r>
    <x v="45"/>
    <x v="45"/>
    <x v="4"/>
    <x v="269"/>
    <x v="0"/>
    <d v="1899-12-30T07:14:51"/>
    <s v=""/>
    <d v="1899-12-30T00:00:00"/>
    <d v="1899-12-30T00:00:00"/>
  </r>
  <r>
    <x v="46"/>
    <x v="46"/>
    <x v="0"/>
    <x v="270"/>
    <x v="0"/>
    <d v="1899-12-30T22:05:00"/>
    <s v=""/>
    <e v="#N/A"/>
    <e v="#N/A"/>
  </r>
  <r>
    <x v="46"/>
    <x v="46"/>
    <x v="1"/>
    <x v="271"/>
    <x v="0"/>
    <s v=""/>
    <d v="1899-12-30T07:43:40"/>
    <e v="#N/A"/>
    <e v="#N/A"/>
  </r>
  <r>
    <x v="46"/>
    <x v="46"/>
    <x v="1"/>
    <x v="271"/>
    <x v="0"/>
    <d v="1899-12-30T22:04:45"/>
    <s v=""/>
    <d v="1899-12-30T00:00:00"/>
    <d v="1899-12-30T00:00:00"/>
  </r>
  <r>
    <x v="46"/>
    <x v="46"/>
    <x v="2"/>
    <x v="272"/>
    <x v="0"/>
    <s v=""/>
    <d v="1899-12-30T07:49:20"/>
    <e v="#N/A"/>
    <e v="#N/A"/>
  </r>
  <r>
    <x v="46"/>
    <x v="46"/>
    <x v="2"/>
    <x v="272"/>
    <x v="0"/>
    <d v="1899-12-30T22:03:42"/>
    <s v=""/>
    <d v="1899-12-30T00:00:00"/>
    <d v="1899-12-30T00:00:00"/>
  </r>
  <r>
    <x v="46"/>
    <x v="46"/>
    <x v="3"/>
    <x v="273"/>
    <x v="0"/>
    <s v=""/>
    <d v="1899-12-30T07:50:34"/>
    <e v="#N/A"/>
    <e v="#N/A"/>
  </r>
  <r>
    <x v="46"/>
    <x v="46"/>
    <x v="3"/>
    <x v="273"/>
    <x v="0"/>
    <d v="1899-12-30T22:06:47"/>
    <s v=""/>
    <d v="1899-12-30T00:00:00"/>
    <d v="1899-12-30T00:00:00"/>
  </r>
  <r>
    <x v="46"/>
    <x v="46"/>
    <x v="4"/>
    <x v="274"/>
    <x v="0"/>
    <d v="1899-12-30T22:06:35"/>
    <s v=""/>
    <e v="#N/A"/>
    <e v="#N/A"/>
  </r>
  <r>
    <x v="46"/>
    <x v="46"/>
    <x v="4"/>
    <x v="274"/>
    <x v="0"/>
    <s v=""/>
    <d v="1899-12-30T07:45:05"/>
    <d v="1899-12-30T00:00:00"/>
    <d v="1899-12-30T00:00:00"/>
  </r>
  <r>
    <x v="46"/>
    <x v="46"/>
    <x v="5"/>
    <x v="275"/>
    <x v="0"/>
    <s v=""/>
    <d v="1899-12-30T07:42:21"/>
    <e v="#N/A"/>
    <e v="#N/A"/>
  </r>
  <r>
    <x v="47"/>
    <x v="47"/>
    <x v="0"/>
    <x v="276"/>
    <x v="0"/>
    <d v="1899-12-30T14:46:44"/>
    <s v=""/>
    <e v="#N/A"/>
    <e v="#N/A"/>
  </r>
  <r>
    <x v="47"/>
    <x v="47"/>
    <x v="0"/>
    <x v="276"/>
    <x v="0"/>
    <s v=""/>
    <d v="1899-12-30T22:35:26"/>
    <d v="1899-12-30T00:00:00"/>
    <d v="1899-12-30T00:00:00"/>
  </r>
  <r>
    <x v="47"/>
    <x v="47"/>
    <x v="1"/>
    <x v="277"/>
    <x v="0"/>
    <d v="1899-12-30T14:48:34"/>
    <s v=""/>
    <e v="#N/A"/>
    <e v="#N/A"/>
  </r>
  <r>
    <x v="47"/>
    <x v="47"/>
    <x v="1"/>
    <x v="277"/>
    <x v="0"/>
    <s v=""/>
    <d v="1899-12-30T22:40:16"/>
    <d v="1899-12-30T00:00:00"/>
    <d v="1899-12-30T00:00:00"/>
  </r>
  <r>
    <x v="47"/>
    <x v="47"/>
    <x v="2"/>
    <x v="278"/>
    <x v="0"/>
    <d v="1899-12-30T13:49:11"/>
    <s v=""/>
    <e v="#N/A"/>
    <e v="#N/A"/>
  </r>
  <r>
    <x v="47"/>
    <x v="47"/>
    <x v="2"/>
    <x v="278"/>
    <x v="0"/>
    <s v=""/>
    <d v="1899-12-30T22:34:34"/>
    <d v="1899-12-30T00:00:00"/>
    <d v="1899-12-30T00:00:00"/>
  </r>
  <r>
    <x v="47"/>
    <x v="47"/>
    <x v="3"/>
    <x v="279"/>
    <x v="0"/>
    <d v="1899-12-30T14:50:11"/>
    <s v=""/>
    <e v="#N/A"/>
    <e v="#N/A"/>
  </r>
  <r>
    <x v="47"/>
    <x v="47"/>
    <x v="3"/>
    <x v="279"/>
    <x v="0"/>
    <s v=""/>
    <d v="1899-12-30T22:37:49"/>
    <d v="1899-12-30T00:00:00"/>
    <d v="1899-12-30T00:00:00"/>
  </r>
  <r>
    <x v="47"/>
    <x v="47"/>
    <x v="4"/>
    <x v="280"/>
    <x v="0"/>
    <d v="1899-12-30T14:48:31"/>
    <s v=""/>
    <e v="#N/A"/>
    <e v="#N/A"/>
  </r>
  <r>
    <x v="47"/>
    <x v="47"/>
    <x v="4"/>
    <x v="280"/>
    <x v="0"/>
    <s v=""/>
    <d v="1899-12-30T22:29:31"/>
    <d v="1899-12-30T00:00:00"/>
    <d v="1899-12-30T00:00:00"/>
  </r>
  <r>
    <x v="47"/>
    <x v="47"/>
    <x v="5"/>
    <x v="281"/>
    <x v="0"/>
    <s v=""/>
    <d v="1899-12-30T21:19:47"/>
    <e v="#N/A"/>
    <e v="#N/A"/>
  </r>
  <r>
    <x v="47"/>
    <x v="47"/>
    <x v="5"/>
    <x v="281"/>
    <x v="0"/>
    <d v="1899-12-30T13:36:34"/>
    <s v=""/>
    <d v="1899-12-30T00:00:00"/>
    <d v="1899-12-30T00:00:00"/>
  </r>
  <r>
    <x v="48"/>
    <x v="48"/>
    <x v="0"/>
    <x v="282"/>
    <x v="0"/>
    <d v="1899-12-30T14:35:17"/>
    <s v=""/>
    <e v="#N/A"/>
    <e v="#N/A"/>
  </r>
  <r>
    <x v="48"/>
    <x v="48"/>
    <x v="0"/>
    <x v="282"/>
    <x v="0"/>
    <s v=""/>
    <d v="1899-12-30T22:47:42"/>
    <d v="1899-12-30T00:00:00"/>
    <d v="1899-12-30T00:00:00"/>
  </r>
  <r>
    <x v="48"/>
    <x v="48"/>
    <x v="1"/>
    <x v="283"/>
    <x v="0"/>
    <d v="1899-12-30T14:35:49"/>
    <s v=""/>
    <e v="#N/A"/>
    <e v="#N/A"/>
  </r>
  <r>
    <x v="48"/>
    <x v="48"/>
    <x v="1"/>
    <x v="283"/>
    <x v="0"/>
    <s v=""/>
    <d v="1899-12-30T22:46:12"/>
    <d v="1899-12-30T00:00:00"/>
    <d v="1899-12-30T00:00:00"/>
  </r>
  <r>
    <x v="48"/>
    <x v="48"/>
    <x v="2"/>
    <x v="284"/>
    <x v="0"/>
    <d v="1899-12-30T14:38:42"/>
    <s v=""/>
    <e v="#N/A"/>
    <e v="#N/A"/>
  </r>
  <r>
    <x v="48"/>
    <x v="48"/>
    <x v="2"/>
    <x v="284"/>
    <x v="0"/>
    <s v=""/>
    <d v="1899-12-30T22:44:06"/>
    <d v="1899-12-30T00:00:00"/>
    <d v="1899-12-30T00:00:00"/>
  </r>
  <r>
    <x v="48"/>
    <x v="48"/>
    <x v="3"/>
    <x v="285"/>
    <x v="0"/>
    <d v="1899-12-30T14:42:44"/>
    <s v=""/>
    <e v="#N/A"/>
    <e v="#N/A"/>
  </r>
  <r>
    <x v="48"/>
    <x v="48"/>
    <x v="3"/>
    <x v="285"/>
    <x v="0"/>
    <s v=""/>
    <d v="1899-12-30T22:50:25"/>
    <d v="1899-12-30T00:00:00"/>
    <d v="1899-12-30T00:00:00"/>
  </r>
  <r>
    <x v="48"/>
    <x v="48"/>
    <x v="4"/>
    <x v="286"/>
    <x v="0"/>
    <d v="1899-12-30T14:35:41"/>
    <s v=""/>
    <e v="#N/A"/>
    <e v="#N/A"/>
  </r>
  <r>
    <x v="48"/>
    <x v="48"/>
    <x v="4"/>
    <x v="286"/>
    <x v="0"/>
    <s v=""/>
    <d v="1899-12-30T22:48:12"/>
    <d v="1899-12-30T00:00:00"/>
    <d v="1899-12-30T00:00:00"/>
  </r>
  <r>
    <x v="48"/>
    <x v="48"/>
    <x v="5"/>
    <x v="287"/>
    <x v="0"/>
    <s v=""/>
    <d v="1899-12-30T22:42:59"/>
    <e v="#N/A"/>
    <e v="#N/A"/>
  </r>
  <r>
    <x v="48"/>
    <x v="48"/>
    <x v="5"/>
    <x v="287"/>
    <x v="0"/>
    <d v="1899-12-30T14:40:21"/>
    <s v=""/>
    <d v="1899-12-30T00:00:00"/>
    <d v="1899-12-30T00:00:00"/>
  </r>
  <r>
    <x v="49"/>
    <x v="49"/>
    <x v="0"/>
    <x v="288"/>
    <x v="0"/>
    <d v="1899-12-30T08:51:19"/>
    <s v=""/>
    <e v="#N/A"/>
    <e v="#N/A"/>
  </r>
  <r>
    <x v="49"/>
    <x v="49"/>
    <x v="0"/>
    <x v="288"/>
    <x v="0"/>
    <s v=""/>
    <d v="1899-12-30T18:42:14"/>
    <d v="1899-12-30T00:00:00"/>
    <d v="1899-12-30T00:00:00"/>
  </r>
  <r>
    <x v="49"/>
    <x v="49"/>
    <x v="1"/>
    <x v="289"/>
    <x v="0"/>
    <d v="1899-12-30T08:35:58"/>
    <s v=""/>
    <e v="#N/A"/>
    <e v="#N/A"/>
  </r>
  <r>
    <x v="49"/>
    <x v="49"/>
    <x v="1"/>
    <x v="289"/>
    <x v="0"/>
    <s v=""/>
    <d v="1899-12-30T18:30:27"/>
    <d v="1899-12-30T00:00:00"/>
    <d v="1899-12-30T00:00:00"/>
  </r>
  <r>
    <x v="49"/>
    <x v="49"/>
    <x v="2"/>
    <x v="290"/>
    <x v="0"/>
    <d v="1899-12-30T08:43:33"/>
    <s v=""/>
    <e v="#N/A"/>
    <e v="#N/A"/>
  </r>
  <r>
    <x v="49"/>
    <x v="49"/>
    <x v="2"/>
    <x v="290"/>
    <x v="0"/>
    <s v=""/>
    <d v="1899-12-30T18:34:25"/>
    <d v="1899-12-30T00:00:00"/>
    <d v="1899-12-30T00:00:00"/>
  </r>
  <r>
    <x v="49"/>
    <x v="49"/>
    <x v="3"/>
    <x v="291"/>
    <x v="0"/>
    <d v="1899-12-30T08:44:05"/>
    <s v=""/>
    <e v="#N/A"/>
    <e v="#N/A"/>
  </r>
  <r>
    <x v="49"/>
    <x v="49"/>
    <x v="3"/>
    <x v="291"/>
    <x v="0"/>
    <s v=""/>
    <d v="1899-12-30T18:39:18"/>
    <d v="1899-12-30T00:00:00"/>
    <d v="1899-12-30T00:00:00"/>
  </r>
  <r>
    <x v="49"/>
    <x v="49"/>
    <x v="4"/>
    <x v="292"/>
    <x v="0"/>
    <s v=""/>
    <d v="1899-12-30T18:07:34"/>
    <e v="#N/A"/>
    <e v="#N/A"/>
  </r>
  <r>
    <x v="49"/>
    <x v="49"/>
    <x v="4"/>
    <x v="292"/>
    <x v="0"/>
    <d v="1899-12-30T08:50:14"/>
    <s v=""/>
    <d v="1899-12-30T00:00:00"/>
    <d v="1899-12-30T00:00:00"/>
  </r>
  <r>
    <x v="50"/>
    <x v="50"/>
    <x v="0"/>
    <x v="293"/>
    <x v="0"/>
    <d v="1899-12-30T21:57:38"/>
    <s v=""/>
    <e v="#N/A"/>
    <e v="#N/A"/>
  </r>
  <r>
    <x v="50"/>
    <x v="50"/>
    <x v="1"/>
    <x v="294"/>
    <x v="0"/>
    <s v=""/>
    <d v="1899-12-30T07:46:51"/>
    <e v="#N/A"/>
    <e v="#N/A"/>
  </r>
  <r>
    <x v="50"/>
    <x v="50"/>
    <x v="1"/>
    <x v="294"/>
    <x v="0"/>
    <d v="1899-12-30T22:02:05"/>
    <s v=""/>
    <d v="1899-12-30T00:00:00"/>
    <d v="1899-12-30T00:00:00"/>
  </r>
  <r>
    <x v="50"/>
    <x v="50"/>
    <x v="2"/>
    <x v="295"/>
    <x v="0"/>
    <s v=""/>
    <d v="1899-12-30T07:47:17"/>
    <e v="#N/A"/>
    <e v="#N/A"/>
  </r>
  <r>
    <x v="50"/>
    <x v="50"/>
    <x v="2"/>
    <x v="295"/>
    <x v="0"/>
    <d v="1899-12-30T22:02:47"/>
    <s v=""/>
    <d v="1899-12-30T00:00:00"/>
    <d v="1899-12-30T00:00:00"/>
  </r>
  <r>
    <x v="50"/>
    <x v="50"/>
    <x v="3"/>
    <x v="296"/>
    <x v="0"/>
    <s v=""/>
    <d v="1899-12-30T07:53:35"/>
    <e v="#N/A"/>
    <e v="#N/A"/>
  </r>
  <r>
    <x v="50"/>
    <x v="50"/>
    <x v="3"/>
    <x v="296"/>
    <x v="0"/>
    <d v="1899-12-30T21:56:46"/>
    <s v=""/>
    <d v="1899-12-30T00:00:00"/>
    <d v="1899-12-30T00:00:00"/>
  </r>
  <r>
    <x v="50"/>
    <x v="50"/>
    <x v="4"/>
    <x v="297"/>
    <x v="0"/>
    <s v=""/>
    <d v="1899-12-30T07:46:21"/>
    <e v="#N/A"/>
    <e v="#N/A"/>
  </r>
  <r>
    <x v="50"/>
    <x v="50"/>
    <x v="4"/>
    <x v="297"/>
    <x v="0"/>
    <d v="1899-12-30T22:15:09"/>
    <s v=""/>
    <d v="1899-12-30T00:00:00"/>
    <d v="1899-12-30T00:00:00"/>
  </r>
  <r>
    <x v="50"/>
    <x v="50"/>
    <x v="5"/>
    <x v="298"/>
    <x v="0"/>
    <s v=""/>
    <d v="1899-12-30T07:52:25"/>
    <e v="#N/A"/>
    <e v="#N/A"/>
  </r>
  <r>
    <x v="51"/>
    <x v="51"/>
    <x v="0"/>
    <x v="299"/>
    <x v="0"/>
    <d v="1899-12-30T07:01:33"/>
    <s v=""/>
    <e v="#N/A"/>
    <e v="#N/A"/>
  </r>
  <r>
    <x v="51"/>
    <x v="51"/>
    <x v="0"/>
    <x v="299"/>
    <x v="0"/>
    <s v=""/>
    <d v="1899-12-30T18:55:08"/>
    <d v="1899-12-30T00:00:00"/>
    <d v="1899-12-30T00:00:00"/>
  </r>
  <r>
    <x v="51"/>
    <x v="51"/>
    <x v="1"/>
    <x v="300"/>
    <x v="0"/>
    <d v="1899-12-30T07:01:14"/>
    <s v=""/>
    <e v="#N/A"/>
    <e v="#N/A"/>
  </r>
  <r>
    <x v="51"/>
    <x v="51"/>
    <x v="1"/>
    <x v="300"/>
    <x v="0"/>
    <s v=""/>
    <d v="1899-12-30T18:55:35"/>
    <d v="1899-12-30T00:00:00"/>
    <d v="1899-12-30T00:00:00"/>
  </r>
  <r>
    <x v="51"/>
    <x v="51"/>
    <x v="2"/>
    <x v="301"/>
    <x v="0"/>
    <d v="1899-12-30T07:04:13"/>
    <s v=""/>
    <e v="#N/A"/>
    <e v="#N/A"/>
  </r>
  <r>
    <x v="51"/>
    <x v="51"/>
    <x v="2"/>
    <x v="301"/>
    <x v="0"/>
    <s v=""/>
    <d v="1899-12-30T18:58:06"/>
    <d v="1899-12-30T00:00:00"/>
    <d v="1899-12-30T00:00:00"/>
  </r>
  <r>
    <x v="51"/>
    <x v="51"/>
    <x v="3"/>
    <x v="302"/>
    <x v="0"/>
    <d v="1899-12-30T07:01:33"/>
    <s v=""/>
    <e v="#N/A"/>
    <e v="#N/A"/>
  </r>
  <r>
    <x v="51"/>
    <x v="51"/>
    <x v="3"/>
    <x v="302"/>
    <x v="0"/>
    <s v=""/>
    <d v="1899-12-30T19:14:39"/>
    <d v="1899-12-30T00:00:00"/>
    <d v="1899-12-30T00:00:00"/>
  </r>
  <r>
    <x v="51"/>
    <x v="51"/>
    <x v="4"/>
    <x v="303"/>
    <x v="0"/>
    <s v=""/>
    <d v="1899-12-30T18:06:18"/>
    <e v="#N/A"/>
    <e v="#N/A"/>
  </r>
  <r>
    <x v="51"/>
    <x v="51"/>
    <x v="4"/>
    <x v="303"/>
    <x v="0"/>
    <s v=""/>
    <d v="1899-12-30T07:20:28"/>
    <d v="1899-12-30T00:00:00"/>
    <d v="1899-12-30T00:00:00"/>
  </r>
  <r>
    <x v="52"/>
    <x v="52"/>
    <x v="0"/>
    <x v="304"/>
    <x v="0"/>
    <d v="1899-12-30T07:07:27"/>
    <s v=""/>
    <e v="#N/A"/>
    <e v="#N/A"/>
  </r>
  <r>
    <x v="52"/>
    <x v="52"/>
    <x v="0"/>
    <x v="304"/>
    <x v="0"/>
    <s v=""/>
    <d v="1899-12-30T15:11:45"/>
    <d v="1899-12-30T00:00:00"/>
    <d v="1899-12-30T00:00:00"/>
  </r>
  <r>
    <x v="52"/>
    <x v="52"/>
    <x v="1"/>
    <x v="305"/>
    <x v="0"/>
    <d v="1899-12-30T07:07:35"/>
    <s v=""/>
    <e v="#N/A"/>
    <e v="#N/A"/>
  </r>
  <r>
    <x v="52"/>
    <x v="52"/>
    <x v="1"/>
    <x v="305"/>
    <x v="0"/>
    <s v=""/>
    <d v="1899-12-30T15:11:42"/>
    <d v="1899-12-30T00:00:00"/>
    <d v="1899-12-30T00:00:00"/>
  </r>
  <r>
    <x v="52"/>
    <x v="52"/>
    <x v="2"/>
    <x v="306"/>
    <x v="0"/>
    <d v="1899-12-30T07:24:40"/>
    <s v=""/>
    <e v="#N/A"/>
    <e v="#N/A"/>
  </r>
  <r>
    <x v="52"/>
    <x v="52"/>
    <x v="2"/>
    <x v="306"/>
    <x v="0"/>
    <s v=""/>
    <d v="1899-12-30T15:03:03"/>
    <d v="1899-12-30T00:00:00"/>
    <d v="1899-12-30T00:00:00"/>
  </r>
  <r>
    <x v="52"/>
    <x v="52"/>
    <x v="3"/>
    <x v="307"/>
    <x v="0"/>
    <d v="1899-12-30T07:07:27"/>
    <s v=""/>
    <e v="#N/A"/>
    <e v="#N/A"/>
  </r>
  <r>
    <x v="52"/>
    <x v="52"/>
    <x v="3"/>
    <x v="307"/>
    <x v="0"/>
    <s v=""/>
    <d v="1899-12-30T15:13:57"/>
    <d v="1899-12-30T00:00:00"/>
    <d v="1899-12-30T00:00:00"/>
  </r>
  <r>
    <x v="52"/>
    <x v="52"/>
    <x v="4"/>
    <x v="308"/>
    <x v="0"/>
    <s v=""/>
    <d v="1899-12-30T15:14:06"/>
    <e v="#N/A"/>
    <e v="#N/A"/>
  </r>
  <r>
    <x v="52"/>
    <x v="52"/>
    <x v="4"/>
    <x v="308"/>
    <x v="0"/>
    <d v="1899-12-30T07:08:03"/>
    <s v=""/>
    <d v="1899-12-30T00:00:00"/>
    <d v="1899-12-30T00:00:00"/>
  </r>
  <r>
    <x v="52"/>
    <x v="52"/>
    <x v="5"/>
    <x v="309"/>
    <x v="0"/>
    <d v="1899-12-30T07:05:15"/>
    <s v=""/>
    <e v="#N/A"/>
    <e v="#N/A"/>
  </r>
  <r>
    <x v="52"/>
    <x v="52"/>
    <x v="5"/>
    <x v="309"/>
    <x v="0"/>
    <s v=""/>
    <d v="1899-12-30T15:17:44"/>
    <d v="1899-12-30T00:00:00"/>
    <d v="1899-12-30T00:00:00"/>
  </r>
  <r>
    <x v="53"/>
    <x v="53"/>
    <x v="0"/>
    <x v="310"/>
    <x v="0"/>
    <d v="1899-12-30T08:06:10"/>
    <s v=""/>
    <e v="#N/A"/>
    <e v="#N/A"/>
  </r>
  <r>
    <x v="53"/>
    <x v="53"/>
    <x v="0"/>
    <x v="310"/>
    <x v="0"/>
    <s v=""/>
    <d v="1899-12-30T17:28:23"/>
    <d v="1899-12-30T00:00:00"/>
    <d v="1899-12-30T00:00:00"/>
  </r>
  <r>
    <x v="53"/>
    <x v="53"/>
    <x v="1"/>
    <x v="311"/>
    <x v="0"/>
    <d v="1899-12-30T07:06:46"/>
    <s v=""/>
    <e v="#N/A"/>
    <e v="#N/A"/>
  </r>
  <r>
    <x v="53"/>
    <x v="53"/>
    <x v="1"/>
    <x v="311"/>
    <x v="0"/>
    <s v=""/>
    <d v="1899-12-30T11:27:38"/>
    <d v="1899-12-30T00:00:00"/>
    <d v="1899-12-30T00:00:00"/>
  </r>
  <r>
    <x v="53"/>
    <x v="53"/>
    <x v="2"/>
    <x v="312"/>
    <x v="0"/>
    <d v="1899-12-30T08:10:49"/>
    <s v=""/>
    <e v="#N/A"/>
    <e v="#N/A"/>
  </r>
  <r>
    <x v="53"/>
    <x v="53"/>
    <x v="2"/>
    <x v="312"/>
    <x v="0"/>
    <s v=""/>
    <d v="1899-12-30T17:38:54"/>
    <d v="1899-12-30T00:00:00"/>
    <d v="1899-12-30T00:00:00"/>
  </r>
  <r>
    <x v="53"/>
    <x v="53"/>
    <x v="3"/>
    <x v="313"/>
    <x v="0"/>
    <d v="1899-12-30T07:06:23"/>
    <s v=""/>
    <e v="#N/A"/>
    <e v="#N/A"/>
  </r>
  <r>
    <x v="53"/>
    <x v="53"/>
    <x v="3"/>
    <x v="313"/>
    <x v="0"/>
    <s v=""/>
    <d v="1899-12-30T17:33:53"/>
    <d v="1899-12-30T00:00:00"/>
    <d v="1899-12-30T00:00:00"/>
  </r>
  <r>
    <x v="53"/>
    <x v="53"/>
    <x v="4"/>
    <x v="314"/>
    <x v="0"/>
    <s v=""/>
    <d v="1899-12-30T17:28:20"/>
    <e v="#N/A"/>
    <e v="#N/A"/>
  </r>
  <r>
    <x v="53"/>
    <x v="53"/>
    <x v="4"/>
    <x v="314"/>
    <x v="0"/>
    <d v="1899-12-30T07:06:38"/>
    <s v=""/>
    <d v="1899-12-30T00:00:00"/>
    <d v="1899-12-30T00:00:00"/>
  </r>
  <r>
    <x v="54"/>
    <x v="54"/>
    <x v="0"/>
    <x v="315"/>
    <x v="0"/>
    <d v="1899-12-30T07:05:55"/>
    <s v=""/>
    <e v="#N/A"/>
    <e v="#N/A"/>
  </r>
  <r>
    <x v="54"/>
    <x v="54"/>
    <x v="0"/>
    <x v="315"/>
    <x v="0"/>
    <s v=""/>
    <d v="1899-12-30T15:11:16"/>
    <d v="1899-12-30T00:00:00"/>
    <d v="1899-12-30T00:00:00"/>
  </r>
  <r>
    <x v="54"/>
    <x v="54"/>
    <x v="1"/>
    <x v="316"/>
    <x v="0"/>
    <d v="1899-12-30T07:23:35"/>
    <s v=""/>
    <e v="#N/A"/>
    <e v="#N/A"/>
  </r>
  <r>
    <x v="54"/>
    <x v="54"/>
    <x v="1"/>
    <x v="316"/>
    <x v="0"/>
    <s v=""/>
    <d v="1899-12-30T15:11:47"/>
    <d v="1899-12-30T00:00:00"/>
    <d v="1899-12-30T00:00:00"/>
  </r>
  <r>
    <x v="54"/>
    <x v="54"/>
    <x v="2"/>
    <x v="317"/>
    <x v="0"/>
    <d v="1899-12-30T07:06:39"/>
    <s v=""/>
    <e v="#N/A"/>
    <e v="#N/A"/>
  </r>
  <r>
    <x v="54"/>
    <x v="54"/>
    <x v="2"/>
    <x v="317"/>
    <x v="0"/>
    <s v=""/>
    <d v="1899-12-30T15:41:56"/>
    <d v="1899-12-30T00:00:00"/>
    <d v="1899-12-30T00:00:00"/>
  </r>
  <r>
    <x v="54"/>
    <x v="54"/>
    <x v="3"/>
    <x v="318"/>
    <x v="0"/>
    <d v="1899-12-30T07:06:58"/>
    <s v=""/>
    <e v="#N/A"/>
    <e v="#N/A"/>
  </r>
  <r>
    <x v="54"/>
    <x v="54"/>
    <x v="3"/>
    <x v="318"/>
    <x v="0"/>
    <s v=""/>
    <d v="1899-12-30T15:11:31"/>
    <d v="1899-12-30T00:00:00"/>
    <d v="1899-12-30T00:00:00"/>
  </r>
  <r>
    <x v="54"/>
    <x v="54"/>
    <x v="4"/>
    <x v="319"/>
    <x v="0"/>
    <s v=""/>
    <d v="1899-12-30T15:39:02"/>
    <e v="#N/A"/>
    <e v="#N/A"/>
  </r>
  <r>
    <x v="54"/>
    <x v="54"/>
    <x v="4"/>
    <x v="319"/>
    <x v="0"/>
    <d v="1899-12-30T07:07:01"/>
    <s v=""/>
    <d v="1899-12-30T00:00:00"/>
    <d v="1899-12-30T00:00:00"/>
  </r>
  <r>
    <x v="54"/>
    <x v="54"/>
    <x v="5"/>
    <x v="320"/>
    <x v="0"/>
    <d v="1899-12-30T07:04:35"/>
    <s v=""/>
    <e v="#N/A"/>
    <e v="#N/A"/>
  </r>
  <r>
    <x v="54"/>
    <x v="54"/>
    <x v="5"/>
    <x v="320"/>
    <x v="0"/>
    <s v=""/>
    <d v="1899-12-30T15:05:25"/>
    <d v="1899-12-30T00:00:00"/>
    <d v="1899-12-30T00:00:00"/>
  </r>
  <r>
    <x v="55"/>
    <x v="55"/>
    <x v="0"/>
    <x v="321"/>
    <x v="4"/>
    <d v="1899-12-30T07:05:26"/>
    <s v=""/>
    <d v="1899-12-30T00:00:00"/>
    <d v="1899-12-30T07:30:00"/>
  </r>
  <r>
    <x v="55"/>
    <x v="55"/>
    <x v="0"/>
    <x v="321"/>
    <x v="4"/>
    <s v=""/>
    <d v="1899-12-30T15:24:12"/>
    <d v="1899-12-30T00:00:00"/>
    <d v="1899-12-30T00:00:00"/>
  </r>
  <r>
    <x v="55"/>
    <x v="55"/>
    <x v="1"/>
    <x v="322"/>
    <x v="4"/>
    <d v="1899-12-30T07:07:02"/>
    <s v=""/>
    <d v="1899-12-30T00:00:00"/>
    <d v="1899-12-30T07:30:00"/>
  </r>
  <r>
    <x v="55"/>
    <x v="55"/>
    <x v="1"/>
    <x v="322"/>
    <x v="4"/>
    <s v=""/>
    <d v="1899-12-30T15:20:56"/>
    <d v="1899-12-30T00:00:00"/>
    <d v="1899-12-30T00:00:00"/>
  </r>
  <r>
    <x v="55"/>
    <x v="55"/>
    <x v="2"/>
    <x v="323"/>
    <x v="4"/>
    <d v="1899-12-30T07:06:49"/>
    <s v=""/>
    <d v="1899-12-30T00:00:00"/>
    <d v="1899-12-30T07:30:00"/>
  </r>
  <r>
    <x v="55"/>
    <x v="55"/>
    <x v="2"/>
    <x v="323"/>
    <x v="4"/>
    <s v=""/>
    <d v="1899-12-30T15:17:12"/>
    <d v="1899-12-30T00:00:00"/>
    <d v="1899-12-30T00:00:00"/>
  </r>
  <r>
    <x v="55"/>
    <x v="55"/>
    <x v="3"/>
    <x v="324"/>
    <x v="4"/>
    <d v="1899-12-30T07:07:18"/>
    <s v=""/>
    <d v="1899-12-30T00:00:00"/>
    <d v="1899-12-30T07:30:00"/>
  </r>
  <r>
    <x v="55"/>
    <x v="55"/>
    <x v="3"/>
    <x v="324"/>
    <x v="4"/>
    <s v=""/>
    <d v="1899-12-30T15:24:52"/>
    <d v="1899-12-30T00:00:00"/>
    <d v="1899-12-30T00:00:00"/>
  </r>
  <r>
    <x v="55"/>
    <x v="55"/>
    <x v="4"/>
    <x v="325"/>
    <x v="4"/>
    <s v=""/>
    <d v="1899-12-30T16:42:38"/>
    <d v="1899-12-30T01:00:00"/>
    <d v="1899-12-30T07:30:00"/>
  </r>
  <r>
    <x v="55"/>
    <x v="55"/>
    <x v="4"/>
    <x v="325"/>
    <x v="4"/>
    <d v="1899-12-30T07:06:50"/>
    <s v=""/>
    <d v="1899-12-30T00:00:00"/>
    <d v="1899-12-30T00:00:00"/>
  </r>
  <r>
    <x v="55"/>
    <x v="55"/>
    <x v="5"/>
    <x v="326"/>
    <x v="4"/>
    <d v="1899-12-30T07:14:17"/>
    <s v=""/>
    <d v="1899-12-30T00:00:00"/>
    <d v="1899-12-30T07:30:00"/>
  </r>
  <r>
    <x v="55"/>
    <x v="55"/>
    <x v="5"/>
    <x v="326"/>
    <x v="4"/>
    <s v=""/>
    <d v="1899-12-30T15:16:51"/>
    <d v="1899-12-30T00:00:00"/>
    <d v="1899-12-30T00:00:00"/>
  </r>
  <r>
    <x v="56"/>
    <x v="56"/>
    <x v="0"/>
    <x v="327"/>
    <x v="0"/>
    <d v="1899-12-30T07:07:06"/>
    <s v=""/>
    <e v="#N/A"/>
    <e v="#N/A"/>
  </r>
  <r>
    <x v="56"/>
    <x v="56"/>
    <x v="0"/>
    <x v="327"/>
    <x v="0"/>
    <s v=""/>
    <d v="1899-12-30T15:19:37"/>
    <d v="1899-12-30T00:00:00"/>
    <d v="1899-12-30T00:00:00"/>
  </r>
  <r>
    <x v="56"/>
    <x v="56"/>
    <x v="1"/>
    <x v="328"/>
    <x v="0"/>
    <d v="1899-12-30T07:05:00"/>
    <s v=""/>
    <e v="#N/A"/>
    <e v="#N/A"/>
  </r>
  <r>
    <x v="56"/>
    <x v="56"/>
    <x v="1"/>
    <x v="328"/>
    <x v="0"/>
    <s v=""/>
    <d v="1899-12-30T15:25:45"/>
    <d v="1899-12-30T00:00:00"/>
    <d v="1899-12-30T00:00:00"/>
  </r>
  <r>
    <x v="56"/>
    <x v="56"/>
    <x v="2"/>
    <x v="329"/>
    <x v="0"/>
    <d v="1899-12-30T07:04:24"/>
    <s v=""/>
    <e v="#N/A"/>
    <e v="#N/A"/>
  </r>
  <r>
    <x v="56"/>
    <x v="56"/>
    <x v="2"/>
    <x v="329"/>
    <x v="0"/>
    <s v=""/>
    <d v="1899-12-30T15:28:15"/>
    <d v="1899-12-30T00:00:00"/>
    <d v="1899-12-30T00:00:00"/>
  </r>
  <r>
    <x v="56"/>
    <x v="56"/>
    <x v="3"/>
    <x v="330"/>
    <x v="0"/>
    <d v="1899-12-30T07:03:40"/>
    <s v=""/>
    <e v="#N/A"/>
    <e v="#N/A"/>
  </r>
  <r>
    <x v="56"/>
    <x v="56"/>
    <x v="3"/>
    <x v="330"/>
    <x v="0"/>
    <s v=""/>
    <d v="1899-12-30T15:27:20"/>
    <d v="1899-12-30T00:00:00"/>
    <d v="1899-12-30T00:00:00"/>
  </r>
  <r>
    <x v="56"/>
    <x v="56"/>
    <x v="4"/>
    <x v="331"/>
    <x v="0"/>
    <s v=""/>
    <d v="1899-12-30T15:27:02"/>
    <e v="#N/A"/>
    <e v="#N/A"/>
  </r>
  <r>
    <x v="56"/>
    <x v="56"/>
    <x v="4"/>
    <x v="331"/>
    <x v="0"/>
    <d v="1899-12-30T07:04:55"/>
    <s v=""/>
    <d v="1899-12-30T00:00:00"/>
    <d v="1899-12-30T00:00:00"/>
  </r>
  <r>
    <x v="56"/>
    <x v="56"/>
    <x v="5"/>
    <x v="332"/>
    <x v="0"/>
    <d v="1899-12-30T07:03:20"/>
    <s v=""/>
    <e v="#N/A"/>
    <e v="#N/A"/>
  </r>
  <r>
    <x v="56"/>
    <x v="56"/>
    <x v="5"/>
    <x v="332"/>
    <x v="0"/>
    <s v=""/>
    <d v="1899-12-30T15:21:28"/>
    <d v="1899-12-30T00:00:00"/>
    <d v="1899-12-30T00:00:00"/>
  </r>
  <r>
    <x v="57"/>
    <x v="57"/>
    <x v="0"/>
    <x v="333"/>
    <x v="0"/>
    <d v="1899-12-30T09:02:23"/>
    <s v=""/>
    <e v="#N/A"/>
    <e v="#N/A"/>
  </r>
  <r>
    <x v="57"/>
    <x v="57"/>
    <x v="0"/>
    <x v="333"/>
    <x v="0"/>
    <s v=""/>
    <d v="1899-12-30T18:18:45"/>
    <d v="1899-12-30T00:00:00"/>
    <d v="1899-12-30T00:00:00"/>
  </r>
  <r>
    <x v="57"/>
    <x v="57"/>
    <x v="1"/>
    <x v="334"/>
    <x v="0"/>
    <d v="1899-12-30T08:42:29"/>
    <s v=""/>
    <e v="#N/A"/>
    <e v="#N/A"/>
  </r>
  <r>
    <x v="57"/>
    <x v="57"/>
    <x v="1"/>
    <x v="334"/>
    <x v="0"/>
    <s v=""/>
    <d v="1899-12-30T19:48:30"/>
    <d v="1899-12-30T00:00:00"/>
    <d v="1899-12-30T00:00:00"/>
  </r>
  <r>
    <x v="57"/>
    <x v="57"/>
    <x v="2"/>
    <x v="335"/>
    <x v="0"/>
    <d v="1899-12-30T08:34:29"/>
    <s v=""/>
    <e v="#N/A"/>
    <e v="#N/A"/>
  </r>
  <r>
    <x v="57"/>
    <x v="57"/>
    <x v="2"/>
    <x v="335"/>
    <x v="0"/>
    <s v=""/>
    <d v="1899-12-30T19:39:17"/>
    <d v="1899-12-30T00:00:00"/>
    <d v="1899-12-30T00:00:00"/>
  </r>
  <r>
    <x v="57"/>
    <x v="57"/>
    <x v="3"/>
    <x v="336"/>
    <x v="0"/>
    <d v="1899-12-30T08:32:10"/>
    <s v=""/>
    <e v="#N/A"/>
    <e v="#N/A"/>
  </r>
  <r>
    <x v="57"/>
    <x v="57"/>
    <x v="3"/>
    <x v="336"/>
    <x v="0"/>
    <s v=""/>
    <d v="1899-12-30T19:10:00"/>
    <d v="1899-12-30T00:00:00"/>
    <d v="1899-12-30T00:00:00"/>
  </r>
  <r>
    <x v="57"/>
    <x v="57"/>
    <x v="4"/>
    <x v="337"/>
    <x v="0"/>
    <s v=""/>
    <d v="1899-12-30T18:07:31"/>
    <e v="#N/A"/>
    <e v="#N/A"/>
  </r>
  <r>
    <x v="57"/>
    <x v="57"/>
    <x v="4"/>
    <x v="337"/>
    <x v="0"/>
    <d v="1899-12-30T08:50:18"/>
    <s v=""/>
    <d v="1899-12-30T00:00:00"/>
    <d v="1899-12-30T00:00:00"/>
  </r>
  <r>
    <x v="58"/>
    <x v="58"/>
    <x v="0"/>
    <x v="338"/>
    <x v="2"/>
    <d v="1899-12-30T00:15:11"/>
    <s v=""/>
    <d v="1899-12-30T07:30:00"/>
    <d v="1899-12-30T09:00:00"/>
  </r>
  <r>
    <x v="58"/>
    <x v="58"/>
    <x v="0"/>
    <x v="338"/>
    <x v="2"/>
    <s v=""/>
    <d v="1899-12-30T08:01:10"/>
    <d v="1899-12-30T00:00:00"/>
    <d v="1899-12-30T00:00:00"/>
  </r>
  <r>
    <x v="58"/>
    <x v="58"/>
    <x v="0"/>
    <x v="339"/>
    <x v="2"/>
    <d v="1899-12-30T21:57:42"/>
    <s v=""/>
    <d v="1899-12-30T00:00:00"/>
    <d v="1899-12-30T00:00:00"/>
  </r>
  <r>
    <x v="58"/>
    <x v="58"/>
    <x v="1"/>
    <x v="340"/>
    <x v="2"/>
    <d v="1899-12-30T22:01:57"/>
    <s v=""/>
    <d v="1899-12-30T00:00:00"/>
    <d v="1899-12-30T09:00:00"/>
  </r>
  <r>
    <x v="58"/>
    <x v="58"/>
    <x v="1"/>
    <x v="340"/>
    <x v="2"/>
    <s v=""/>
    <d v="1899-12-30T07:46:56"/>
    <d v="1899-12-30T00:00:00"/>
    <d v="1899-12-30T00:00:00"/>
  </r>
  <r>
    <x v="58"/>
    <x v="58"/>
    <x v="2"/>
    <x v="341"/>
    <x v="2"/>
    <s v=""/>
    <d v="1899-12-30T07:51:52"/>
    <d v="1899-12-30T00:00:00"/>
    <d v="1899-12-30T09:00:00"/>
  </r>
  <r>
    <x v="58"/>
    <x v="58"/>
    <x v="2"/>
    <x v="341"/>
    <x v="2"/>
    <d v="1899-12-30T22:02:29"/>
    <s v=""/>
    <d v="1899-12-30T00:00:00"/>
    <d v="1899-12-30T00:00:00"/>
  </r>
  <r>
    <x v="58"/>
    <x v="58"/>
    <x v="3"/>
    <x v="342"/>
    <x v="2"/>
    <s v=""/>
    <d v="1899-12-30T07:53:22"/>
    <d v="1899-12-30T00:00:00"/>
    <d v="1899-12-30T09:00:00"/>
  </r>
  <r>
    <x v="58"/>
    <x v="58"/>
    <x v="3"/>
    <x v="342"/>
    <x v="2"/>
    <d v="1899-12-30T21:56:51"/>
    <s v=""/>
    <d v="1899-12-30T00:00:00"/>
    <d v="1899-12-30T00:00:00"/>
  </r>
  <r>
    <x v="58"/>
    <x v="58"/>
    <x v="4"/>
    <x v="343"/>
    <x v="2"/>
    <d v="1899-12-30T22:15:12"/>
    <s v=""/>
    <d v="1899-12-30T00:00:00"/>
    <d v="1899-12-30T09:00:00"/>
  </r>
  <r>
    <x v="58"/>
    <x v="58"/>
    <x v="4"/>
    <x v="343"/>
    <x v="2"/>
    <s v=""/>
    <d v="1899-12-30T07:48:05"/>
    <d v="1899-12-30T00:00:00"/>
    <d v="1899-12-30T00:00:00"/>
  </r>
  <r>
    <x v="58"/>
    <x v="58"/>
    <x v="5"/>
    <x v="344"/>
    <x v="2"/>
    <s v=""/>
    <d v="1899-12-30T07:52:12"/>
    <d v="1899-12-30T00:00:00"/>
    <d v="1899-12-30T09:00:00"/>
  </r>
  <r>
    <x v="59"/>
    <x v="59"/>
    <x v="0"/>
    <x v="345"/>
    <x v="0"/>
    <d v="1899-12-30T06:58:38"/>
    <s v=""/>
    <e v="#N/A"/>
    <e v="#N/A"/>
  </r>
  <r>
    <x v="59"/>
    <x v="59"/>
    <x v="0"/>
    <x v="345"/>
    <x v="0"/>
    <s v=""/>
    <d v="1899-12-30T15:10:41"/>
    <d v="1899-12-30T00:00:00"/>
    <d v="1899-12-30T00:00:00"/>
  </r>
  <r>
    <x v="59"/>
    <x v="59"/>
    <x v="1"/>
    <x v="346"/>
    <x v="0"/>
    <d v="1899-12-30T06:58:28"/>
    <s v=""/>
    <e v="#N/A"/>
    <e v="#N/A"/>
  </r>
  <r>
    <x v="59"/>
    <x v="59"/>
    <x v="1"/>
    <x v="346"/>
    <x v="0"/>
    <s v=""/>
    <d v="1899-12-30T15:03:51"/>
    <d v="1899-12-30T00:00:00"/>
    <d v="1899-12-30T00:00:00"/>
  </r>
  <r>
    <x v="59"/>
    <x v="59"/>
    <x v="2"/>
    <x v="347"/>
    <x v="0"/>
    <d v="1899-12-30T06:56:16"/>
    <s v=""/>
    <e v="#N/A"/>
    <e v="#N/A"/>
  </r>
  <r>
    <x v="59"/>
    <x v="59"/>
    <x v="2"/>
    <x v="347"/>
    <x v="0"/>
    <s v=""/>
    <d v="1899-12-30T15:11:28"/>
    <d v="1899-12-30T00:00:00"/>
    <d v="1899-12-30T00:00:00"/>
  </r>
  <r>
    <x v="59"/>
    <x v="59"/>
    <x v="3"/>
    <x v="348"/>
    <x v="0"/>
    <d v="1899-12-30T07:10:32"/>
    <s v=""/>
    <e v="#N/A"/>
    <e v="#N/A"/>
  </r>
  <r>
    <x v="59"/>
    <x v="59"/>
    <x v="3"/>
    <x v="348"/>
    <x v="0"/>
    <s v=""/>
    <d v="1899-12-30T14:57:57"/>
    <d v="1899-12-30T00:00:00"/>
    <d v="1899-12-30T00:00:00"/>
  </r>
  <r>
    <x v="59"/>
    <x v="59"/>
    <x v="4"/>
    <x v="349"/>
    <x v="0"/>
    <d v="1899-12-30T07:01:54"/>
    <s v=""/>
    <e v="#N/A"/>
    <e v="#N/A"/>
  </r>
  <r>
    <x v="59"/>
    <x v="59"/>
    <x v="4"/>
    <x v="349"/>
    <x v="0"/>
    <s v=""/>
    <d v="1899-12-30T15:14:40"/>
    <d v="1899-12-30T00:00:00"/>
    <d v="1899-12-30T00:00:00"/>
  </r>
  <r>
    <x v="59"/>
    <x v="59"/>
    <x v="5"/>
    <x v="350"/>
    <x v="0"/>
    <s v=""/>
    <d v="1899-12-30T15:02:43"/>
    <e v="#N/A"/>
    <e v="#N/A"/>
  </r>
  <r>
    <x v="59"/>
    <x v="59"/>
    <x v="5"/>
    <x v="350"/>
    <x v="0"/>
    <d v="1899-12-30T06:59:36"/>
    <s v=""/>
    <d v="1899-12-30T00:00:00"/>
    <d v="1899-12-30T00:00:00"/>
  </r>
  <r>
    <x v="60"/>
    <x v="60"/>
    <x v="0"/>
    <x v="351"/>
    <x v="1"/>
    <d v="1899-12-30T00:05:49"/>
    <s v=""/>
    <d v="1899-12-30T07:30:00"/>
    <d v="1899-12-30T10:00:00"/>
  </r>
  <r>
    <x v="60"/>
    <x v="60"/>
    <x v="0"/>
    <x v="351"/>
    <x v="1"/>
    <s v=""/>
    <d v="1899-12-30T08:24:27"/>
    <d v="1899-12-30T00:00:00"/>
    <d v="1899-12-30T00:00:00"/>
  </r>
  <r>
    <x v="60"/>
    <x v="60"/>
    <x v="1"/>
    <x v="352"/>
    <x v="1"/>
    <d v="1899-12-30T07:34:44"/>
    <s v=""/>
    <d v="1899-12-30T00:00:00"/>
    <d v="1899-12-30T10:00:00"/>
  </r>
  <r>
    <x v="60"/>
    <x v="60"/>
    <x v="1"/>
    <x v="352"/>
    <x v="1"/>
    <s v=""/>
    <d v="1899-12-30T19:39:19"/>
    <d v="1899-12-30T00:00:00"/>
    <d v="1899-12-30T00:00:00"/>
  </r>
  <r>
    <x v="60"/>
    <x v="60"/>
    <x v="2"/>
    <x v="353"/>
    <x v="1"/>
    <d v="1899-12-30T07:33:44"/>
    <s v=""/>
    <d v="1899-12-30T00:00:00"/>
    <d v="1899-12-30T10:00:00"/>
  </r>
  <r>
    <x v="60"/>
    <x v="60"/>
    <x v="2"/>
    <x v="353"/>
    <x v="1"/>
    <s v=""/>
    <d v="1899-12-30T20:29:33"/>
    <d v="1899-12-30T00:00:00"/>
    <d v="1899-12-30T00:00:00"/>
  </r>
  <r>
    <x v="60"/>
    <x v="60"/>
    <x v="3"/>
    <x v="354"/>
    <x v="1"/>
    <d v="1899-12-30T07:35:27"/>
    <s v=""/>
    <d v="1899-12-30T00:00:00"/>
    <d v="1899-12-30T10:00:00"/>
  </r>
  <r>
    <x v="60"/>
    <x v="60"/>
    <x v="3"/>
    <x v="354"/>
    <x v="1"/>
    <d v="1899-12-30T18:04:33"/>
    <s v=""/>
    <d v="1899-12-30T00:00:00"/>
    <d v="1899-12-30T00:00:00"/>
  </r>
  <r>
    <x v="60"/>
    <x v="60"/>
    <x v="4"/>
    <x v="355"/>
    <x v="1"/>
    <s v=""/>
    <d v="1899-12-30T16:08:13"/>
    <d v="1899-12-30T00:00:00"/>
    <d v="1899-12-30T10:00:00"/>
  </r>
  <r>
    <x v="60"/>
    <x v="60"/>
    <x v="4"/>
    <x v="355"/>
    <x v="1"/>
    <d v="1899-12-30T07:29:44"/>
    <s v=""/>
    <d v="1899-12-30T00:00:00"/>
    <d v="1899-12-30T00:00:00"/>
  </r>
  <r>
    <x v="61"/>
    <x v="61"/>
    <x v="0"/>
    <x v="356"/>
    <x v="0"/>
    <d v="1899-12-30T06:58:41"/>
    <s v=""/>
    <e v="#N/A"/>
    <e v="#N/A"/>
  </r>
  <r>
    <x v="61"/>
    <x v="61"/>
    <x v="0"/>
    <x v="356"/>
    <x v="0"/>
    <s v=""/>
    <d v="1899-12-30T15:22:55"/>
    <d v="1899-12-30T00:00:00"/>
    <d v="1899-12-30T00:00:00"/>
  </r>
  <r>
    <x v="61"/>
    <x v="61"/>
    <x v="1"/>
    <x v="357"/>
    <x v="0"/>
    <d v="1899-12-30T08:30:26"/>
    <s v=""/>
    <e v="#N/A"/>
    <e v="#N/A"/>
  </r>
  <r>
    <x v="61"/>
    <x v="61"/>
    <x v="1"/>
    <x v="357"/>
    <x v="0"/>
    <s v=""/>
    <d v="1899-12-30T15:19:00"/>
    <d v="1899-12-30T00:00:00"/>
    <d v="1899-12-30T00:00:00"/>
  </r>
  <r>
    <x v="61"/>
    <x v="61"/>
    <x v="2"/>
    <x v="358"/>
    <x v="0"/>
    <d v="1899-12-30T07:06:11"/>
    <s v=""/>
    <e v="#N/A"/>
    <e v="#N/A"/>
  </r>
  <r>
    <x v="61"/>
    <x v="61"/>
    <x v="2"/>
    <x v="358"/>
    <x v="0"/>
    <s v=""/>
    <d v="1899-12-30T15:26:09"/>
    <d v="1899-12-30T00:00:00"/>
    <d v="1899-12-30T00:00:00"/>
  </r>
  <r>
    <x v="61"/>
    <x v="61"/>
    <x v="3"/>
    <x v="359"/>
    <x v="0"/>
    <d v="1899-12-30T07:11:54"/>
    <s v=""/>
    <e v="#N/A"/>
    <e v="#N/A"/>
  </r>
  <r>
    <x v="61"/>
    <x v="61"/>
    <x v="3"/>
    <x v="359"/>
    <x v="0"/>
    <s v=""/>
    <d v="1899-12-30T15:12:07"/>
    <d v="1899-12-30T00:00:00"/>
    <d v="1899-12-30T00:00:00"/>
  </r>
  <r>
    <x v="61"/>
    <x v="61"/>
    <x v="4"/>
    <x v="360"/>
    <x v="0"/>
    <s v=""/>
    <d v="1899-12-30T15:20:13"/>
    <e v="#N/A"/>
    <e v="#N/A"/>
  </r>
  <r>
    <x v="61"/>
    <x v="61"/>
    <x v="4"/>
    <x v="360"/>
    <x v="0"/>
    <d v="1899-12-30T07:07:35"/>
    <s v=""/>
    <d v="1899-12-30T00:00:00"/>
    <d v="1899-12-30T00:00:00"/>
  </r>
  <r>
    <x v="61"/>
    <x v="61"/>
    <x v="5"/>
    <x v="361"/>
    <x v="0"/>
    <d v="1899-12-30T07:04:07"/>
    <s v=""/>
    <e v="#N/A"/>
    <e v="#N/A"/>
  </r>
  <r>
    <x v="61"/>
    <x v="61"/>
    <x v="5"/>
    <x v="361"/>
    <x v="0"/>
    <s v=""/>
    <d v="1899-12-30T15:02:52"/>
    <d v="1899-12-30T00:00:00"/>
    <d v="1899-12-30T00:00:00"/>
  </r>
  <r>
    <x v="62"/>
    <x v="62"/>
    <x v="0"/>
    <x v="362"/>
    <x v="0"/>
    <d v="1899-12-30T14:36:54"/>
    <s v=""/>
    <e v="#N/A"/>
    <e v="#N/A"/>
  </r>
  <r>
    <x v="62"/>
    <x v="62"/>
    <x v="0"/>
    <x v="362"/>
    <x v="0"/>
    <s v=""/>
    <d v="1899-12-30T22:37:12"/>
    <d v="1899-12-30T00:00:00"/>
    <d v="1899-12-30T00:00:00"/>
  </r>
  <r>
    <x v="62"/>
    <x v="62"/>
    <x v="1"/>
    <x v="363"/>
    <x v="0"/>
    <d v="1899-12-30T14:31:17"/>
    <s v=""/>
    <e v="#N/A"/>
    <e v="#N/A"/>
  </r>
  <r>
    <x v="62"/>
    <x v="62"/>
    <x v="1"/>
    <x v="363"/>
    <x v="0"/>
    <s v=""/>
    <d v="1899-12-30T22:41:38"/>
    <d v="1899-12-30T00:00:00"/>
    <d v="1899-12-30T00:00:00"/>
  </r>
  <r>
    <x v="62"/>
    <x v="62"/>
    <x v="2"/>
    <x v="364"/>
    <x v="0"/>
    <d v="1899-12-30T14:35:28"/>
    <s v=""/>
    <e v="#N/A"/>
    <e v="#N/A"/>
  </r>
  <r>
    <x v="62"/>
    <x v="62"/>
    <x v="2"/>
    <x v="364"/>
    <x v="0"/>
    <s v=""/>
    <d v="1899-12-30T22:38:39"/>
    <d v="1899-12-30T00:00:00"/>
    <d v="1899-12-30T00:00:00"/>
  </r>
  <r>
    <x v="62"/>
    <x v="62"/>
    <x v="3"/>
    <x v="365"/>
    <x v="0"/>
    <d v="1899-12-30T14:34:09"/>
    <s v=""/>
    <e v="#N/A"/>
    <e v="#N/A"/>
  </r>
  <r>
    <x v="62"/>
    <x v="62"/>
    <x v="3"/>
    <x v="365"/>
    <x v="0"/>
    <s v=""/>
    <d v="1899-12-30T22:35:08"/>
    <d v="1899-12-30T00:00:00"/>
    <d v="1899-12-30T00:00:00"/>
  </r>
  <r>
    <x v="62"/>
    <x v="62"/>
    <x v="4"/>
    <x v="366"/>
    <x v="0"/>
    <d v="1899-12-30T14:32:53"/>
    <s v=""/>
    <e v="#N/A"/>
    <e v="#N/A"/>
  </r>
  <r>
    <x v="62"/>
    <x v="62"/>
    <x v="4"/>
    <x v="366"/>
    <x v="0"/>
    <s v=""/>
    <d v="1899-12-30T22:45:40"/>
    <d v="1899-12-30T00:00:00"/>
    <d v="1899-12-30T00:00:00"/>
  </r>
  <r>
    <x v="62"/>
    <x v="62"/>
    <x v="5"/>
    <x v="367"/>
    <x v="0"/>
    <s v=""/>
    <d v="1899-12-30T15:14:08"/>
    <e v="#N/A"/>
    <e v="#N/A"/>
  </r>
  <r>
    <x v="62"/>
    <x v="62"/>
    <x v="5"/>
    <x v="367"/>
    <x v="0"/>
    <d v="1899-12-30T07:04:20"/>
    <s v=""/>
    <d v="1899-12-30T00:00:00"/>
    <d v="1899-12-30T00:00:00"/>
  </r>
  <r>
    <x v="63"/>
    <x v="63"/>
    <x v="2"/>
    <x v="368"/>
    <x v="0"/>
    <d v="1899-12-30T08:42:33"/>
    <s v=""/>
    <e v="#N/A"/>
    <e v="#N/A"/>
  </r>
  <r>
    <x v="63"/>
    <x v="63"/>
    <x v="2"/>
    <x v="368"/>
    <x v="0"/>
    <s v=""/>
    <d v="1899-12-30T21:00:55"/>
    <d v="1899-12-30T00:00:00"/>
    <d v="1899-12-30T00:00:00"/>
  </r>
  <r>
    <x v="63"/>
    <x v="63"/>
    <x v="3"/>
    <x v="369"/>
    <x v="0"/>
    <d v="1899-12-30T08:29:23"/>
    <s v=""/>
    <e v="#N/A"/>
    <e v="#N/A"/>
  </r>
  <r>
    <x v="63"/>
    <x v="63"/>
    <x v="3"/>
    <x v="369"/>
    <x v="0"/>
    <s v=""/>
    <d v="1899-12-30T18:55:41"/>
    <d v="1899-12-30T00:00:00"/>
    <d v="1899-12-30T00:00:00"/>
  </r>
  <r>
    <x v="63"/>
    <x v="63"/>
    <x v="4"/>
    <x v="370"/>
    <x v="0"/>
    <d v="1899-12-30T08:36:04"/>
    <s v=""/>
    <e v="#N/A"/>
    <e v="#N/A"/>
  </r>
  <r>
    <x v="63"/>
    <x v="63"/>
    <x v="4"/>
    <x v="370"/>
    <x v="0"/>
    <s v=""/>
    <d v="1899-12-30T17:27:32"/>
    <d v="1899-12-30T00:00:00"/>
    <d v="1899-12-30T00:00:00"/>
  </r>
  <r>
    <x v="64"/>
    <x v="64"/>
    <x v="0"/>
    <x v="371"/>
    <x v="0"/>
    <d v="1899-12-30T07:46:36"/>
    <s v=""/>
    <e v="#N/A"/>
    <e v="#N/A"/>
  </r>
  <r>
    <x v="64"/>
    <x v="64"/>
    <x v="0"/>
    <x v="371"/>
    <x v="0"/>
    <s v=""/>
    <d v="1899-12-30T18:37:14"/>
    <d v="1899-12-30T00:00:00"/>
    <d v="1899-12-30T00:00:00"/>
  </r>
  <r>
    <x v="64"/>
    <x v="64"/>
    <x v="1"/>
    <x v="372"/>
    <x v="0"/>
    <d v="1899-12-30T08:02:18"/>
    <s v=""/>
    <e v="#N/A"/>
    <e v="#N/A"/>
  </r>
  <r>
    <x v="64"/>
    <x v="64"/>
    <x v="1"/>
    <x v="372"/>
    <x v="0"/>
    <s v=""/>
    <d v="1899-12-30T18:57:04"/>
    <d v="1899-12-30T00:00:00"/>
    <d v="1899-12-30T00:00:00"/>
  </r>
  <r>
    <x v="64"/>
    <x v="64"/>
    <x v="2"/>
    <x v="373"/>
    <x v="0"/>
    <d v="1899-12-30T08:01:00"/>
    <s v=""/>
    <e v="#N/A"/>
    <e v="#N/A"/>
  </r>
  <r>
    <x v="64"/>
    <x v="64"/>
    <x v="2"/>
    <x v="373"/>
    <x v="0"/>
    <s v=""/>
    <d v="1899-12-30T18:43:23"/>
    <d v="1899-12-30T00:00:00"/>
    <d v="1899-12-30T00:00:00"/>
  </r>
  <r>
    <x v="64"/>
    <x v="64"/>
    <x v="3"/>
    <x v="374"/>
    <x v="0"/>
    <d v="1899-12-30T08:00:21"/>
    <s v=""/>
    <e v="#N/A"/>
    <e v="#N/A"/>
  </r>
  <r>
    <x v="64"/>
    <x v="64"/>
    <x v="3"/>
    <x v="374"/>
    <x v="0"/>
    <s v=""/>
    <d v="1899-12-30T18:50:43"/>
    <d v="1899-12-30T00:00:00"/>
    <d v="1899-12-30T00:00:00"/>
  </r>
  <r>
    <x v="64"/>
    <x v="64"/>
    <x v="4"/>
    <x v="375"/>
    <x v="0"/>
    <s v=""/>
    <d v="1899-12-30T18:01:05"/>
    <e v="#N/A"/>
    <e v="#N/A"/>
  </r>
  <r>
    <x v="64"/>
    <x v="64"/>
    <x v="4"/>
    <x v="375"/>
    <x v="0"/>
    <d v="1899-12-30T08:03:54"/>
    <s v=""/>
    <d v="1899-12-30T00:00:00"/>
    <d v="1899-12-30T00:00:00"/>
  </r>
  <r>
    <x v="64"/>
    <x v="64"/>
    <x v="5"/>
    <x v="376"/>
    <x v="0"/>
    <d v="1899-12-30T07:11:45"/>
    <s v=""/>
    <e v="#N/A"/>
    <e v="#N/A"/>
  </r>
  <r>
    <x v="64"/>
    <x v="64"/>
    <x v="5"/>
    <x v="376"/>
    <x v="0"/>
    <s v=""/>
    <d v="1899-12-30T15:14:28"/>
    <d v="1899-12-30T00:00:00"/>
    <d v="1899-12-30T00:00:00"/>
  </r>
  <r>
    <x v="65"/>
    <x v="65"/>
    <x v="0"/>
    <x v="377"/>
    <x v="0"/>
    <d v="1899-12-30T00:01:33"/>
    <s v=""/>
    <e v="#N/A"/>
    <e v="#N/A"/>
  </r>
  <r>
    <x v="65"/>
    <x v="65"/>
    <x v="0"/>
    <x v="377"/>
    <x v="0"/>
    <s v=""/>
    <d v="1899-12-30T07:28:21"/>
    <d v="1899-12-30T00:00:00"/>
    <d v="1899-12-30T00:00:00"/>
  </r>
  <r>
    <x v="65"/>
    <x v="65"/>
    <x v="0"/>
    <x v="378"/>
    <x v="0"/>
    <d v="1899-12-30T22:06:59"/>
    <s v=""/>
    <d v="1899-12-30T00:00:00"/>
    <d v="1899-12-30T00:00:00"/>
  </r>
  <r>
    <x v="65"/>
    <x v="65"/>
    <x v="1"/>
    <x v="379"/>
    <x v="0"/>
    <s v=""/>
    <d v="1899-12-30T07:33:12"/>
    <e v="#N/A"/>
    <e v="#N/A"/>
  </r>
  <r>
    <x v="65"/>
    <x v="65"/>
    <x v="1"/>
    <x v="379"/>
    <x v="0"/>
    <d v="1899-12-30T22:04:34"/>
    <s v=""/>
    <d v="1899-12-30T00:00:00"/>
    <d v="1899-12-30T00:00:00"/>
  </r>
  <r>
    <x v="65"/>
    <x v="65"/>
    <x v="2"/>
    <x v="380"/>
    <x v="0"/>
    <s v=""/>
    <d v="1899-12-30T07:36:15"/>
    <e v="#N/A"/>
    <e v="#N/A"/>
  </r>
  <r>
    <x v="65"/>
    <x v="65"/>
    <x v="2"/>
    <x v="380"/>
    <x v="0"/>
    <d v="1899-12-30T22:07:04"/>
    <s v=""/>
    <d v="1899-12-30T00:00:00"/>
    <d v="1899-12-30T00:00:00"/>
  </r>
  <r>
    <x v="65"/>
    <x v="65"/>
    <x v="3"/>
    <x v="381"/>
    <x v="0"/>
    <s v=""/>
    <d v="1899-12-30T07:41:46"/>
    <e v="#N/A"/>
    <e v="#N/A"/>
  </r>
  <r>
    <x v="65"/>
    <x v="65"/>
    <x v="3"/>
    <x v="381"/>
    <x v="0"/>
    <d v="1899-12-30T22:07:46"/>
    <s v=""/>
    <d v="1899-12-30T00:00:00"/>
    <d v="1899-12-30T00:00:00"/>
  </r>
  <r>
    <x v="65"/>
    <x v="65"/>
    <x v="4"/>
    <x v="382"/>
    <x v="0"/>
    <d v="1899-12-30T22:06:28"/>
    <s v=""/>
    <e v="#N/A"/>
    <e v="#N/A"/>
  </r>
  <r>
    <x v="65"/>
    <x v="65"/>
    <x v="4"/>
    <x v="382"/>
    <x v="0"/>
    <s v=""/>
    <d v="1899-12-30T07:36:31"/>
    <d v="1899-12-30T00:00:00"/>
    <d v="1899-12-30T00:00:00"/>
  </r>
  <r>
    <x v="65"/>
    <x v="65"/>
    <x v="5"/>
    <x v="383"/>
    <x v="0"/>
    <s v=""/>
    <d v="1899-12-30T07:46:39"/>
    <e v="#N/A"/>
    <e v="#N/A"/>
  </r>
  <r>
    <x v="66"/>
    <x v="66"/>
    <x v="0"/>
    <x v="384"/>
    <x v="0"/>
    <d v="1899-12-30T07:16:25"/>
    <s v=""/>
    <e v="#N/A"/>
    <e v="#N/A"/>
  </r>
  <r>
    <x v="66"/>
    <x v="66"/>
    <x v="0"/>
    <x v="384"/>
    <x v="0"/>
    <s v=""/>
    <d v="1899-12-30T14:59:01"/>
    <d v="1899-12-30T00:00:00"/>
    <d v="1899-12-30T00:00:00"/>
  </r>
  <r>
    <x v="66"/>
    <x v="66"/>
    <x v="1"/>
    <x v="385"/>
    <x v="0"/>
    <d v="1899-12-30T07:23:49"/>
    <s v=""/>
    <e v="#N/A"/>
    <e v="#N/A"/>
  </r>
  <r>
    <x v="66"/>
    <x v="66"/>
    <x v="1"/>
    <x v="385"/>
    <x v="0"/>
    <s v=""/>
    <d v="1899-12-30T15:04:17"/>
    <d v="1899-12-30T00:00:00"/>
    <d v="1899-12-30T00:00:00"/>
  </r>
  <r>
    <x v="66"/>
    <x v="66"/>
    <x v="2"/>
    <x v="386"/>
    <x v="0"/>
    <d v="1899-12-30T07:20:00"/>
    <s v=""/>
    <e v="#N/A"/>
    <e v="#N/A"/>
  </r>
  <r>
    <x v="66"/>
    <x v="66"/>
    <x v="2"/>
    <x v="386"/>
    <x v="0"/>
    <s v=""/>
    <d v="1899-12-30T15:11:22"/>
    <d v="1899-12-30T00:00:00"/>
    <d v="1899-12-30T00:00:00"/>
  </r>
  <r>
    <x v="66"/>
    <x v="66"/>
    <x v="3"/>
    <x v="387"/>
    <x v="0"/>
    <d v="1899-12-30T07:25:15"/>
    <s v=""/>
    <e v="#N/A"/>
    <e v="#N/A"/>
  </r>
  <r>
    <x v="66"/>
    <x v="66"/>
    <x v="3"/>
    <x v="387"/>
    <x v="0"/>
    <s v=""/>
    <d v="1899-12-30T15:08:58"/>
    <d v="1899-12-30T00:00:00"/>
    <d v="1899-12-30T00:00:00"/>
  </r>
  <r>
    <x v="66"/>
    <x v="66"/>
    <x v="4"/>
    <x v="388"/>
    <x v="0"/>
    <d v="1899-12-30T07:24:16"/>
    <s v=""/>
    <e v="#N/A"/>
    <e v="#N/A"/>
  </r>
  <r>
    <x v="66"/>
    <x v="66"/>
    <x v="5"/>
    <x v="389"/>
    <x v="0"/>
    <d v="1899-12-30T07:24:58"/>
    <s v=""/>
    <e v="#N/A"/>
    <e v="#N/A"/>
  </r>
  <r>
    <x v="66"/>
    <x v="66"/>
    <x v="5"/>
    <x v="389"/>
    <x v="0"/>
    <s v=""/>
    <d v="1899-12-30T15:05:49"/>
    <d v="1899-12-30T00:00:00"/>
    <d v="1899-12-30T00:00:00"/>
  </r>
  <r>
    <x v="67"/>
    <x v="67"/>
    <x v="0"/>
    <x v="390"/>
    <x v="0"/>
    <d v="1899-12-30T07:29:40"/>
    <s v=""/>
    <e v="#N/A"/>
    <e v="#N/A"/>
  </r>
  <r>
    <x v="67"/>
    <x v="67"/>
    <x v="0"/>
    <x v="390"/>
    <x v="0"/>
    <s v=""/>
    <d v="1899-12-30T15:16:19"/>
    <d v="1899-12-30T00:00:00"/>
    <d v="1899-12-30T00:00:00"/>
  </r>
  <r>
    <x v="67"/>
    <x v="67"/>
    <x v="1"/>
    <x v="391"/>
    <x v="0"/>
    <d v="1899-12-30T07:29:35"/>
    <s v=""/>
    <e v="#N/A"/>
    <e v="#N/A"/>
  </r>
  <r>
    <x v="67"/>
    <x v="67"/>
    <x v="1"/>
    <x v="391"/>
    <x v="0"/>
    <s v=""/>
    <d v="1899-12-30T17:36:08"/>
    <d v="1899-12-30T00:00:00"/>
    <d v="1899-12-30T00:00:00"/>
  </r>
  <r>
    <x v="67"/>
    <x v="67"/>
    <x v="2"/>
    <x v="392"/>
    <x v="0"/>
    <d v="1899-12-30T07:35:32"/>
    <s v=""/>
    <e v="#N/A"/>
    <e v="#N/A"/>
  </r>
  <r>
    <x v="67"/>
    <x v="67"/>
    <x v="2"/>
    <x v="392"/>
    <x v="0"/>
    <s v=""/>
    <d v="1899-12-30T18:04:12"/>
    <d v="1899-12-30T00:00:00"/>
    <d v="1899-12-30T00:00:00"/>
  </r>
  <r>
    <x v="67"/>
    <x v="67"/>
    <x v="3"/>
    <x v="393"/>
    <x v="0"/>
    <d v="1899-12-30T07:37:15"/>
    <s v=""/>
    <e v="#N/A"/>
    <e v="#N/A"/>
  </r>
  <r>
    <x v="67"/>
    <x v="67"/>
    <x v="3"/>
    <x v="393"/>
    <x v="0"/>
    <s v=""/>
    <d v="1899-12-30T16:14:17"/>
    <d v="1899-12-30T00:00:00"/>
    <d v="1899-12-30T00:00:00"/>
  </r>
  <r>
    <x v="67"/>
    <x v="67"/>
    <x v="4"/>
    <x v="394"/>
    <x v="0"/>
    <s v=""/>
    <d v="1899-12-30T15:42:53"/>
    <e v="#N/A"/>
    <e v="#N/A"/>
  </r>
  <r>
    <x v="67"/>
    <x v="67"/>
    <x v="4"/>
    <x v="394"/>
    <x v="0"/>
    <d v="1899-12-30T07:40:29"/>
    <s v=""/>
    <d v="1899-12-30T00:00:00"/>
    <d v="1899-12-30T00:00:00"/>
  </r>
  <r>
    <x v="67"/>
    <x v="67"/>
    <x v="5"/>
    <x v="395"/>
    <x v="0"/>
    <d v="1899-12-30T08:04:13"/>
    <s v=""/>
    <e v="#N/A"/>
    <e v="#N/A"/>
  </r>
  <r>
    <x v="67"/>
    <x v="67"/>
    <x v="5"/>
    <x v="395"/>
    <x v="0"/>
    <s v=""/>
    <d v="1899-12-30T13:26:10"/>
    <d v="1899-12-30T00:00:00"/>
    <d v="1899-12-30T00:00:00"/>
  </r>
  <r>
    <x v="68"/>
    <x v="68"/>
    <x v="0"/>
    <x v="396"/>
    <x v="0"/>
    <d v="1899-12-30T07:14:09"/>
    <s v=""/>
    <e v="#N/A"/>
    <e v="#N/A"/>
  </r>
  <r>
    <x v="68"/>
    <x v="68"/>
    <x v="0"/>
    <x v="396"/>
    <x v="0"/>
    <s v=""/>
    <d v="1899-12-30T15:21:17"/>
    <d v="1899-12-30T00:00:00"/>
    <d v="1899-12-30T00:00:00"/>
  </r>
  <r>
    <x v="68"/>
    <x v="68"/>
    <x v="1"/>
    <x v="397"/>
    <x v="0"/>
    <d v="1899-12-30T07:41:52"/>
    <s v=""/>
    <e v="#N/A"/>
    <e v="#N/A"/>
  </r>
  <r>
    <x v="68"/>
    <x v="68"/>
    <x v="1"/>
    <x v="397"/>
    <x v="0"/>
    <s v=""/>
    <d v="1899-12-30T15:25:49"/>
    <d v="1899-12-30T00:00:00"/>
    <d v="1899-12-30T00:00:00"/>
  </r>
  <r>
    <x v="68"/>
    <x v="68"/>
    <x v="2"/>
    <x v="398"/>
    <x v="0"/>
    <d v="1899-12-30T07:20:21"/>
    <s v=""/>
    <e v="#N/A"/>
    <e v="#N/A"/>
  </r>
  <r>
    <x v="68"/>
    <x v="68"/>
    <x v="2"/>
    <x v="398"/>
    <x v="0"/>
    <s v=""/>
    <d v="1899-12-30T15:26:01"/>
    <d v="1899-12-30T00:00:00"/>
    <d v="1899-12-30T00:00:00"/>
  </r>
  <r>
    <x v="68"/>
    <x v="68"/>
    <x v="3"/>
    <x v="399"/>
    <x v="0"/>
    <d v="1899-12-30T07:23:53"/>
    <s v=""/>
    <e v="#N/A"/>
    <e v="#N/A"/>
  </r>
  <r>
    <x v="68"/>
    <x v="68"/>
    <x v="3"/>
    <x v="399"/>
    <x v="0"/>
    <s v=""/>
    <d v="1899-12-30T15:27:14"/>
    <d v="1899-12-30T00:00:00"/>
    <d v="1899-12-30T00:00:00"/>
  </r>
  <r>
    <x v="68"/>
    <x v="68"/>
    <x v="4"/>
    <x v="400"/>
    <x v="0"/>
    <s v=""/>
    <d v="1899-12-30T15:26:27"/>
    <e v="#N/A"/>
    <e v="#N/A"/>
  </r>
  <r>
    <x v="68"/>
    <x v="68"/>
    <x v="4"/>
    <x v="400"/>
    <x v="0"/>
    <d v="1899-12-30T07:30:40"/>
    <s v=""/>
    <d v="1899-12-30T00:00:00"/>
    <d v="1899-12-30T00:00:00"/>
  </r>
  <r>
    <x v="68"/>
    <x v="68"/>
    <x v="5"/>
    <x v="401"/>
    <x v="0"/>
    <d v="1899-12-30T07:17:21"/>
    <s v=""/>
    <e v="#N/A"/>
    <e v="#N/A"/>
  </r>
  <r>
    <x v="68"/>
    <x v="68"/>
    <x v="5"/>
    <x v="401"/>
    <x v="0"/>
    <s v=""/>
    <d v="1899-12-30T15:02:25"/>
    <d v="1899-12-30T00:00:00"/>
    <d v="1899-12-30T00:00:00"/>
  </r>
  <r>
    <x v="68"/>
    <x v="68"/>
    <x v="6"/>
    <x v="402"/>
    <x v="0"/>
    <d v="1899-12-30T23:40:53"/>
    <s v=""/>
    <e v="#N/A"/>
    <e v="#N/A"/>
  </r>
  <r>
    <x v="69"/>
    <x v="69"/>
    <x v="0"/>
    <x v="403"/>
    <x v="0"/>
    <d v="1899-12-30T22:05:41"/>
    <s v=""/>
    <e v="#N/A"/>
    <e v="#N/A"/>
  </r>
  <r>
    <x v="69"/>
    <x v="69"/>
    <x v="1"/>
    <x v="404"/>
    <x v="0"/>
    <s v=""/>
    <d v="1899-12-30T07:37:32"/>
    <e v="#N/A"/>
    <e v="#N/A"/>
  </r>
  <r>
    <x v="69"/>
    <x v="69"/>
    <x v="1"/>
    <x v="404"/>
    <x v="0"/>
    <d v="1899-12-30T22:05:18"/>
    <s v=""/>
    <d v="1899-12-30T00:00:00"/>
    <d v="1899-12-30T00:00:00"/>
  </r>
  <r>
    <x v="69"/>
    <x v="69"/>
    <x v="2"/>
    <x v="405"/>
    <x v="0"/>
    <s v=""/>
    <d v="1899-12-30T07:43:39"/>
    <e v="#N/A"/>
    <e v="#N/A"/>
  </r>
  <r>
    <x v="69"/>
    <x v="69"/>
    <x v="2"/>
    <x v="405"/>
    <x v="0"/>
    <d v="1899-12-30T22:04:24"/>
    <s v=""/>
    <d v="1899-12-30T00:00:00"/>
    <d v="1899-12-30T00:00:00"/>
  </r>
  <r>
    <x v="69"/>
    <x v="69"/>
    <x v="3"/>
    <x v="406"/>
    <x v="0"/>
    <s v=""/>
    <d v="1899-12-30T07:37:41"/>
    <e v="#N/A"/>
    <e v="#N/A"/>
  </r>
  <r>
    <x v="69"/>
    <x v="69"/>
    <x v="3"/>
    <x v="406"/>
    <x v="0"/>
    <d v="1899-12-30T22:07:23"/>
    <s v=""/>
    <d v="1899-12-30T00:00:00"/>
    <d v="1899-12-30T00:00:00"/>
  </r>
  <r>
    <x v="69"/>
    <x v="69"/>
    <x v="4"/>
    <x v="407"/>
    <x v="0"/>
    <d v="1899-12-30T22:06:56"/>
    <s v=""/>
    <e v="#N/A"/>
    <e v="#N/A"/>
  </r>
  <r>
    <x v="69"/>
    <x v="69"/>
    <x v="4"/>
    <x v="407"/>
    <x v="0"/>
    <s v=""/>
    <d v="1899-12-30T07:33:35"/>
    <d v="1899-12-30T00:00:00"/>
    <d v="1899-12-30T00:00:00"/>
  </r>
  <r>
    <x v="69"/>
    <x v="69"/>
    <x v="5"/>
    <x v="408"/>
    <x v="0"/>
    <s v=""/>
    <d v="1899-12-30T07:38:28"/>
    <e v="#N/A"/>
    <e v="#N/A"/>
  </r>
  <r>
    <x v="70"/>
    <x v="70"/>
    <x v="0"/>
    <x v="409"/>
    <x v="0"/>
    <d v="1899-12-30T14:44:33"/>
    <s v=""/>
    <e v="#N/A"/>
    <e v="#N/A"/>
  </r>
  <r>
    <x v="70"/>
    <x v="70"/>
    <x v="0"/>
    <x v="409"/>
    <x v="0"/>
    <s v=""/>
    <d v="1899-12-30T22:39:35"/>
    <d v="1899-12-30T00:00:00"/>
    <d v="1899-12-30T00:00:00"/>
  </r>
  <r>
    <x v="70"/>
    <x v="70"/>
    <x v="1"/>
    <x v="410"/>
    <x v="0"/>
    <d v="1899-12-30T14:43:23"/>
    <s v=""/>
    <e v="#N/A"/>
    <e v="#N/A"/>
  </r>
  <r>
    <x v="70"/>
    <x v="70"/>
    <x v="1"/>
    <x v="410"/>
    <x v="0"/>
    <s v=""/>
    <d v="1899-12-30T22:36:18"/>
    <d v="1899-12-30T00:00:00"/>
    <d v="1899-12-30T00:00:00"/>
  </r>
  <r>
    <x v="70"/>
    <x v="70"/>
    <x v="2"/>
    <x v="411"/>
    <x v="0"/>
    <d v="1899-12-30T14:45:45"/>
    <s v=""/>
    <e v="#N/A"/>
    <e v="#N/A"/>
  </r>
  <r>
    <x v="70"/>
    <x v="70"/>
    <x v="2"/>
    <x v="411"/>
    <x v="0"/>
    <s v=""/>
    <d v="1899-12-30T22:37:57"/>
    <d v="1899-12-30T00:00:00"/>
    <d v="1899-12-30T00:00:00"/>
  </r>
  <r>
    <x v="70"/>
    <x v="70"/>
    <x v="3"/>
    <x v="412"/>
    <x v="0"/>
    <d v="1899-12-30T14:52:26"/>
    <s v=""/>
    <e v="#N/A"/>
    <e v="#N/A"/>
  </r>
  <r>
    <x v="70"/>
    <x v="70"/>
    <x v="3"/>
    <x v="412"/>
    <x v="0"/>
    <s v=""/>
    <d v="1899-12-30T22:37:31"/>
    <d v="1899-12-30T00:00:00"/>
    <d v="1899-12-30T00:00:00"/>
  </r>
  <r>
    <x v="70"/>
    <x v="70"/>
    <x v="4"/>
    <x v="413"/>
    <x v="0"/>
    <s v=""/>
    <d v="1899-12-30T22:39:39"/>
    <e v="#N/A"/>
    <e v="#N/A"/>
  </r>
  <r>
    <x v="70"/>
    <x v="70"/>
    <x v="4"/>
    <x v="413"/>
    <x v="0"/>
    <d v="1899-12-30T14:48:31"/>
    <s v=""/>
    <d v="1899-12-30T00:00:00"/>
    <d v="1899-12-30T00:00:00"/>
  </r>
  <r>
    <x v="70"/>
    <x v="70"/>
    <x v="5"/>
    <x v="414"/>
    <x v="0"/>
    <d v="1899-12-30T07:19:49"/>
    <s v=""/>
    <e v="#N/A"/>
    <e v="#N/A"/>
  </r>
  <r>
    <x v="70"/>
    <x v="70"/>
    <x v="5"/>
    <x v="414"/>
    <x v="0"/>
    <s v=""/>
    <d v="1899-12-30T15:07:39"/>
    <d v="1899-12-30T00:00:00"/>
    <d v="1899-12-30T00:00:00"/>
  </r>
  <r>
    <x v="71"/>
    <x v="71"/>
    <x v="0"/>
    <x v="415"/>
    <x v="2"/>
    <s v=""/>
    <d v="1899-12-30T07:44:04"/>
    <d v="1899-12-30T07:30:00"/>
    <d v="1899-12-30T09:00:00"/>
  </r>
  <r>
    <x v="71"/>
    <x v="71"/>
    <x v="0"/>
    <x v="415"/>
    <x v="2"/>
    <d v="1899-12-30T22:13:18"/>
    <s v=""/>
    <d v="1899-12-30T00:00:00"/>
    <d v="1899-12-30T00:00:00"/>
  </r>
  <r>
    <x v="71"/>
    <x v="71"/>
    <x v="1"/>
    <x v="416"/>
    <x v="2"/>
    <s v=""/>
    <d v="1899-12-30T07:14:00"/>
    <d v="1899-12-30T00:00:00"/>
    <d v="1899-12-30T09:00:00"/>
  </r>
  <r>
    <x v="71"/>
    <x v="71"/>
    <x v="1"/>
    <x v="416"/>
    <x v="2"/>
    <d v="1899-12-30T22:07:05"/>
    <s v=""/>
    <d v="1899-12-30T00:00:00"/>
    <d v="1899-12-30T00:00:00"/>
  </r>
  <r>
    <x v="71"/>
    <x v="71"/>
    <x v="2"/>
    <x v="417"/>
    <x v="2"/>
    <s v=""/>
    <d v="1899-12-30T07:18:14"/>
    <d v="1899-12-30T00:00:00"/>
    <d v="1899-12-30T09:00:00"/>
  </r>
  <r>
    <x v="71"/>
    <x v="71"/>
    <x v="2"/>
    <x v="417"/>
    <x v="2"/>
    <d v="1899-12-30T22:12:25"/>
    <s v=""/>
    <d v="1899-12-30T00:00:00"/>
    <d v="1899-12-30T00:00:00"/>
  </r>
  <r>
    <x v="71"/>
    <x v="71"/>
    <x v="3"/>
    <x v="418"/>
    <x v="2"/>
    <s v=""/>
    <d v="1899-12-30T07:20:30"/>
    <d v="1899-12-30T00:00:00"/>
    <d v="1899-12-30T09:00:00"/>
  </r>
  <r>
    <x v="71"/>
    <x v="71"/>
    <x v="3"/>
    <x v="418"/>
    <x v="2"/>
    <d v="1899-12-30T22:16:54"/>
    <s v=""/>
    <d v="1899-12-30T00:00:00"/>
    <d v="1899-12-30T00:00:00"/>
  </r>
  <r>
    <x v="71"/>
    <x v="71"/>
    <x v="4"/>
    <x v="419"/>
    <x v="2"/>
    <d v="1899-12-30T22:15:11"/>
    <s v=""/>
    <d v="1899-12-30T00:00:00"/>
    <d v="1899-12-30T09:00:00"/>
  </r>
  <r>
    <x v="71"/>
    <x v="71"/>
    <x v="4"/>
    <x v="419"/>
    <x v="2"/>
    <s v=""/>
    <d v="1899-12-30T07:30:32"/>
    <d v="1899-12-30T00:00:00"/>
    <d v="1899-12-30T00:00:00"/>
  </r>
  <r>
    <x v="71"/>
    <x v="71"/>
    <x v="5"/>
    <x v="420"/>
    <x v="2"/>
    <s v=""/>
    <d v="1899-12-30T07:32:32"/>
    <d v="1899-12-30T00:00:00"/>
    <d v="1899-12-30T09:00:00"/>
  </r>
  <r>
    <x v="71"/>
    <x v="71"/>
    <x v="6"/>
    <x v="421"/>
    <x v="2"/>
    <d v="1899-12-30T23:42:07"/>
    <s v=""/>
    <d v="1899-12-30T00:00:00"/>
    <d v="1899-12-30T09:00:00"/>
  </r>
  <r>
    <x v="72"/>
    <x v="72"/>
    <x v="0"/>
    <x v="422"/>
    <x v="0"/>
    <d v="1899-12-30T07:06:55"/>
    <s v=""/>
    <e v="#N/A"/>
    <e v="#N/A"/>
  </r>
  <r>
    <x v="72"/>
    <x v="72"/>
    <x v="0"/>
    <x v="422"/>
    <x v="0"/>
    <s v=""/>
    <d v="1899-12-30T15:19:03"/>
    <d v="1899-12-30T00:00:00"/>
    <d v="1899-12-30T00:00:00"/>
  </r>
  <r>
    <x v="72"/>
    <x v="72"/>
    <x v="1"/>
    <x v="423"/>
    <x v="0"/>
    <d v="1899-12-30T07:07:28"/>
    <s v=""/>
    <e v="#N/A"/>
    <e v="#N/A"/>
  </r>
  <r>
    <x v="72"/>
    <x v="72"/>
    <x v="1"/>
    <x v="423"/>
    <x v="0"/>
    <s v=""/>
    <d v="1899-12-30T15:15:48"/>
    <d v="1899-12-30T00:00:00"/>
    <d v="1899-12-30T00:00:00"/>
  </r>
  <r>
    <x v="72"/>
    <x v="72"/>
    <x v="2"/>
    <x v="424"/>
    <x v="0"/>
    <d v="1899-12-30T14:36:28"/>
    <s v=""/>
    <e v="#N/A"/>
    <e v="#N/A"/>
  </r>
  <r>
    <x v="72"/>
    <x v="72"/>
    <x v="2"/>
    <x v="424"/>
    <x v="0"/>
    <s v=""/>
    <d v="1899-12-30T22:34:40"/>
    <d v="1899-12-30T00:00:00"/>
    <d v="1899-12-30T00:00:00"/>
  </r>
  <r>
    <x v="72"/>
    <x v="72"/>
    <x v="3"/>
    <x v="425"/>
    <x v="0"/>
    <d v="1899-12-30T07:17:44"/>
    <s v=""/>
    <e v="#N/A"/>
    <e v="#N/A"/>
  </r>
  <r>
    <x v="72"/>
    <x v="72"/>
    <x v="3"/>
    <x v="425"/>
    <x v="0"/>
    <s v=""/>
    <d v="1899-12-30T15:31:41"/>
    <d v="1899-12-30T00:00:00"/>
    <d v="1899-12-30T00:00:00"/>
  </r>
  <r>
    <x v="72"/>
    <x v="72"/>
    <x v="4"/>
    <x v="426"/>
    <x v="0"/>
    <s v=""/>
    <d v="1899-12-30T15:18:39"/>
    <e v="#N/A"/>
    <e v="#N/A"/>
  </r>
  <r>
    <x v="72"/>
    <x v="72"/>
    <x v="4"/>
    <x v="426"/>
    <x v="0"/>
    <d v="1899-12-30T07:24:12"/>
    <s v=""/>
    <d v="1899-12-30T00:00:00"/>
    <d v="1899-12-30T00:00:00"/>
  </r>
  <r>
    <x v="72"/>
    <x v="72"/>
    <x v="5"/>
    <x v="427"/>
    <x v="0"/>
    <d v="1899-12-30T07:08:53"/>
    <s v=""/>
    <e v="#N/A"/>
    <e v="#N/A"/>
  </r>
  <r>
    <x v="72"/>
    <x v="72"/>
    <x v="5"/>
    <x v="427"/>
    <x v="0"/>
    <s v=""/>
    <d v="1899-12-30T15:05:44"/>
    <d v="1899-12-30T00:00:00"/>
    <d v="1899-12-30T00:00:00"/>
  </r>
  <r>
    <x v="73"/>
    <x v="73"/>
    <x v="0"/>
    <x v="428"/>
    <x v="0"/>
    <d v="1899-12-30T07:05:30"/>
    <s v=""/>
    <e v="#N/A"/>
    <e v="#N/A"/>
  </r>
  <r>
    <x v="73"/>
    <x v="73"/>
    <x v="0"/>
    <x v="428"/>
    <x v="0"/>
    <s v=""/>
    <d v="1899-12-30T15:22:04"/>
    <d v="1899-12-30T00:00:00"/>
    <d v="1899-12-30T00:00:00"/>
  </r>
  <r>
    <x v="73"/>
    <x v="73"/>
    <x v="1"/>
    <x v="429"/>
    <x v="0"/>
    <d v="1899-12-30T07:04:40"/>
    <s v=""/>
    <e v="#N/A"/>
    <e v="#N/A"/>
  </r>
  <r>
    <x v="73"/>
    <x v="73"/>
    <x v="1"/>
    <x v="429"/>
    <x v="0"/>
    <s v=""/>
    <d v="1899-12-30T15:16:36"/>
    <d v="1899-12-30T00:00:00"/>
    <d v="1899-12-30T00:00:00"/>
  </r>
  <r>
    <x v="73"/>
    <x v="73"/>
    <x v="2"/>
    <x v="430"/>
    <x v="0"/>
    <d v="1899-12-30T07:04:38"/>
    <s v=""/>
    <e v="#N/A"/>
    <e v="#N/A"/>
  </r>
  <r>
    <x v="73"/>
    <x v="73"/>
    <x v="2"/>
    <x v="430"/>
    <x v="0"/>
    <s v=""/>
    <d v="1899-12-30T15:16:24"/>
    <d v="1899-12-30T00:00:00"/>
    <d v="1899-12-30T00:00:00"/>
  </r>
  <r>
    <x v="73"/>
    <x v="73"/>
    <x v="3"/>
    <x v="431"/>
    <x v="0"/>
    <s v=""/>
    <d v="1899-12-30T15:18:36"/>
    <e v="#N/A"/>
    <e v="#N/A"/>
  </r>
  <r>
    <x v="73"/>
    <x v="73"/>
    <x v="3"/>
    <x v="431"/>
    <x v="0"/>
    <d v="1899-12-30T07:03:13"/>
    <s v=""/>
    <d v="1899-12-30T00:00:00"/>
    <d v="1899-12-30T00:00:00"/>
  </r>
  <r>
    <x v="73"/>
    <x v="73"/>
    <x v="4"/>
    <x v="432"/>
    <x v="0"/>
    <d v="1899-12-30T07:06:06"/>
    <s v=""/>
    <e v="#N/A"/>
    <e v="#N/A"/>
  </r>
  <r>
    <x v="73"/>
    <x v="73"/>
    <x v="4"/>
    <x v="432"/>
    <x v="0"/>
    <s v=""/>
    <d v="1899-12-30T15:26:03"/>
    <d v="1899-12-30T00:00:00"/>
    <d v="1899-12-30T00:00:00"/>
  </r>
  <r>
    <x v="73"/>
    <x v="73"/>
    <x v="5"/>
    <x v="433"/>
    <x v="0"/>
    <d v="1899-12-30T07:03:34"/>
    <s v=""/>
    <e v="#N/A"/>
    <e v="#N/A"/>
  </r>
  <r>
    <x v="73"/>
    <x v="73"/>
    <x v="5"/>
    <x v="433"/>
    <x v="0"/>
    <s v=""/>
    <d v="1899-12-30T15:18:47"/>
    <d v="1899-12-30T00:00:00"/>
    <d v="1899-12-30T00:00:00"/>
  </r>
  <r>
    <x v="74"/>
    <x v="74"/>
    <x v="0"/>
    <x v="434"/>
    <x v="1"/>
    <d v="1899-12-30T08:29:27"/>
    <s v=""/>
    <d v="1899-12-30T00:00:00"/>
    <d v="1899-12-30T10:00:00"/>
  </r>
  <r>
    <x v="74"/>
    <x v="74"/>
    <x v="0"/>
    <x v="434"/>
    <x v="1"/>
    <s v=""/>
    <d v="1899-12-30T17:35:01"/>
    <d v="1899-12-30T00:00:00"/>
    <d v="1899-12-30T00:00:00"/>
  </r>
  <r>
    <x v="74"/>
    <x v="74"/>
    <x v="1"/>
    <x v="435"/>
    <x v="1"/>
    <d v="1899-12-30T08:17:18"/>
    <s v=""/>
    <d v="1899-12-30T00:00:00"/>
    <d v="1899-12-30T10:00:00"/>
  </r>
  <r>
    <x v="74"/>
    <x v="74"/>
    <x v="1"/>
    <x v="435"/>
    <x v="1"/>
    <s v=""/>
    <d v="1899-12-30T17:32:06"/>
    <d v="1899-12-30T00:00:00"/>
    <d v="1899-12-30T00:00:00"/>
  </r>
  <r>
    <x v="74"/>
    <x v="74"/>
    <x v="2"/>
    <x v="436"/>
    <x v="1"/>
    <d v="1899-12-30T08:23:32"/>
    <s v=""/>
    <d v="1899-12-30T00:00:00"/>
    <d v="1899-12-30T10:00:00"/>
  </r>
  <r>
    <x v="74"/>
    <x v="74"/>
    <x v="2"/>
    <x v="436"/>
    <x v="1"/>
    <s v=""/>
    <d v="1899-12-30T17:35:44"/>
    <d v="1899-12-30T00:00:00"/>
    <d v="1899-12-30T00:00:00"/>
  </r>
  <r>
    <x v="74"/>
    <x v="74"/>
    <x v="3"/>
    <x v="437"/>
    <x v="1"/>
    <d v="1899-12-30T08:20:54"/>
    <s v=""/>
    <d v="1899-12-30T00:00:00"/>
    <d v="1899-12-30T10:00:00"/>
  </r>
  <r>
    <x v="74"/>
    <x v="74"/>
    <x v="3"/>
    <x v="437"/>
    <x v="1"/>
    <s v=""/>
    <d v="1899-12-30T17:39:23"/>
    <d v="1899-12-30T00:00:00"/>
    <d v="1899-12-30T00:00:00"/>
  </r>
  <r>
    <x v="74"/>
    <x v="74"/>
    <x v="4"/>
    <x v="438"/>
    <x v="1"/>
    <s v=""/>
    <d v="1899-12-30T17:33:36"/>
    <d v="1899-12-30T00:00:00"/>
    <d v="1899-12-30T10:00:00"/>
  </r>
  <r>
    <x v="74"/>
    <x v="74"/>
    <x v="4"/>
    <x v="438"/>
    <x v="1"/>
    <d v="1899-12-30T08:20:38"/>
    <s v=""/>
    <d v="1899-12-30T00:00:00"/>
    <d v="1899-12-30T00:00:00"/>
  </r>
  <r>
    <x v="74"/>
    <x v="74"/>
    <x v="5"/>
    <x v="439"/>
    <x v="1"/>
    <d v="1899-12-30T08:33:45"/>
    <s v=""/>
    <d v="1899-12-30T06:00:00"/>
    <d v="1899-12-30T10:00:00"/>
  </r>
  <r>
    <x v="74"/>
    <x v="74"/>
    <x v="5"/>
    <x v="439"/>
    <x v="1"/>
    <s v=""/>
    <d v="1899-12-30T14:32:07"/>
    <d v="1899-12-30T00:00:00"/>
    <d v="1899-12-30T00:00:00"/>
  </r>
  <r>
    <x v="75"/>
    <x v="75"/>
    <x v="0"/>
    <x v="440"/>
    <x v="0"/>
    <d v="1899-12-30T07:17:24"/>
    <s v=""/>
    <e v="#N/A"/>
    <e v="#N/A"/>
  </r>
  <r>
    <x v="75"/>
    <x v="75"/>
    <x v="0"/>
    <x v="440"/>
    <x v="0"/>
    <s v=""/>
    <d v="1899-12-30T15:13:29"/>
    <d v="1899-12-30T00:00:00"/>
    <d v="1899-12-30T00:00:00"/>
  </r>
  <r>
    <x v="75"/>
    <x v="75"/>
    <x v="1"/>
    <x v="441"/>
    <x v="0"/>
    <d v="1899-12-30T07:05:45"/>
    <s v=""/>
    <e v="#N/A"/>
    <e v="#N/A"/>
  </r>
  <r>
    <x v="75"/>
    <x v="75"/>
    <x v="1"/>
    <x v="441"/>
    <x v="0"/>
    <s v=""/>
    <d v="1899-12-30T15:13:38"/>
    <d v="1899-12-30T00:00:00"/>
    <d v="1899-12-30T00:00:00"/>
  </r>
  <r>
    <x v="75"/>
    <x v="75"/>
    <x v="2"/>
    <x v="442"/>
    <x v="0"/>
    <d v="1899-12-30T07:12:27"/>
    <s v=""/>
    <e v="#N/A"/>
    <e v="#N/A"/>
  </r>
  <r>
    <x v="75"/>
    <x v="75"/>
    <x v="2"/>
    <x v="442"/>
    <x v="0"/>
    <s v=""/>
    <d v="1899-12-30T15:14:35"/>
    <d v="1899-12-30T00:00:00"/>
    <d v="1899-12-30T00:00:00"/>
  </r>
  <r>
    <x v="75"/>
    <x v="75"/>
    <x v="4"/>
    <x v="443"/>
    <x v="0"/>
    <d v="1899-12-30T07:06:54"/>
    <s v=""/>
    <e v="#N/A"/>
    <e v="#N/A"/>
  </r>
  <r>
    <x v="75"/>
    <x v="75"/>
    <x v="4"/>
    <x v="443"/>
    <x v="0"/>
    <s v=""/>
    <d v="1899-12-30T15:15:57"/>
    <d v="1899-12-30T00:00:00"/>
    <d v="1899-12-30T00:00:00"/>
  </r>
  <r>
    <x v="76"/>
    <x v="76"/>
    <x v="0"/>
    <x v="444"/>
    <x v="0"/>
    <d v="1899-12-30T07:34:20"/>
    <s v=""/>
    <e v="#N/A"/>
    <e v="#N/A"/>
  </r>
  <r>
    <x v="76"/>
    <x v="76"/>
    <x v="0"/>
    <x v="444"/>
    <x v="0"/>
    <s v=""/>
    <d v="1899-12-30T15:20:11"/>
    <d v="1899-12-30T00:00:00"/>
    <d v="1899-12-30T00:00:00"/>
  </r>
  <r>
    <x v="76"/>
    <x v="76"/>
    <x v="1"/>
    <x v="445"/>
    <x v="0"/>
    <d v="1899-12-30T07:21:32"/>
    <s v=""/>
    <e v="#N/A"/>
    <e v="#N/A"/>
  </r>
  <r>
    <x v="76"/>
    <x v="76"/>
    <x v="1"/>
    <x v="445"/>
    <x v="0"/>
    <s v=""/>
    <d v="1899-12-30T15:19:42"/>
    <d v="1899-12-30T00:00:00"/>
    <d v="1899-12-30T00:00:00"/>
  </r>
  <r>
    <x v="76"/>
    <x v="76"/>
    <x v="2"/>
    <x v="446"/>
    <x v="0"/>
    <d v="1899-12-30T07:42:32"/>
    <s v=""/>
    <e v="#N/A"/>
    <e v="#N/A"/>
  </r>
  <r>
    <x v="76"/>
    <x v="76"/>
    <x v="2"/>
    <x v="446"/>
    <x v="0"/>
    <s v=""/>
    <d v="1899-12-30T15:15:46"/>
    <d v="1899-12-30T00:00:00"/>
    <d v="1899-12-30T00:00:00"/>
  </r>
  <r>
    <x v="76"/>
    <x v="76"/>
    <x v="3"/>
    <x v="447"/>
    <x v="0"/>
    <d v="1899-12-30T07:29:16"/>
    <s v=""/>
    <e v="#N/A"/>
    <e v="#N/A"/>
  </r>
  <r>
    <x v="76"/>
    <x v="76"/>
    <x v="3"/>
    <x v="447"/>
    <x v="0"/>
    <s v=""/>
    <d v="1899-12-30T15:12:32"/>
    <d v="1899-12-30T00:00:00"/>
    <d v="1899-12-30T00:00:00"/>
  </r>
  <r>
    <x v="76"/>
    <x v="76"/>
    <x v="4"/>
    <x v="448"/>
    <x v="0"/>
    <s v=""/>
    <d v="1899-12-30T15:19:10"/>
    <e v="#N/A"/>
    <e v="#N/A"/>
  </r>
  <r>
    <x v="76"/>
    <x v="76"/>
    <x v="4"/>
    <x v="448"/>
    <x v="0"/>
    <d v="1899-12-30T07:17:20"/>
    <s v=""/>
    <d v="1899-12-30T00:00:00"/>
    <d v="1899-12-30T00:00:00"/>
  </r>
  <r>
    <x v="76"/>
    <x v="76"/>
    <x v="5"/>
    <x v="449"/>
    <x v="0"/>
    <d v="1899-12-30T07:28:17"/>
    <s v=""/>
    <e v="#N/A"/>
    <e v="#N/A"/>
  </r>
  <r>
    <x v="76"/>
    <x v="76"/>
    <x v="5"/>
    <x v="449"/>
    <x v="0"/>
    <s v=""/>
    <d v="1899-12-30T15:26:42"/>
    <d v="1899-12-30T00:00:00"/>
    <d v="1899-12-30T00:00:00"/>
  </r>
  <r>
    <x v="77"/>
    <x v="77"/>
    <x v="0"/>
    <x v="450"/>
    <x v="0"/>
    <d v="1899-12-30T22:23:37"/>
    <s v=""/>
    <e v="#N/A"/>
    <e v="#N/A"/>
  </r>
  <r>
    <x v="77"/>
    <x v="77"/>
    <x v="1"/>
    <x v="451"/>
    <x v="0"/>
    <s v=""/>
    <d v="1899-12-30T07:37:28"/>
    <e v="#N/A"/>
    <e v="#N/A"/>
  </r>
  <r>
    <x v="77"/>
    <x v="77"/>
    <x v="1"/>
    <x v="451"/>
    <x v="0"/>
    <d v="1899-12-30T22:23:48"/>
    <s v=""/>
    <d v="1899-12-30T00:00:00"/>
    <d v="1899-12-30T00:00:00"/>
  </r>
  <r>
    <x v="77"/>
    <x v="77"/>
    <x v="2"/>
    <x v="452"/>
    <x v="0"/>
    <s v=""/>
    <d v="1899-12-30T07:43:35"/>
    <e v="#N/A"/>
    <e v="#N/A"/>
  </r>
  <r>
    <x v="77"/>
    <x v="77"/>
    <x v="2"/>
    <x v="452"/>
    <x v="0"/>
    <d v="1899-12-30T22:17:49"/>
    <s v=""/>
    <d v="1899-12-30T00:00:00"/>
    <d v="1899-12-30T00:00:00"/>
  </r>
  <r>
    <x v="77"/>
    <x v="77"/>
    <x v="3"/>
    <x v="453"/>
    <x v="0"/>
    <s v=""/>
    <d v="1899-12-30T07:37:36"/>
    <e v="#N/A"/>
    <e v="#N/A"/>
  </r>
  <r>
    <x v="77"/>
    <x v="77"/>
    <x v="3"/>
    <x v="453"/>
    <x v="0"/>
    <d v="1899-12-30T22:25:13"/>
    <s v=""/>
    <d v="1899-12-30T00:00:00"/>
    <d v="1899-12-30T00:00:00"/>
  </r>
  <r>
    <x v="77"/>
    <x v="77"/>
    <x v="4"/>
    <x v="454"/>
    <x v="0"/>
    <d v="1899-12-30T23:00:32"/>
    <s v=""/>
    <e v="#N/A"/>
    <e v="#N/A"/>
  </r>
  <r>
    <x v="77"/>
    <x v="77"/>
    <x v="4"/>
    <x v="454"/>
    <x v="0"/>
    <s v=""/>
    <d v="1899-12-30T07:33:30"/>
    <d v="1899-12-30T00:00:00"/>
    <d v="1899-12-30T00:00:00"/>
  </r>
  <r>
    <x v="77"/>
    <x v="77"/>
    <x v="5"/>
    <x v="455"/>
    <x v="0"/>
    <s v=""/>
    <d v="1899-12-30T07:38:37"/>
    <e v="#N/A"/>
    <e v="#N/A"/>
  </r>
  <r>
    <x v="78"/>
    <x v="78"/>
    <x v="0"/>
    <x v="456"/>
    <x v="0"/>
    <d v="1899-12-30T14:34:21"/>
    <s v=""/>
    <e v="#N/A"/>
    <e v="#N/A"/>
  </r>
  <r>
    <x v="78"/>
    <x v="78"/>
    <x v="0"/>
    <x v="456"/>
    <x v="0"/>
    <s v=""/>
    <d v="1899-12-30T22:47:05"/>
    <d v="1899-12-30T00:00:00"/>
    <d v="1899-12-30T00:00:00"/>
  </r>
  <r>
    <x v="78"/>
    <x v="78"/>
    <x v="1"/>
    <x v="457"/>
    <x v="0"/>
    <d v="1899-12-30T14:34:09"/>
    <s v=""/>
    <e v="#N/A"/>
    <e v="#N/A"/>
  </r>
  <r>
    <x v="78"/>
    <x v="78"/>
    <x v="1"/>
    <x v="457"/>
    <x v="0"/>
    <s v=""/>
    <d v="1899-12-30T22:44:41"/>
    <d v="1899-12-30T00:00:00"/>
    <d v="1899-12-30T00:00:00"/>
  </r>
  <r>
    <x v="78"/>
    <x v="78"/>
    <x v="2"/>
    <x v="458"/>
    <x v="0"/>
    <d v="1899-12-30T07:19:55"/>
    <s v=""/>
    <e v="#N/A"/>
    <e v="#N/A"/>
  </r>
  <r>
    <x v="78"/>
    <x v="78"/>
    <x v="2"/>
    <x v="458"/>
    <x v="0"/>
    <s v=""/>
    <d v="1899-12-30T15:21:15"/>
    <d v="1899-12-30T00:00:00"/>
    <d v="1899-12-30T00:00:00"/>
  </r>
  <r>
    <x v="78"/>
    <x v="78"/>
    <x v="3"/>
    <x v="459"/>
    <x v="0"/>
    <d v="1899-12-30T14:35:52"/>
    <s v=""/>
    <e v="#N/A"/>
    <e v="#N/A"/>
  </r>
  <r>
    <x v="78"/>
    <x v="78"/>
    <x v="3"/>
    <x v="459"/>
    <x v="0"/>
    <s v=""/>
    <d v="1899-12-30T22:50:59"/>
    <d v="1899-12-30T00:00:00"/>
    <d v="1899-12-30T00:00:00"/>
  </r>
  <r>
    <x v="78"/>
    <x v="78"/>
    <x v="4"/>
    <x v="460"/>
    <x v="0"/>
    <d v="1899-12-30T14:38:03"/>
    <s v=""/>
    <e v="#N/A"/>
    <e v="#N/A"/>
  </r>
  <r>
    <x v="78"/>
    <x v="78"/>
    <x v="4"/>
    <x v="460"/>
    <x v="0"/>
    <s v=""/>
    <d v="1899-12-30T22:44:30"/>
    <d v="1899-12-30T00:00:00"/>
    <d v="1899-12-30T00:00:00"/>
  </r>
  <r>
    <x v="78"/>
    <x v="78"/>
    <x v="5"/>
    <x v="461"/>
    <x v="0"/>
    <s v=""/>
    <d v="1899-12-30T22:44:14"/>
    <e v="#N/A"/>
    <e v="#N/A"/>
  </r>
  <r>
    <x v="78"/>
    <x v="78"/>
    <x v="5"/>
    <x v="461"/>
    <x v="0"/>
    <d v="1899-12-30T15:03:30"/>
    <s v=""/>
    <d v="1899-12-30T00:00:00"/>
    <d v="1899-12-30T00:00:00"/>
  </r>
  <r>
    <x v="79"/>
    <x v="79"/>
    <x v="0"/>
    <x v="462"/>
    <x v="0"/>
    <d v="1899-12-30T22:06:04"/>
    <s v=""/>
    <e v="#N/A"/>
    <e v="#N/A"/>
  </r>
  <r>
    <x v="79"/>
    <x v="79"/>
    <x v="1"/>
    <x v="463"/>
    <x v="0"/>
    <s v=""/>
    <d v="1899-12-30T07:47:35"/>
    <e v="#N/A"/>
    <e v="#N/A"/>
  </r>
  <r>
    <x v="79"/>
    <x v="79"/>
    <x v="1"/>
    <x v="463"/>
    <x v="0"/>
    <d v="1899-12-30T22:03:18"/>
    <s v=""/>
    <d v="1899-12-30T00:00:00"/>
    <d v="1899-12-30T00:00:00"/>
  </r>
  <r>
    <x v="79"/>
    <x v="79"/>
    <x v="2"/>
    <x v="464"/>
    <x v="0"/>
    <s v=""/>
    <d v="1899-12-30T07:43:20"/>
    <e v="#N/A"/>
    <e v="#N/A"/>
  </r>
  <r>
    <x v="79"/>
    <x v="79"/>
    <x v="2"/>
    <x v="464"/>
    <x v="0"/>
    <d v="1899-12-30T22:06:26"/>
    <s v=""/>
    <d v="1899-12-30T00:00:00"/>
    <d v="1899-12-30T00:00:00"/>
  </r>
  <r>
    <x v="79"/>
    <x v="79"/>
    <x v="3"/>
    <x v="465"/>
    <x v="0"/>
    <s v=""/>
    <d v="1899-12-30T07:44:49"/>
    <e v="#N/A"/>
    <e v="#N/A"/>
  </r>
  <r>
    <x v="79"/>
    <x v="79"/>
    <x v="3"/>
    <x v="465"/>
    <x v="0"/>
    <d v="1899-12-30T22:05:17"/>
    <s v=""/>
    <d v="1899-12-30T00:00:00"/>
    <d v="1899-12-30T00:00:00"/>
  </r>
  <r>
    <x v="79"/>
    <x v="79"/>
    <x v="4"/>
    <x v="466"/>
    <x v="0"/>
    <d v="1899-12-30T22:05:33"/>
    <s v=""/>
    <e v="#N/A"/>
    <e v="#N/A"/>
  </r>
  <r>
    <x v="79"/>
    <x v="79"/>
    <x v="4"/>
    <x v="466"/>
    <x v="0"/>
    <s v=""/>
    <d v="1899-12-30T07:43:01"/>
    <d v="1899-12-30T00:00:00"/>
    <d v="1899-12-30T00:00:00"/>
  </r>
  <r>
    <x v="79"/>
    <x v="79"/>
    <x v="5"/>
    <x v="467"/>
    <x v="0"/>
    <s v=""/>
    <d v="1899-12-30T07:39:06"/>
    <e v="#N/A"/>
    <e v="#N/A"/>
  </r>
  <r>
    <x v="80"/>
    <x v="80"/>
    <x v="4"/>
    <x v="468"/>
    <x v="0"/>
    <d v="1899-12-30T07:28:33"/>
    <s v=""/>
    <d v="1899-12-30T00:00:00"/>
    <d v="1899-12-30T00:00:00"/>
  </r>
  <r>
    <x v="80"/>
    <x v="80"/>
    <x v="4"/>
    <x v="468"/>
    <x v="0"/>
    <s v=""/>
    <d v="1899-12-30T16:50:15"/>
    <d v="1899-12-30T00:00:00"/>
    <d v="1899-12-30T00:00:00"/>
  </r>
  <r>
    <x v="81"/>
    <x v="81"/>
    <x v="0"/>
    <x v="469"/>
    <x v="4"/>
    <d v="1899-12-30T07:36:39"/>
    <s v=""/>
    <d v="1899-12-30T00:00:00"/>
    <d v="1899-12-30T07:30:00"/>
  </r>
  <r>
    <x v="81"/>
    <x v="81"/>
    <x v="0"/>
    <x v="469"/>
    <x v="4"/>
    <s v=""/>
    <d v="1899-12-30T15:12:03"/>
    <d v="1899-12-30T00:00:00"/>
    <d v="1899-12-30T00:00:00"/>
  </r>
  <r>
    <x v="81"/>
    <x v="81"/>
    <x v="1"/>
    <x v="470"/>
    <x v="4"/>
    <d v="1899-12-30T07:27:24"/>
    <s v=""/>
    <d v="1899-12-30T02:30:00"/>
    <d v="1899-12-30T07:30:00"/>
  </r>
  <r>
    <x v="81"/>
    <x v="81"/>
    <x v="1"/>
    <x v="470"/>
    <x v="4"/>
    <s v=""/>
    <d v="1899-12-30T17:09:07"/>
    <d v="1899-12-30T00:00:00"/>
    <d v="1899-12-30T00:00:00"/>
  </r>
  <r>
    <x v="81"/>
    <x v="81"/>
    <x v="2"/>
    <x v="471"/>
    <x v="4"/>
    <d v="1899-12-30T07:28:38"/>
    <s v=""/>
    <d v="1899-12-30T02:30:00"/>
    <d v="1899-12-30T07:30:00"/>
  </r>
  <r>
    <x v="81"/>
    <x v="81"/>
    <x v="2"/>
    <x v="471"/>
    <x v="4"/>
    <s v=""/>
    <d v="1899-12-30T17:03:42"/>
    <d v="1899-12-30T00:00:00"/>
    <d v="1899-12-30T00:00:00"/>
  </r>
  <r>
    <x v="81"/>
    <x v="81"/>
    <x v="4"/>
    <x v="472"/>
    <x v="4"/>
    <s v=""/>
    <d v="1899-12-30T15:00:20"/>
    <d v="1899-12-30T00:00:00"/>
    <d v="1899-12-30T07:30:00"/>
  </r>
  <r>
    <x v="81"/>
    <x v="81"/>
    <x v="4"/>
    <x v="472"/>
    <x v="4"/>
    <d v="1899-12-30T07:45:43"/>
    <s v=""/>
    <d v="1899-12-30T00:00:00"/>
    <d v="1899-12-30T00:00:00"/>
  </r>
  <r>
    <x v="81"/>
    <x v="81"/>
    <x v="5"/>
    <x v="473"/>
    <x v="4"/>
    <d v="1899-12-30T07:41:41"/>
    <s v=""/>
    <d v="1899-12-30T00:00:00"/>
    <d v="1899-12-30T07:30:00"/>
  </r>
  <r>
    <x v="81"/>
    <x v="81"/>
    <x v="5"/>
    <x v="473"/>
    <x v="4"/>
    <s v=""/>
    <d v="1899-12-30T15:09:04"/>
    <d v="1899-12-30T00:00:00"/>
    <d v="1899-12-30T00:00:00"/>
  </r>
  <r>
    <x v="82"/>
    <x v="82"/>
    <x v="0"/>
    <x v="474"/>
    <x v="0"/>
    <d v="1899-12-30T06:59:02"/>
    <s v=""/>
    <e v="#N/A"/>
    <e v="#N/A"/>
  </r>
  <r>
    <x v="82"/>
    <x v="82"/>
    <x v="0"/>
    <x v="474"/>
    <x v="0"/>
    <s v=""/>
    <d v="1899-12-30T15:10:52"/>
    <d v="1899-12-30T00:00:00"/>
    <d v="1899-12-30T00:00:00"/>
  </r>
  <r>
    <x v="82"/>
    <x v="82"/>
    <x v="1"/>
    <x v="475"/>
    <x v="0"/>
    <d v="1899-12-30T07:07:05"/>
    <s v=""/>
    <e v="#N/A"/>
    <e v="#N/A"/>
  </r>
  <r>
    <x v="82"/>
    <x v="82"/>
    <x v="1"/>
    <x v="475"/>
    <x v="0"/>
    <s v=""/>
    <d v="1899-12-30T14:58:49"/>
    <d v="1899-12-30T00:00:00"/>
    <d v="1899-12-30T00:00:00"/>
  </r>
  <r>
    <x v="82"/>
    <x v="82"/>
    <x v="2"/>
    <x v="476"/>
    <x v="0"/>
    <d v="1899-12-30T07:06:45"/>
    <s v=""/>
    <e v="#N/A"/>
    <e v="#N/A"/>
  </r>
  <r>
    <x v="82"/>
    <x v="82"/>
    <x v="2"/>
    <x v="476"/>
    <x v="0"/>
    <s v=""/>
    <d v="1899-12-30T15:11:11"/>
    <d v="1899-12-30T00:00:00"/>
    <d v="1899-12-30T00:00:00"/>
  </r>
  <r>
    <x v="82"/>
    <x v="82"/>
    <x v="3"/>
    <x v="477"/>
    <x v="0"/>
    <d v="1899-12-30T07:07:14"/>
    <s v=""/>
    <e v="#N/A"/>
    <e v="#N/A"/>
  </r>
  <r>
    <x v="82"/>
    <x v="82"/>
    <x v="3"/>
    <x v="477"/>
    <x v="0"/>
    <s v=""/>
    <d v="1899-12-30T15:16:00"/>
    <d v="1899-12-30T00:00:00"/>
    <d v="1899-12-30T00:00:00"/>
  </r>
  <r>
    <x v="82"/>
    <x v="82"/>
    <x v="4"/>
    <x v="478"/>
    <x v="0"/>
    <s v=""/>
    <d v="1899-12-30T15:12:55"/>
    <e v="#N/A"/>
    <e v="#N/A"/>
  </r>
  <r>
    <x v="82"/>
    <x v="82"/>
    <x v="4"/>
    <x v="478"/>
    <x v="0"/>
    <d v="1899-12-30T07:06:57"/>
    <s v=""/>
    <d v="1899-12-30T00:00:00"/>
    <d v="1899-12-30T00:00:00"/>
  </r>
  <r>
    <x v="82"/>
    <x v="82"/>
    <x v="5"/>
    <x v="479"/>
    <x v="0"/>
    <d v="1899-12-30T07:01:50"/>
    <s v=""/>
    <e v="#N/A"/>
    <e v="#N/A"/>
  </r>
  <r>
    <x v="82"/>
    <x v="82"/>
    <x v="5"/>
    <x v="479"/>
    <x v="0"/>
    <s v=""/>
    <d v="1899-12-30T15:16:40"/>
    <d v="1899-12-30T00:00:00"/>
    <d v="1899-12-30T00:00:00"/>
  </r>
  <r>
    <x v="83"/>
    <x v="83"/>
    <x v="0"/>
    <x v="480"/>
    <x v="0"/>
    <d v="1899-12-30T07:17:29"/>
    <s v=""/>
    <e v="#N/A"/>
    <e v="#N/A"/>
  </r>
  <r>
    <x v="83"/>
    <x v="83"/>
    <x v="0"/>
    <x v="480"/>
    <x v="0"/>
    <s v=""/>
    <d v="1899-12-30T15:02:29"/>
    <d v="1899-12-30T00:00:00"/>
    <d v="1899-12-30T00:00:00"/>
  </r>
  <r>
    <x v="83"/>
    <x v="83"/>
    <x v="1"/>
    <x v="481"/>
    <x v="0"/>
    <d v="1899-12-30T07:10:07"/>
    <s v=""/>
    <e v="#N/A"/>
    <e v="#N/A"/>
  </r>
  <r>
    <x v="83"/>
    <x v="83"/>
    <x v="1"/>
    <x v="481"/>
    <x v="0"/>
    <s v=""/>
    <d v="1899-12-30T15:12:51"/>
    <d v="1899-12-30T00:00:00"/>
    <d v="1899-12-30T00:00:00"/>
  </r>
  <r>
    <x v="83"/>
    <x v="83"/>
    <x v="2"/>
    <x v="482"/>
    <x v="0"/>
    <d v="1899-12-30T07:17:33"/>
    <s v=""/>
    <e v="#N/A"/>
    <e v="#N/A"/>
  </r>
  <r>
    <x v="83"/>
    <x v="83"/>
    <x v="2"/>
    <x v="482"/>
    <x v="0"/>
    <s v=""/>
    <d v="1899-12-30T15:08:25"/>
    <d v="1899-12-30T00:00:00"/>
    <d v="1899-12-30T00:00:00"/>
  </r>
  <r>
    <x v="83"/>
    <x v="83"/>
    <x v="3"/>
    <x v="483"/>
    <x v="0"/>
    <d v="1899-12-30T07:28:09"/>
    <s v=""/>
    <e v="#N/A"/>
    <e v="#N/A"/>
  </r>
  <r>
    <x v="83"/>
    <x v="83"/>
    <x v="3"/>
    <x v="483"/>
    <x v="0"/>
    <s v=""/>
    <d v="1899-12-30T15:04:47"/>
    <d v="1899-12-30T00:00:00"/>
    <d v="1899-12-30T00:00:00"/>
  </r>
  <r>
    <x v="83"/>
    <x v="83"/>
    <x v="4"/>
    <x v="484"/>
    <x v="0"/>
    <s v=""/>
    <d v="1899-12-30T15:18:09"/>
    <e v="#N/A"/>
    <e v="#N/A"/>
  </r>
  <r>
    <x v="83"/>
    <x v="83"/>
    <x v="4"/>
    <x v="484"/>
    <x v="0"/>
    <d v="1899-12-30T07:19:37"/>
    <s v=""/>
    <d v="1899-12-30T00:00:00"/>
    <d v="1899-12-30T00:00:00"/>
  </r>
  <r>
    <x v="83"/>
    <x v="83"/>
    <x v="5"/>
    <x v="485"/>
    <x v="0"/>
    <d v="1899-12-30T07:32:50"/>
    <s v=""/>
    <e v="#N/A"/>
    <e v="#N/A"/>
  </r>
  <r>
    <x v="83"/>
    <x v="83"/>
    <x v="5"/>
    <x v="485"/>
    <x v="0"/>
    <s v=""/>
    <d v="1899-12-30T15:21:05"/>
    <d v="1899-12-30T00:00:00"/>
    <d v="1899-12-30T00:00:00"/>
  </r>
  <r>
    <x v="84"/>
    <x v="84"/>
    <x v="0"/>
    <x v="486"/>
    <x v="0"/>
    <d v="1899-12-30T22:06:43"/>
    <s v=""/>
    <e v="#N/A"/>
    <e v="#N/A"/>
  </r>
  <r>
    <x v="84"/>
    <x v="84"/>
    <x v="1"/>
    <x v="487"/>
    <x v="0"/>
    <s v=""/>
    <d v="1899-12-30T07:51:48"/>
    <e v="#N/A"/>
    <e v="#N/A"/>
  </r>
  <r>
    <x v="84"/>
    <x v="84"/>
    <x v="1"/>
    <x v="487"/>
    <x v="0"/>
    <d v="1899-12-30T22:04:15"/>
    <s v=""/>
    <d v="1899-12-30T00:00:00"/>
    <d v="1899-12-30T00:00:00"/>
  </r>
  <r>
    <x v="84"/>
    <x v="84"/>
    <x v="2"/>
    <x v="488"/>
    <x v="0"/>
    <s v=""/>
    <d v="1899-12-30T07:51:47"/>
    <e v="#N/A"/>
    <e v="#N/A"/>
  </r>
  <r>
    <x v="84"/>
    <x v="84"/>
    <x v="2"/>
    <x v="488"/>
    <x v="0"/>
    <d v="1899-12-30T22:06:48"/>
    <s v=""/>
    <d v="1899-12-30T00:00:00"/>
    <d v="1899-12-30T00:00:00"/>
  </r>
  <r>
    <x v="84"/>
    <x v="84"/>
    <x v="3"/>
    <x v="489"/>
    <x v="0"/>
    <s v=""/>
    <d v="1899-12-30T07:53:11"/>
    <e v="#N/A"/>
    <e v="#N/A"/>
  </r>
  <r>
    <x v="84"/>
    <x v="84"/>
    <x v="3"/>
    <x v="489"/>
    <x v="0"/>
    <d v="1899-12-30T22:05:59"/>
    <s v=""/>
    <d v="1899-12-30T00:00:00"/>
    <d v="1899-12-30T00:00:00"/>
  </r>
  <r>
    <x v="84"/>
    <x v="84"/>
    <x v="4"/>
    <x v="490"/>
    <x v="0"/>
    <d v="1899-12-30T22:06:04"/>
    <s v=""/>
    <e v="#N/A"/>
    <e v="#N/A"/>
  </r>
  <r>
    <x v="84"/>
    <x v="84"/>
    <x v="4"/>
    <x v="490"/>
    <x v="0"/>
    <s v=""/>
    <d v="1899-12-30T07:52:55"/>
    <d v="1899-12-30T00:00:00"/>
    <d v="1899-12-30T00:00:00"/>
  </r>
  <r>
    <x v="84"/>
    <x v="84"/>
    <x v="5"/>
    <x v="491"/>
    <x v="0"/>
    <s v=""/>
    <d v="1899-12-30T07:52:04"/>
    <e v="#N/A"/>
    <e v="#N/A"/>
  </r>
  <r>
    <x v="85"/>
    <x v="85"/>
    <x v="0"/>
    <x v="492"/>
    <x v="0"/>
    <d v="1899-12-30T07:04:53"/>
    <s v=""/>
    <e v="#N/A"/>
    <e v="#N/A"/>
  </r>
  <r>
    <x v="85"/>
    <x v="85"/>
    <x v="0"/>
    <x v="492"/>
    <x v="0"/>
    <s v=""/>
    <d v="1899-12-30T15:13:44"/>
    <d v="1899-12-30T00:00:00"/>
    <d v="1899-12-30T00:00:00"/>
  </r>
  <r>
    <x v="85"/>
    <x v="85"/>
    <x v="1"/>
    <x v="493"/>
    <x v="0"/>
    <d v="1899-12-30T07:04:05"/>
    <s v=""/>
    <e v="#N/A"/>
    <e v="#N/A"/>
  </r>
  <r>
    <x v="85"/>
    <x v="85"/>
    <x v="1"/>
    <x v="493"/>
    <x v="0"/>
    <s v=""/>
    <d v="1899-12-30T15:11:33"/>
    <d v="1899-12-30T00:00:00"/>
    <d v="1899-12-30T00:00:00"/>
  </r>
  <r>
    <x v="85"/>
    <x v="85"/>
    <x v="2"/>
    <x v="494"/>
    <x v="0"/>
    <d v="1899-12-30T07:04:45"/>
    <s v=""/>
    <e v="#N/A"/>
    <e v="#N/A"/>
  </r>
  <r>
    <x v="85"/>
    <x v="85"/>
    <x v="2"/>
    <x v="494"/>
    <x v="0"/>
    <s v=""/>
    <d v="1899-12-30T15:09:27"/>
    <d v="1899-12-30T00:00:00"/>
    <d v="1899-12-30T00:00:00"/>
  </r>
  <r>
    <x v="85"/>
    <x v="85"/>
    <x v="3"/>
    <x v="495"/>
    <x v="0"/>
    <d v="1899-12-30T07:03:17"/>
    <s v=""/>
    <e v="#N/A"/>
    <e v="#N/A"/>
  </r>
  <r>
    <x v="85"/>
    <x v="85"/>
    <x v="3"/>
    <x v="495"/>
    <x v="0"/>
    <s v=""/>
    <d v="1899-12-30T15:09:07"/>
    <d v="1899-12-30T00:00:00"/>
    <d v="1899-12-30T00:00:00"/>
  </r>
  <r>
    <x v="85"/>
    <x v="85"/>
    <x v="4"/>
    <x v="496"/>
    <x v="0"/>
    <s v=""/>
    <d v="1899-12-30T15:10:06"/>
    <e v="#N/A"/>
    <e v="#N/A"/>
  </r>
  <r>
    <x v="85"/>
    <x v="85"/>
    <x v="4"/>
    <x v="496"/>
    <x v="0"/>
    <d v="1899-12-30T07:05:04"/>
    <s v=""/>
    <d v="1899-12-30T00:00:00"/>
    <d v="1899-12-30T00:00:00"/>
  </r>
  <r>
    <x v="85"/>
    <x v="85"/>
    <x v="5"/>
    <x v="497"/>
    <x v="0"/>
    <d v="1899-12-30T07:03:10"/>
    <s v=""/>
    <e v="#N/A"/>
    <e v="#N/A"/>
  </r>
  <r>
    <x v="85"/>
    <x v="85"/>
    <x v="5"/>
    <x v="497"/>
    <x v="0"/>
    <s v=""/>
    <d v="1899-12-30T15:11:57"/>
    <d v="1899-12-30T00:00:00"/>
    <d v="1899-12-30T00:00:00"/>
  </r>
  <r>
    <x v="86"/>
    <x v="86"/>
    <x v="0"/>
    <x v="498"/>
    <x v="0"/>
    <d v="1899-12-30T07:14:48"/>
    <s v=""/>
    <e v="#N/A"/>
    <e v="#N/A"/>
  </r>
  <r>
    <x v="86"/>
    <x v="86"/>
    <x v="0"/>
    <x v="498"/>
    <x v="0"/>
    <s v=""/>
    <d v="1899-12-30T17:26:38"/>
    <d v="1899-12-30T00:00:00"/>
    <d v="1899-12-30T00:00:00"/>
  </r>
  <r>
    <x v="86"/>
    <x v="86"/>
    <x v="1"/>
    <x v="499"/>
    <x v="0"/>
    <d v="1899-12-30T07:20:28"/>
    <s v=""/>
    <e v="#N/A"/>
    <e v="#N/A"/>
  </r>
  <r>
    <x v="86"/>
    <x v="86"/>
    <x v="1"/>
    <x v="499"/>
    <x v="0"/>
    <s v=""/>
    <d v="1899-12-30T17:16:18"/>
    <d v="1899-12-30T00:00:00"/>
    <d v="1899-12-30T00:00:00"/>
  </r>
  <r>
    <x v="86"/>
    <x v="86"/>
    <x v="2"/>
    <x v="500"/>
    <x v="0"/>
    <d v="1899-12-30T07:20:38"/>
    <s v=""/>
    <e v="#N/A"/>
    <e v="#N/A"/>
  </r>
  <r>
    <x v="86"/>
    <x v="86"/>
    <x v="2"/>
    <x v="500"/>
    <x v="0"/>
    <s v=""/>
    <d v="1899-12-30T15:48:42"/>
    <d v="1899-12-30T00:00:00"/>
    <d v="1899-12-30T00:00:00"/>
  </r>
  <r>
    <x v="86"/>
    <x v="86"/>
    <x v="3"/>
    <x v="501"/>
    <x v="0"/>
    <d v="1899-12-30T07:13:20"/>
    <s v=""/>
    <e v="#N/A"/>
    <e v="#N/A"/>
  </r>
  <r>
    <x v="86"/>
    <x v="86"/>
    <x v="3"/>
    <x v="501"/>
    <x v="0"/>
    <s v=""/>
    <d v="1899-12-30T17:23:27"/>
    <d v="1899-12-30T00:00:00"/>
    <d v="1899-12-30T00:00:00"/>
  </r>
  <r>
    <x v="86"/>
    <x v="86"/>
    <x v="4"/>
    <x v="502"/>
    <x v="0"/>
    <d v="1899-12-30T07:29:31"/>
    <s v=""/>
    <e v="#N/A"/>
    <e v="#N/A"/>
  </r>
  <r>
    <x v="86"/>
    <x v="86"/>
    <x v="4"/>
    <x v="502"/>
    <x v="0"/>
    <s v=""/>
    <d v="1899-12-30T17:14:00"/>
    <d v="1899-12-30T00:00:00"/>
    <d v="1899-12-30T00:00:00"/>
  </r>
  <r>
    <x v="86"/>
    <x v="86"/>
    <x v="5"/>
    <x v="503"/>
    <x v="0"/>
    <s v=""/>
    <d v="1899-12-30T15:09:34"/>
    <e v="#N/A"/>
    <e v="#N/A"/>
  </r>
  <r>
    <x v="86"/>
    <x v="86"/>
    <x v="5"/>
    <x v="503"/>
    <x v="0"/>
    <d v="1899-12-30T07:31:27"/>
    <s v=""/>
    <d v="1899-12-30T00:00:00"/>
    <d v="1899-12-30T00:00:00"/>
  </r>
  <r>
    <x v="87"/>
    <x v="87"/>
    <x v="0"/>
    <x v="504"/>
    <x v="0"/>
    <d v="1899-12-30T14:13:07"/>
    <s v=""/>
    <e v="#N/A"/>
    <e v="#N/A"/>
  </r>
  <r>
    <x v="87"/>
    <x v="87"/>
    <x v="0"/>
    <x v="504"/>
    <x v="0"/>
    <s v=""/>
    <d v="1899-12-30T22:48:18"/>
    <d v="1899-12-30T00:00:00"/>
    <d v="1899-12-30T00:00:00"/>
  </r>
  <r>
    <x v="87"/>
    <x v="87"/>
    <x v="1"/>
    <x v="505"/>
    <x v="0"/>
    <d v="1899-12-30T14:32:15"/>
    <s v=""/>
    <e v="#N/A"/>
    <e v="#N/A"/>
  </r>
  <r>
    <x v="87"/>
    <x v="87"/>
    <x v="1"/>
    <x v="505"/>
    <x v="0"/>
    <s v=""/>
    <d v="1899-12-30T22:41:18"/>
    <d v="1899-12-30T00:00:00"/>
    <d v="1899-12-30T00:00:00"/>
  </r>
  <r>
    <x v="87"/>
    <x v="87"/>
    <x v="2"/>
    <x v="506"/>
    <x v="0"/>
    <d v="1899-12-30T14:41:37"/>
    <s v=""/>
    <e v="#N/A"/>
    <e v="#N/A"/>
  </r>
  <r>
    <x v="87"/>
    <x v="87"/>
    <x v="2"/>
    <x v="506"/>
    <x v="0"/>
    <s v=""/>
    <d v="1899-12-30T22:43:50"/>
    <d v="1899-12-30T00:00:00"/>
    <d v="1899-12-30T00:00:00"/>
  </r>
  <r>
    <x v="87"/>
    <x v="87"/>
    <x v="3"/>
    <x v="507"/>
    <x v="0"/>
    <d v="1899-12-30T14:31:35"/>
    <s v=""/>
    <e v="#N/A"/>
    <e v="#N/A"/>
  </r>
  <r>
    <x v="87"/>
    <x v="87"/>
    <x v="3"/>
    <x v="507"/>
    <x v="0"/>
    <s v=""/>
    <d v="1899-12-30T22:45:30"/>
    <d v="1899-12-30T00:00:00"/>
    <d v="1899-12-30T00:00:00"/>
  </r>
  <r>
    <x v="87"/>
    <x v="87"/>
    <x v="4"/>
    <x v="508"/>
    <x v="0"/>
    <d v="1899-12-30T15:26:09"/>
    <s v=""/>
    <e v="#N/A"/>
    <e v="#N/A"/>
  </r>
  <r>
    <x v="87"/>
    <x v="87"/>
    <x v="4"/>
    <x v="508"/>
    <x v="0"/>
    <s v=""/>
    <d v="1899-12-30T22:49:58"/>
    <d v="1899-12-30T00:00:00"/>
    <d v="1899-12-30T00:00:00"/>
  </r>
  <r>
    <x v="87"/>
    <x v="87"/>
    <x v="5"/>
    <x v="509"/>
    <x v="0"/>
    <s v=""/>
    <d v="1899-12-30T22:37:54"/>
    <e v="#N/A"/>
    <e v="#N/A"/>
  </r>
  <r>
    <x v="87"/>
    <x v="87"/>
    <x v="5"/>
    <x v="509"/>
    <x v="0"/>
    <d v="1899-12-30T14:29:49"/>
    <s v=""/>
    <d v="1899-12-30T00:00:00"/>
    <d v="1899-12-30T00:00:00"/>
  </r>
  <r>
    <x v="88"/>
    <x v="88"/>
    <x v="0"/>
    <x v="510"/>
    <x v="0"/>
    <d v="1899-12-30T14:50:55"/>
    <s v=""/>
    <e v="#N/A"/>
    <e v="#N/A"/>
  </r>
  <r>
    <x v="88"/>
    <x v="88"/>
    <x v="0"/>
    <x v="510"/>
    <x v="0"/>
    <s v=""/>
    <d v="1899-12-30T22:34:23"/>
    <d v="1899-12-30T00:00:00"/>
    <d v="1899-12-30T00:00:00"/>
  </r>
  <r>
    <x v="88"/>
    <x v="88"/>
    <x v="1"/>
    <x v="511"/>
    <x v="0"/>
    <d v="1899-12-30T14:44:49"/>
    <s v=""/>
    <e v="#N/A"/>
    <e v="#N/A"/>
  </r>
  <r>
    <x v="88"/>
    <x v="88"/>
    <x v="1"/>
    <x v="511"/>
    <x v="0"/>
    <s v=""/>
    <d v="1899-12-30T22:42:38"/>
    <d v="1899-12-30T00:00:00"/>
    <d v="1899-12-30T00:00:00"/>
  </r>
  <r>
    <x v="88"/>
    <x v="88"/>
    <x v="2"/>
    <x v="512"/>
    <x v="0"/>
    <d v="1899-12-30T14:41:41"/>
    <s v=""/>
    <e v="#N/A"/>
    <e v="#N/A"/>
  </r>
  <r>
    <x v="88"/>
    <x v="88"/>
    <x v="2"/>
    <x v="512"/>
    <x v="0"/>
    <s v=""/>
    <d v="1899-12-30T22:35:14"/>
    <d v="1899-12-30T00:00:00"/>
    <d v="1899-12-30T00:00:00"/>
  </r>
  <r>
    <x v="88"/>
    <x v="88"/>
    <x v="3"/>
    <x v="513"/>
    <x v="0"/>
    <d v="1899-12-30T14:49:07"/>
    <s v=""/>
    <e v="#N/A"/>
    <e v="#N/A"/>
  </r>
  <r>
    <x v="88"/>
    <x v="88"/>
    <x v="3"/>
    <x v="513"/>
    <x v="0"/>
    <s v=""/>
    <d v="1899-12-30T22:40:13"/>
    <d v="1899-12-30T00:00:00"/>
    <d v="1899-12-30T00:00:00"/>
  </r>
  <r>
    <x v="88"/>
    <x v="88"/>
    <x v="4"/>
    <x v="514"/>
    <x v="0"/>
    <d v="1899-12-30T14:52:19"/>
    <s v=""/>
    <e v="#N/A"/>
    <e v="#N/A"/>
  </r>
  <r>
    <x v="88"/>
    <x v="88"/>
    <x v="4"/>
    <x v="514"/>
    <x v="0"/>
    <s v=""/>
    <d v="1899-12-30T22:40:32"/>
    <d v="1899-12-30T00:00:00"/>
    <d v="1899-12-30T00:00:00"/>
  </r>
  <r>
    <x v="88"/>
    <x v="88"/>
    <x v="5"/>
    <x v="515"/>
    <x v="0"/>
    <s v=""/>
    <d v="1899-12-30T19:43:08"/>
    <e v="#N/A"/>
    <e v="#N/A"/>
  </r>
  <r>
    <x v="88"/>
    <x v="88"/>
    <x v="5"/>
    <x v="515"/>
    <x v="0"/>
    <d v="1899-12-30T11:57:00"/>
    <s v=""/>
    <d v="1899-12-30T00:00:00"/>
    <d v="1899-12-30T00:00:00"/>
  </r>
  <r>
    <x v="89"/>
    <x v="89"/>
    <x v="0"/>
    <x v="516"/>
    <x v="0"/>
    <d v="1899-12-30T07:06:19"/>
    <s v=""/>
    <e v="#N/A"/>
    <e v="#N/A"/>
  </r>
  <r>
    <x v="89"/>
    <x v="89"/>
    <x v="0"/>
    <x v="516"/>
    <x v="0"/>
    <s v=""/>
    <d v="1899-12-30T15:22:47"/>
    <d v="1899-12-30T00:00:00"/>
    <d v="1899-12-30T00:00:00"/>
  </r>
  <r>
    <x v="89"/>
    <x v="89"/>
    <x v="1"/>
    <x v="517"/>
    <x v="0"/>
    <d v="1899-12-30T07:05:30"/>
    <s v=""/>
    <e v="#N/A"/>
    <e v="#N/A"/>
  </r>
  <r>
    <x v="89"/>
    <x v="89"/>
    <x v="1"/>
    <x v="517"/>
    <x v="0"/>
    <s v=""/>
    <d v="1899-12-30T15:21:48"/>
    <d v="1899-12-30T00:00:00"/>
    <d v="1899-12-30T00:00:00"/>
  </r>
  <r>
    <x v="89"/>
    <x v="89"/>
    <x v="2"/>
    <x v="518"/>
    <x v="0"/>
    <d v="1899-12-30T07:00:53"/>
    <s v=""/>
    <e v="#N/A"/>
    <e v="#N/A"/>
  </r>
  <r>
    <x v="89"/>
    <x v="89"/>
    <x v="2"/>
    <x v="518"/>
    <x v="0"/>
    <s v=""/>
    <d v="1899-12-30T15:21:19"/>
    <d v="1899-12-30T00:00:00"/>
    <d v="1899-12-30T00:00:00"/>
  </r>
  <r>
    <x v="89"/>
    <x v="89"/>
    <x v="3"/>
    <x v="519"/>
    <x v="0"/>
    <d v="1899-12-30T07:23:48"/>
    <s v=""/>
    <e v="#N/A"/>
    <e v="#N/A"/>
  </r>
  <r>
    <x v="89"/>
    <x v="89"/>
    <x v="3"/>
    <x v="519"/>
    <x v="0"/>
    <s v=""/>
    <d v="1899-12-30T15:31:46"/>
    <d v="1899-12-30T00:00:00"/>
    <d v="1899-12-30T00:00:00"/>
  </r>
  <r>
    <x v="89"/>
    <x v="89"/>
    <x v="4"/>
    <x v="520"/>
    <x v="0"/>
    <s v=""/>
    <d v="1899-12-30T15:38:19"/>
    <e v="#N/A"/>
    <e v="#N/A"/>
  </r>
  <r>
    <x v="89"/>
    <x v="89"/>
    <x v="4"/>
    <x v="520"/>
    <x v="0"/>
    <d v="1899-12-30T06:57:42"/>
    <s v=""/>
    <d v="1899-12-30T00:00:00"/>
    <d v="1899-12-30T00:00:00"/>
  </r>
  <r>
    <x v="89"/>
    <x v="89"/>
    <x v="5"/>
    <x v="521"/>
    <x v="0"/>
    <d v="1899-12-30T08:32:17"/>
    <s v=""/>
    <e v="#N/A"/>
    <e v="#N/A"/>
  </r>
  <r>
    <x v="89"/>
    <x v="89"/>
    <x v="5"/>
    <x v="521"/>
    <x v="0"/>
    <s v=""/>
    <d v="1899-12-30T15:21:55"/>
    <d v="1899-12-30T00:00:00"/>
    <d v="1899-12-30T00:00:00"/>
  </r>
  <r>
    <x v="90"/>
    <x v="90"/>
    <x v="0"/>
    <x v="522"/>
    <x v="0"/>
    <d v="1899-12-30T07:39:25"/>
    <s v=""/>
    <e v="#N/A"/>
    <e v="#N/A"/>
  </r>
  <r>
    <x v="90"/>
    <x v="90"/>
    <x v="0"/>
    <x v="522"/>
    <x v="0"/>
    <s v=""/>
    <d v="1899-12-30T15:02:05"/>
    <d v="1899-12-30T00:00:00"/>
    <d v="1899-12-30T00:00:00"/>
  </r>
  <r>
    <x v="90"/>
    <x v="90"/>
    <x v="1"/>
    <x v="523"/>
    <x v="0"/>
    <d v="1899-12-30T07:25:49"/>
    <s v=""/>
    <e v="#N/A"/>
    <e v="#N/A"/>
  </r>
  <r>
    <x v="90"/>
    <x v="90"/>
    <x v="1"/>
    <x v="523"/>
    <x v="0"/>
    <s v=""/>
    <d v="1899-12-30T15:00:10"/>
    <d v="1899-12-30T00:00:00"/>
    <d v="1899-12-30T00:00:00"/>
  </r>
  <r>
    <x v="90"/>
    <x v="90"/>
    <x v="2"/>
    <x v="524"/>
    <x v="0"/>
    <d v="1899-12-30T07:35:18"/>
    <s v=""/>
    <e v="#N/A"/>
    <e v="#N/A"/>
  </r>
  <r>
    <x v="90"/>
    <x v="90"/>
    <x v="2"/>
    <x v="524"/>
    <x v="0"/>
    <s v=""/>
    <d v="1899-12-30T15:21:04"/>
    <d v="1899-12-30T00:00:00"/>
    <d v="1899-12-30T00:00:00"/>
  </r>
  <r>
    <x v="90"/>
    <x v="90"/>
    <x v="3"/>
    <x v="525"/>
    <x v="0"/>
    <d v="1899-12-30T07:36:50"/>
    <s v=""/>
    <e v="#N/A"/>
    <e v="#N/A"/>
  </r>
  <r>
    <x v="90"/>
    <x v="90"/>
    <x v="3"/>
    <x v="525"/>
    <x v="0"/>
    <s v=""/>
    <d v="1899-12-30T15:04:39"/>
    <d v="1899-12-30T00:00:00"/>
    <d v="1899-12-30T00:00:00"/>
  </r>
  <r>
    <x v="90"/>
    <x v="90"/>
    <x v="4"/>
    <x v="526"/>
    <x v="0"/>
    <s v=""/>
    <d v="1899-12-30T15:02:12"/>
    <e v="#N/A"/>
    <e v="#N/A"/>
  </r>
  <r>
    <x v="90"/>
    <x v="90"/>
    <x v="4"/>
    <x v="526"/>
    <x v="0"/>
    <d v="1899-12-30T07:37:27"/>
    <s v=""/>
    <d v="1899-12-30T00:00:00"/>
    <d v="1899-12-30T00:00:00"/>
  </r>
  <r>
    <x v="90"/>
    <x v="90"/>
    <x v="5"/>
    <x v="527"/>
    <x v="0"/>
    <d v="1899-12-30T07:32:45"/>
    <s v=""/>
    <e v="#N/A"/>
    <e v="#N/A"/>
  </r>
  <r>
    <x v="90"/>
    <x v="90"/>
    <x v="5"/>
    <x v="527"/>
    <x v="0"/>
    <s v=""/>
    <d v="1899-12-30T15:02:56"/>
    <d v="1899-12-30T00:00:00"/>
    <d v="1899-12-30T00:00:00"/>
  </r>
  <r>
    <x v="91"/>
    <x v="91"/>
    <x v="0"/>
    <x v="528"/>
    <x v="0"/>
    <d v="1899-12-30T07:06:14"/>
    <s v=""/>
    <e v="#N/A"/>
    <e v="#N/A"/>
  </r>
  <r>
    <x v="91"/>
    <x v="91"/>
    <x v="0"/>
    <x v="528"/>
    <x v="0"/>
    <s v=""/>
    <d v="1899-12-30T15:14:58"/>
    <d v="1899-12-30T00:00:00"/>
    <d v="1899-12-30T00:00:00"/>
  </r>
  <r>
    <x v="91"/>
    <x v="91"/>
    <x v="1"/>
    <x v="529"/>
    <x v="0"/>
    <d v="1899-12-30T07:23:53"/>
    <s v=""/>
    <e v="#N/A"/>
    <e v="#N/A"/>
  </r>
  <r>
    <x v="91"/>
    <x v="91"/>
    <x v="1"/>
    <x v="529"/>
    <x v="0"/>
    <s v=""/>
    <d v="1899-12-30T15:17:12"/>
    <d v="1899-12-30T00:00:00"/>
    <d v="1899-12-30T00:00:00"/>
  </r>
  <r>
    <x v="91"/>
    <x v="91"/>
    <x v="2"/>
    <x v="530"/>
    <x v="0"/>
    <d v="1899-12-30T07:05:14"/>
    <s v=""/>
    <e v="#N/A"/>
    <e v="#N/A"/>
  </r>
  <r>
    <x v="91"/>
    <x v="91"/>
    <x v="2"/>
    <x v="530"/>
    <x v="0"/>
    <s v=""/>
    <d v="1899-12-30T15:17:24"/>
    <d v="1899-12-30T00:00:00"/>
    <d v="1899-12-30T00:00:00"/>
  </r>
  <r>
    <x v="91"/>
    <x v="91"/>
    <x v="3"/>
    <x v="531"/>
    <x v="0"/>
    <s v=""/>
    <d v="1899-12-30T15:15:28"/>
    <e v="#N/A"/>
    <e v="#N/A"/>
  </r>
  <r>
    <x v="91"/>
    <x v="91"/>
    <x v="3"/>
    <x v="531"/>
    <x v="0"/>
    <d v="1899-12-30T07:02:10"/>
    <s v=""/>
    <d v="1899-12-30T00:00:00"/>
    <d v="1899-12-30T00:00:00"/>
  </r>
  <r>
    <x v="91"/>
    <x v="91"/>
    <x v="4"/>
    <x v="532"/>
    <x v="0"/>
    <d v="1899-12-30T07:05:51"/>
    <s v=""/>
    <e v="#N/A"/>
    <e v="#N/A"/>
  </r>
  <r>
    <x v="91"/>
    <x v="91"/>
    <x v="4"/>
    <x v="532"/>
    <x v="0"/>
    <s v=""/>
    <d v="1899-12-30T15:11:35"/>
    <d v="1899-12-30T00:00:00"/>
    <d v="1899-12-30T00:00:00"/>
  </r>
  <r>
    <x v="92"/>
    <x v="92"/>
    <x v="0"/>
    <x v="533"/>
    <x v="0"/>
    <d v="1899-12-30T07:06:31"/>
    <s v=""/>
    <e v="#N/A"/>
    <e v="#N/A"/>
  </r>
  <r>
    <x v="92"/>
    <x v="92"/>
    <x v="0"/>
    <x v="533"/>
    <x v="0"/>
    <s v=""/>
    <d v="1899-12-30T15:10:36"/>
    <d v="1899-12-30T00:00:00"/>
    <d v="1899-12-30T00:00:00"/>
  </r>
  <r>
    <x v="92"/>
    <x v="92"/>
    <x v="1"/>
    <x v="534"/>
    <x v="0"/>
    <d v="1899-12-30T06:58:49"/>
    <s v=""/>
    <e v="#N/A"/>
    <e v="#N/A"/>
  </r>
  <r>
    <x v="92"/>
    <x v="92"/>
    <x v="1"/>
    <x v="534"/>
    <x v="0"/>
    <s v=""/>
    <d v="1899-12-30T15:10:39"/>
    <d v="1899-12-30T00:00:00"/>
    <d v="1899-12-30T00:00:00"/>
  </r>
  <r>
    <x v="92"/>
    <x v="92"/>
    <x v="2"/>
    <x v="535"/>
    <x v="0"/>
    <d v="1899-12-30T06:56:25"/>
    <s v=""/>
    <e v="#N/A"/>
    <e v="#N/A"/>
  </r>
  <r>
    <x v="92"/>
    <x v="92"/>
    <x v="2"/>
    <x v="535"/>
    <x v="0"/>
    <s v=""/>
    <d v="1899-12-30T15:11:06"/>
    <d v="1899-12-30T00:00:00"/>
    <d v="1899-12-30T00:00:00"/>
  </r>
  <r>
    <x v="92"/>
    <x v="92"/>
    <x v="3"/>
    <x v="536"/>
    <x v="0"/>
    <d v="1899-12-30T07:11:06"/>
    <s v=""/>
    <e v="#N/A"/>
    <e v="#N/A"/>
  </r>
  <r>
    <x v="92"/>
    <x v="92"/>
    <x v="3"/>
    <x v="536"/>
    <x v="0"/>
    <s v=""/>
    <d v="1899-12-30T15:10:17"/>
    <d v="1899-12-30T00:00:00"/>
    <d v="1899-12-30T00:00:00"/>
  </r>
  <r>
    <x v="92"/>
    <x v="92"/>
    <x v="4"/>
    <x v="537"/>
    <x v="0"/>
    <s v=""/>
    <d v="1899-12-30T15:10:52"/>
    <e v="#N/A"/>
    <e v="#N/A"/>
  </r>
  <r>
    <x v="92"/>
    <x v="92"/>
    <x v="4"/>
    <x v="537"/>
    <x v="0"/>
    <d v="1899-12-30T07:02:52"/>
    <s v=""/>
    <d v="1899-12-30T00:00:00"/>
    <d v="1899-12-30T00:00:00"/>
  </r>
  <r>
    <x v="92"/>
    <x v="92"/>
    <x v="6"/>
    <x v="538"/>
    <x v="0"/>
    <d v="1899-12-30T23:57:42"/>
    <s v=""/>
    <e v="#N/A"/>
    <e v="#N/A"/>
  </r>
  <r>
    <x v="93"/>
    <x v="93"/>
    <x v="0"/>
    <x v="539"/>
    <x v="0"/>
    <d v="1899-12-30T14:53:09"/>
    <s v=""/>
    <e v="#N/A"/>
    <e v="#N/A"/>
  </r>
  <r>
    <x v="93"/>
    <x v="93"/>
    <x v="0"/>
    <x v="539"/>
    <x v="0"/>
    <s v=""/>
    <d v="1899-12-30T22:34:08"/>
    <d v="1899-12-30T00:00:00"/>
    <d v="1899-12-30T00:00:00"/>
  </r>
  <r>
    <x v="93"/>
    <x v="93"/>
    <x v="1"/>
    <x v="540"/>
    <x v="0"/>
    <d v="1899-12-30T14:50:56"/>
    <s v=""/>
    <e v="#N/A"/>
    <e v="#N/A"/>
  </r>
  <r>
    <x v="93"/>
    <x v="93"/>
    <x v="1"/>
    <x v="540"/>
    <x v="0"/>
    <s v=""/>
    <d v="1899-12-30T22:43:20"/>
    <d v="1899-12-30T00:00:00"/>
    <d v="1899-12-30T00:00:00"/>
  </r>
  <r>
    <x v="93"/>
    <x v="93"/>
    <x v="2"/>
    <x v="541"/>
    <x v="0"/>
    <d v="1899-12-30T14:47:46"/>
    <s v=""/>
    <e v="#N/A"/>
    <e v="#N/A"/>
  </r>
  <r>
    <x v="93"/>
    <x v="93"/>
    <x v="2"/>
    <x v="541"/>
    <x v="0"/>
    <s v=""/>
    <d v="1899-12-30T22:39:26"/>
    <d v="1899-12-30T00:00:00"/>
    <d v="1899-12-30T00:00:00"/>
  </r>
  <r>
    <x v="93"/>
    <x v="93"/>
    <x v="3"/>
    <x v="542"/>
    <x v="0"/>
    <d v="1899-12-30T15:00:20"/>
    <s v=""/>
    <e v="#N/A"/>
    <e v="#N/A"/>
  </r>
  <r>
    <x v="93"/>
    <x v="93"/>
    <x v="3"/>
    <x v="542"/>
    <x v="0"/>
    <s v=""/>
    <d v="1899-12-30T22:44:36"/>
    <d v="1899-12-30T00:00:00"/>
    <d v="1899-12-30T00:00:00"/>
  </r>
  <r>
    <x v="93"/>
    <x v="93"/>
    <x v="4"/>
    <x v="543"/>
    <x v="0"/>
    <d v="1899-12-30T14:57:25"/>
    <s v=""/>
    <e v="#N/A"/>
    <e v="#N/A"/>
  </r>
  <r>
    <x v="93"/>
    <x v="93"/>
    <x v="4"/>
    <x v="543"/>
    <x v="0"/>
    <s v=""/>
    <d v="1899-12-30T22:41:33"/>
    <d v="1899-12-30T00:00:00"/>
    <d v="1899-12-30T00:00:00"/>
  </r>
  <r>
    <x v="93"/>
    <x v="93"/>
    <x v="5"/>
    <x v="544"/>
    <x v="0"/>
    <s v=""/>
    <d v="1899-12-30T22:08:15"/>
    <e v="#N/A"/>
    <e v="#N/A"/>
  </r>
  <r>
    <x v="93"/>
    <x v="93"/>
    <x v="5"/>
    <x v="544"/>
    <x v="0"/>
    <d v="1899-12-30T14:55:58"/>
    <s v=""/>
    <d v="1899-12-30T00:00:00"/>
    <d v="1899-12-30T00:00:00"/>
  </r>
  <r>
    <x v="94"/>
    <x v="94"/>
    <x v="0"/>
    <x v="545"/>
    <x v="0"/>
    <d v="1899-12-30T22:31:51"/>
    <s v=""/>
    <e v="#N/A"/>
    <e v="#N/A"/>
  </r>
  <r>
    <x v="94"/>
    <x v="94"/>
    <x v="1"/>
    <x v="546"/>
    <x v="0"/>
    <s v=""/>
    <d v="1899-12-30T07:42:01"/>
    <e v="#N/A"/>
    <e v="#N/A"/>
  </r>
  <r>
    <x v="94"/>
    <x v="94"/>
    <x v="1"/>
    <x v="546"/>
    <x v="0"/>
    <d v="1899-12-30T22:20:03"/>
    <s v=""/>
    <d v="1899-12-30T00:00:00"/>
    <d v="1899-12-30T00:00:00"/>
  </r>
  <r>
    <x v="94"/>
    <x v="94"/>
    <x v="2"/>
    <x v="547"/>
    <x v="0"/>
    <s v=""/>
    <d v="1899-12-30T07:54:49"/>
    <e v="#N/A"/>
    <e v="#N/A"/>
  </r>
  <r>
    <x v="94"/>
    <x v="94"/>
    <x v="2"/>
    <x v="547"/>
    <x v="0"/>
    <d v="1899-12-30T22:15:59"/>
    <s v=""/>
    <d v="1899-12-30T00:00:00"/>
    <d v="1899-12-30T00:00:00"/>
  </r>
  <r>
    <x v="94"/>
    <x v="94"/>
    <x v="3"/>
    <x v="548"/>
    <x v="0"/>
    <s v=""/>
    <d v="1899-12-30T07:52:14"/>
    <e v="#N/A"/>
    <e v="#N/A"/>
  </r>
  <r>
    <x v="94"/>
    <x v="94"/>
    <x v="3"/>
    <x v="548"/>
    <x v="0"/>
    <d v="1899-12-30T22:18:19"/>
    <s v=""/>
    <d v="1899-12-30T00:00:00"/>
    <d v="1899-12-30T00:00:00"/>
  </r>
  <r>
    <x v="94"/>
    <x v="94"/>
    <x v="4"/>
    <x v="549"/>
    <x v="0"/>
    <d v="1899-12-30T22:14:04"/>
    <s v=""/>
    <e v="#N/A"/>
    <e v="#N/A"/>
  </r>
  <r>
    <x v="94"/>
    <x v="94"/>
    <x v="4"/>
    <x v="549"/>
    <x v="0"/>
    <s v=""/>
    <d v="1899-12-30T07:52:34"/>
    <d v="1899-12-30T00:00:00"/>
    <d v="1899-12-30T00:00:00"/>
  </r>
  <r>
    <x v="94"/>
    <x v="94"/>
    <x v="5"/>
    <x v="550"/>
    <x v="0"/>
    <s v=""/>
    <d v="1899-12-30T07:54:56"/>
    <e v="#N/A"/>
    <e v="#N/A"/>
  </r>
  <r>
    <x v="95"/>
    <x v="95"/>
    <x v="0"/>
    <x v="551"/>
    <x v="0"/>
    <d v="1899-12-30T07:48:55"/>
    <s v=""/>
    <e v="#N/A"/>
    <e v="#N/A"/>
  </r>
  <r>
    <x v="95"/>
    <x v="95"/>
    <x v="0"/>
    <x v="551"/>
    <x v="0"/>
    <s v=""/>
    <d v="1899-12-30T15:00:50"/>
    <d v="1899-12-30T00:00:00"/>
    <d v="1899-12-30T00:00:00"/>
  </r>
  <r>
    <x v="95"/>
    <x v="95"/>
    <x v="1"/>
    <x v="552"/>
    <x v="0"/>
    <d v="1899-12-30T13:25:21"/>
    <s v=""/>
    <e v="#N/A"/>
    <e v="#N/A"/>
  </r>
  <r>
    <x v="95"/>
    <x v="95"/>
    <x v="1"/>
    <x v="552"/>
    <x v="0"/>
    <s v=""/>
    <d v="1899-12-30T15:06:46"/>
    <d v="1899-12-30T00:00:00"/>
    <d v="1899-12-30T00:00:00"/>
  </r>
  <r>
    <x v="95"/>
    <x v="95"/>
    <x v="2"/>
    <x v="553"/>
    <x v="0"/>
    <d v="1899-12-30T07:55:38"/>
    <s v=""/>
    <e v="#N/A"/>
    <e v="#N/A"/>
  </r>
  <r>
    <x v="95"/>
    <x v="95"/>
    <x v="2"/>
    <x v="553"/>
    <x v="0"/>
    <s v=""/>
    <d v="1899-12-30T15:29:43"/>
    <d v="1899-12-30T00:00:00"/>
    <d v="1899-12-30T00:00:00"/>
  </r>
  <r>
    <x v="95"/>
    <x v="95"/>
    <x v="3"/>
    <x v="554"/>
    <x v="0"/>
    <d v="1899-12-30T07:47:38"/>
    <s v=""/>
    <e v="#N/A"/>
    <e v="#N/A"/>
  </r>
  <r>
    <x v="95"/>
    <x v="95"/>
    <x v="3"/>
    <x v="554"/>
    <x v="0"/>
    <s v=""/>
    <d v="1899-12-30T15:04:43"/>
    <d v="1899-12-30T00:00:00"/>
    <d v="1899-12-30T00:00:00"/>
  </r>
  <r>
    <x v="95"/>
    <x v="95"/>
    <x v="4"/>
    <x v="555"/>
    <x v="0"/>
    <s v=""/>
    <d v="1899-12-30T15:22:44"/>
    <e v="#N/A"/>
    <e v="#N/A"/>
  </r>
  <r>
    <x v="95"/>
    <x v="95"/>
    <x v="4"/>
    <x v="555"/>
    <x v="0"/>
    <d v="1899-12-30T08:05:00"/>
    <s v=""/>
    <d v="1899-12-30T00:00:00"/>
    <d v="1899-12-30T00:00:00"/>
  </r>
  <r>
    <x v="95"/>
    <x v="95"/>
    <x v="5"/>
    <x v="556"/>
    <x v="0"/>
    <d v="1899-12-30T15:12:44"/>
    <s v=""/>
    <e v="#N/A"/>
    <e v="#N/A"/>
  </r>
  <r>
    <x v="95"/>
    <x v="95"/>
    <x v="5"/>
    <x v="556"/>
    <x v="0"/>
    <s v=""/>
    <d v="1899-12-30T22:01:27"/>
    <d v="1899-12-30T00:00:00"/>
    <d v="1899-12-30T00:00:00"/>
  </r>
  <r>
    <x v="96"/>
    <x v="96"/>
    <x v="0"/>
    <x v="557"/>
    <x v="0"/>
    <d v="1899-12-30T07:41:36"/>
    <s v=""/>
    <e v="#N/A"/>
    <e v="#N/A"/>
  </r>
  <r>
    <x v="96"/>
    <x v="96"/>
    <x v="0"/>
    <x v="557"/>
    <x v="0"/>
    <s v=""/>
    <d v="1899-12-30T17:35:57"/>
    <d v="1899-12-30T00:00:00"/>
    <d v="1899-12-30T00:00:00"/>
  </r>
  <r>
    <x v="96"/>
    <x v="96"/>
    <x v="1"/>
    <x v="558"/>
    <x v="0"/>
    <d v="1899-12-30T07:44:20"/>
    <s v=""/>
    <e v="#N/A"/>
    <e v="#N/A"/>
  </r>
  <r>
    <x v="96"/>
    <x v="96"/>
    <x v="1"/>
    <x v="558"/>
    <x v="0"/>
    <s v=""/>
    <d v="1899-12-30T17:32:48"/>
    <d v="1899-12-30T00:00:00"/>
    <d v="1899-12-30T00:00:00"/>
  </r>
  <r>
    <x v="96"/>
    <x v="96"/>
    <x v="2"/>
    <x v="559"/>
    <x v="0"/>
    <d v="1899-12-30T07:12:30"/>
    <s v=""/>
    <e v="#N/A"/>
    <e v="#N/A"/>
  </r>
  <r>
    <x v="96"/>
    <x v="96"/>
    <x v="2"/>
    <x v="559"/>
    <x v="0"/>
    <s v=""/>
    <d v="1899-12-30T10:51:36"/>
    <d v="1899-12-30T00:00:00"/>
    <d v="1899-12-30T00:00:00"/>
  </r>
  <r>
    <x v="96"/>
    <x v="96"/>
    <x v="3"/>
    <x v="560"/>
    <x v="0"/>
    <d v="1899-12-30T07:10:05"/>
    <s v=""/>
    <e v="#N/A"/>
    <e v="#N/A"/>
  </r>
  <r>
    <x v="96"/>
    <x v="96"/>
    <x v="3"/>
    <x v="560"/>
    <x v="0"/>
    <s v=""/>
    <d v="1899-12-30T17:39:16"/>
    <d v="1899-12-30T00:00:00"/>
    <d v="1899-12-30T00:00:00"/>
  </r>
  <r>
    <x v="96"/>
    <x v="96"/>
    <x v="4"/>
    <x v="561"/>
    <x v="0"/>
    <s v=""/>
    <d v="1899-12-30T17:39:41"/>
    <e v="#N/A"/>
    <e v="#N/A"/>
  </r>
  <r>
    <x v="96"/>
    <x v="96"/>
    <x v="4"/>
    <x v="561"/>
    <x v="0"/>
    <d v="1899-12-30T07:07:45"/>
    <s v=""/>
    <d v="1899-12-30T00:00:00"/>
    <d v="1899-12-30T00:00:00"/>
  </r>
  <r>
    <x v="97"/>
    <x v="97"/>
    <x v="0"/>
    <x v="562"/>
    <x v="2"/>
    <d v="1899-12-30T00:15:16"/>
    <s v=""/>
    <d v="1899-12-30T07:30:00"/>
    <d v="1899-12-30T09:00:00"/>
  </r>
  <r>
    <x v="97"/>
    <x v="97"/>
    <x v="0"/>
    <x v="562"/>
    <x v="2"/>
    <s v=""/>
    <d v="1899-12-30T08:08:16"/>
    <d v="1899-12-30T00:00:00"/>
    <d v="1899-12-30T00:00:00"/>
  </r>
  <r>
    <x v="97"/>
    <x v="97"/>
    <x v="0"/>
    <x v="563"/>
    <x v="2"/>
    <d v="1899-12-30T22:04:49"/>
    <s v=""/>
    <d v="1899-12-30T00:00:00"/>
    <d v="1899-12-30T00:00:00"/>
  </r>
  <r>
    <x v="97"/>
    <x v="97"/>
    <x v="1"/>
    <x v="564"/>
    <x v="2"/>
    <s v=""/>
    <d v="1899-12-30T07:49:53"/>
    <d v="1899-12-30T00:00:00"/>
    <d v="1899-12-30T09:00:00"/>
  </r>
  <r>
    <x v="97"/>
    <x v="97"/>
    <x v="1"/>
    <x v="564"/>
    <x v="2"/>
    <d v="1899-12-30T22:04:07"/>
    <s v=""/>
    <d v="1899-12-30T00:00:00"/>
    <d v="1899-12-30T00:00:00"/>
  </r>
  <r>
    <x v="97"/>
    <x v="97"/>
    <x v="2"/>
    <x v="565"/>
    <x v="2"/>
    <s v=""/>
    <d v="1899-12-30T07:50:16"/>
    <d v="1899-12-30T00:00:00"/>
    <d v="1899-12-30T09:00:00"/>
  </r>
  <r>
    <x v="97"/>
    <x v="97"/>
    <x v="2"/>
    <x v="565"/>
    <x v="2"/>
    <d v="1899-12-30T22:03:22"/>
    <s v=""/>
    <d v="1899-12-30T00:00:00"/>
    <d v="1899-12-30T00:00:00"/>
  </r>
  <r>
    <x v="97"/>
    <x v="97"/>
    <x v="3"/>
    <x v="566"/>
    <x v="2"/>
    <s v=""/>
    <d v="1899-12-30T07:51:01"/>
    <d v="1899-12-30T00:00:00"/>
    <d v="1899-12-30T09:00:00"/>
  </r>
  <r>
    <x v="97"/>
    <x v="97"/>
    <x v="3"/>
    <x v="566"/>
    <x v="2"/>
    <d v="1899-12-30T22:06:52"/>
    <s v=""/>
    <d v="1899-12-30T00:00:00"/>
    <d v="1899-12-30T00:00:00"/>
  </r>
  <r>
    <x v="97"/>
    <x v="97"/>
    <x v="4"/>
    <x v="567"/>
    <x v="2"/>
    <d v="1899-12-30T22:14:14"/>
    <s v=""/>
    <d v="1899-12-30T00:00:00"/>
    <d v="1899-12-30T09:00:00"/>
  </r>
  <r>
    <x v="97"/>
    <x v="97"/>
    <x v="4"/>
    <x v="567"/>
    <x v="2"/>
    <s v=""/>
    <d v="1899-12-30T07:52:16"/>
    <d v="1899-12-30T00:00:00"/>
    <d v="1899-12-30T00:00:00"/>
  </r>
  <r>
    <x v="97"/>
    <x v="97"/>
    <x v="5"/>
    <x v="568"/>
    <x v="2"/>
    <s v=""/>
    <d v="1899-12-30T07:51:02"/>
    <d v="1899-12-30T00:00:00"/>
    <d v="1899-12-30T09:00:00"/>
  </r>
  <r>
    <x v="98"/>
    <x v="98"/>
    <x v="1"/>
    <x v="569"/>
    <x v="0"/>
    <d v="1899-12-30T07:41:29"/>
    <s v=""/>
    <e v="#N/A"/>
    <e v="#N/A"/>
  </r>
  <r>
    <x v="98"/>
    <x v="98"/>
    <x v="1"/>
    <x v="569"/>
    <x v="0"/>
    <s v=""/>
    <d v="1899-12-30T17:29:34"/>
    <d v="1899-12-30T00:00:00"/>
    <d v="1899-12-30T00:00:00"/>
  </r>
  <r>
    <x v="98"/>
    <x v="98"/>
    <x v="2"/>
    <x v="570"/>
    <x v="0"/>
    <d v="1899-12-30T07:43:52"/>
    <s v=""/>
    <e v="#N/A"/>
    <e v="#N/A"/>
  </r>
  <r>
    <x v="98"/>
    <x v="98"/>
    <x v="2"/>
    <x v="570"/>
    <x v="0"/>
    <s v=""/>
    <d v="1899-12-30T17:37:19"/>
    <d v="1899-12-30T00:00:00"/>
    <d v="1899-12-30T00:00:00"/>
  </r>
  <r>
    <x v="98"/>
    <x v="98"/>
    <x v="3"/>
    <x v="571"/>
    <x v="0"/>
    <d v="1899-12-30T07:46:03"/>
    <s v=""/>
    <e v="#N/A"/>
    <e v="#N/A"/>
  </r>
  <r>
    <x v="98"/>
    <x v="98"/>
    <x v="3"/>
    <x v="571"/>
    <x v="0"/>
    <s v=""/>
    <d v="1899-12-30T19:20:00"/>
    <d v="1899-12-30T00:00:00"/>
    <d v="1899-12-30T00:00:00"/>
  </r>
  <r>
    <x v="98"/>
    <x v="98"/>
    <x v="4"/>
    <x v="572"/>
    <x v="0"/>
    <d v="1899-12-30T07:40:16"/>
    <s v=""/>
    <e v="#N/A"/>
    <e v="#N/A"/>
  </r>
  <r>
    <x v="98"/>
    <x v="98"/>
    <x v="4"/>
    <x v="572"/>
    <x v="0"/>
    <s v=""/>
    <d v="1899-12-30T17:35:35"/>
    <d v="1899-12-30T00:00:00"/>
    <d v="1899-12-30T00:00:00"/>
  </r>
  <r>
    <x v="99"/>
    <x v="99"/>
    <x v="0"/>
    <x v="573"/>
    <x v="0"/>
    <d v="1899-12-30T22:06:47"/>
    <s v=""/>
    <e v="#N/A"/>
    <e v="#N/A"/>
  </r>
  <r>
    <x v="99"/>
    <x v="99"/>
    <x v="1"/>
    <x v="574"/>
    <x v="0"/>
    <s v=""/>
    <d v="1899-12-30T07:50:55"/>
    <e v="#N/A"/>
    <e v="#N/A"/>
  </r>
  <r>
    <x v="99"/>
    <x v="99"/>
    <x v="1"/>
    <x v="574"/>
    <x v="0"/>
    <d v="1899-12-30T22:04:11"/>
    <s v=""/>
    <d v="1899-12-30T00:00:00"/>
    <d v="1899-12-30T00:00:00"/>
  </r>
  <r>
    <x v="99"/>
    <x v="99"/>
    <x v="2"/>
    <x v="575"/>
    <x v="0"/>
    <s v=""/>
    <d v="1899-12-30T07:51:36"/>
    <e v="#N/A"/>
    <e v="#N/A"/>
  </r>
  <r>
    <x v="99"/>
    <x v="99"/>
    <x v="2"/>
    <x v="575"/>
    <x v="0"/>
    <d v="1899-12-30T22:06:52"/>
    <s v=""/>
    <d v="1899-12-30T00:00:00"/>
    <d v="1899-12-30T00:00:00"/>
  </r>
  <r>
    <x v="99"/>
    <x v="99"/>
    <x v="3"/>
    <x v="576"/>
    <x v="0"/>
    <s v=""/>
    <d v="1899-12-30T07:55:35"/>
    <e v="#N/A"/>
    <e v="#N/A"/>
  </r>
  <r>
    <x v="99"/>
    <x v="99"/>
    <x v="3"/>
    <x v="576"/>
    <x v="0"/>
    <d v="1899-12-30T22:06:04"/>
    <s v=""/>
    <d v="1899-12-30T00:00:00"/>
    <d v="1899-12-30T00:00:00"/>
  </r>
  <r>
    <x v="99"/>
    <x v="99"/>
    <x v="4"/>
    <x v="577"/>
    <x v="0"/>
    <s v=""/>
    <d v="1899-12-30T07:52:49"/>
    <e v="#N/A"/>
    <e v="#N/A"/>
  </r>
  <r>
    <x v="100"/>
    <x v="100"/>
    <x v="0"/>
    <x v="578"/>
    <x v="0"/>
    <d v="1899-12-30T14:56:25"/>
    <s v=""/>
    <e v="#N/A"/>
    <e v="#N/A"/>
  </r>
  <r>
    <x v="100"/>
    <x v="100"/>
    <x v="0"/>
    <x v="578"/>
    <x v="0"/>
    <s v=""/>
    <d v="1899-12-30T22:32:46"/>
    <d v="1899-12-30T00:00:00"/>
    <d v="1899-12-30T00:00:00"/>
  </r>
  <r>
    <x v="100"/>
    <x v="100"/>
    <x v="1"/>
    <x v="579"/>
    <x v="0"/>
    <d v="1899-12-30T14:35:27"/>
    <s v=""/>
    <e v="#N/A"/>
    <e v="#N/A"/>
  </r>
  <r>
    <x v="100"/>
    <x v="100"/>
    <x v="1"/>
    <x v="579"/>
    <x v="0"/>
    <s v=""/>
    <d v="1899-12-30T22:32:12"/>
    <d v="1899-12-30T00:00:00"/>
    <d v="1899-12-30T00:00:00"/>
  </r>
  <r>
    <x v="100"/>
    <x v="100"/>
    <x v="2"/>
    <x v="580"/>
    <x v="0"/>
    <d v="1899-12-30T14:34:40"/>
    <s v=""/>
    <e v="#N/A"/>
    <e v="#N/A"/>
  </r>
  <r>
    <x v="100"/>
    <x v="100"/>
    <x v="2"/>
    <x v="580"/>
    <x v="0"/>
    <s v=""/>
    <d v="1899-12-30T22:30:21"/>
    <d v="1899-12-30T00:00:00"/>
    <d v="1899-12-30T00:00:00"/>
  </r>
  <r>
    <x v="100"/>
    <x v="100"/>
    <x v="3"/>
    <x v="581"/>
    <x v="0"/>
    <d v="1899-12-30T14:52:02"/>
    <s v=""/>
    <e v="#N/A"/>
    <e v="#N/A"/>
  </r>
  <r>
    <x v="100"/>
    <x v="100"/>
    <x v="3"/>
    <x v="581"/>
    <x v="0"/>
    <s v=""/>
    <d v="1899-12-30T22:31:57"/>
    <d v="1899-12-30T00:00:00"/>
    <d v="1899-12-30T00:00:00"/>
  </r>
  <r>
    <x v="100"/>
    <x v="100"/>
    <x v="4"/>
    <x v="582"/>
    <x v="0"/>
    <d v="1899-12-30T14:35:58"/>
    <s v=""/>
    <e v="#N/A"/>
    <e v="#N/A"/>
  </r>
  <r>
    <x v="100"/>
    <x v="100"/>
    <x v="4"/>
    <x v="582"/>
    <x v="0"/>
    <s v=""/>
    <d v="1899-12-30T22:30:40"/>
    <d v="1899-12-30T00:00:00"/>
    <d v="1899-12-30T00:00:00"/>
  </r>
  <r>
    <x v="100"/>
    <x v="100"/>
    <x v="5"/>
    <x v="583"/>
    <x v="0"/>
    <s v=""/>
    <d v="1899-12-30T22:31:10"/>
    <e v="#N/A"/>
    <e v="#N/A"/>
  </r>
  <r>
    <x v="100"/>
    <x v="100"/>
    <x v="5"/>
    <x v="583"/>
    <x v="0"/>
    <d v="1899-12-30T14:52:44"/>
    <s v=""/>
    <d v="1899-12-30T00:00:00"/>
    <d v="1899-12-30T00:00:00"/>
  </r>
  <r>
    <x v="101"/>
    <x v="101"/>
    <x v="0"/>
    <x v="584"/>
    <x v="0"/>
    <d v="1899-12-30T08:18:58"/>
    <s v=""/>
    <e v="#N/A"/>
    <e v="#N/A"/>
  </r>
  <r>
    <x v="101"/>
    <x v="101"/>
    <x v="0"/>
    <x v="584"/>
    <x v="0"/>
    <s v=""/>
    <d v="1899-12-30T18:30:13"/>
    <d v="1899-12-30T00:00:00"/>
    <d v="1899-12-30T00:00:00"/>
  </r>
  <r>
    <x v="101"/>
    <x v="101"/>
    <x v="1"/>
    <x v="585"/>
    <x v="0"/>
    <d v="1899-12-30T08:10:13"/>
    <s v=""/>
    <e v="#N/A"/>
    <e v="#N/A"/>
  </r>
  <r>
    <x v="101"/>
    <x v="101"/>
    <x v="1"/>
    <x v="585"/>
    <x v="0"/>
    <s v=""/>
    <d v="1899-12-30T18:33:43"/>
    <d v="1899-12-30T00:00:00"/>
    <d v="1899-12-30T00:00:00"/>
  </r>
  <r>
    <x v="101"/>
    <x v="101"/>
    <x v="2"/>
    <x v="586"/>
    <x v="0"/>
    <d v="1899-12-30T08:10:25"/>
    <s v=""/>
    <e v="#N/A"/>
    <e v="#N/A"/>
  </r>
  <r>
    <x v="101"/>
    <x v="101"/>
    <x v="2"/>
    <x v="586"/>
    <x v="0"/>
    <s v=""/>
    <d v="1899-12-30T18:38:10"/>
    <d v="1899-12-30T00:00:00"/>
    <d v="1899-12-30T00:00:00"/>
  </r>
  <r>
    <x v="101"/>
    <x v="101"/>
    <x v="3"/>
    <x v="587"/>
    <x v="0"/>
    <d v="1899-12-30T08:09:36"/>
    <s v=""/>
    <e v="#N/A"/>
    <e v="#N/A"/>
  </r>
  <r>
    <x v="101"/>
    <x v="101"/>
    <x v="3"/>
    <x v="587"/>
    <x v="0"/>
    <s v=""/>
    <d v="1899-12-30T18:32:50"/>
    <d v="1899-12-30T00:00:00"/>
    <d v="1899-12-30T00:00:00"/>
  </r>
  <r>
    <x v="101"/>
    <x v="101"/>
    <x v="4"/>
    <x v="588"/>
    <x v="0"/>
    <s v=""/>
    <d v="1899-12-30T17:16:20"/>
    <e v="#N/A"/>
    <e v="#N/A"/>
  </r>
  <r>
    <x v="101"/>
    <x v="101"/>
    <x v="4"/>
    <x v="588"/>
    <x v="0"/>
    <d v="1899-12-30T08:12:54"/>
    <s v=""/>
    <d v="1899-12-30T00:00:00"/>
    <d v="1899-12-30T00:00:00"/>
  </r>
  <r>
    <x v="102"/>
    <x v="102"/>
    <x v="7"/>
    <x v="589"/>
    <x v="0"/>
    <s v=""/>
    <s v=""/>
    <e v="#N/A"/>
    <e v="#N/A"/>
  </r>
  <r>
    <x v="102"/>
    <x v="102"/>
    <x v="7"/>
    <x v="589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compact="0" compactData="0" gridDropZones="1" multipleFieldFilters="0">
  <location ref="L8:V72" firstHeaderRow="1" firstDataRow="2" firstDataCol="5"/>
  <pivotFields count="13">
    <pivotField axis="axisRow" compact="0" outline="0" showAll="0" defaultSubtota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84"/>
        <item x="94"/>
        <item x="95"/>
        <item x="96"/>
        <item x="97"/>
        <item x="98"/>
        <item x="99"/>
        <item x="100"/>
        <item x="101"/>
        <item x="102"/>
      </items>
    </pivotField>
    <pivotField axis="axisRow" compact="0" outline="0" showAll="0" defaultSubtotal="0">
      <items count="103">
        <item x="54"/>
        <item x="18"/>
        <item x="6"/>
        <item x="42"/>
        <item x="101"/>
        <item x="98"/>
        <item x="51"/>
        <item x="55"/>
        <item x="14"/>
        <item x="30"/>
        <item x="20"/>
        <item x="60"/>
        <item x="75"/>
        <item x="57"/>
        <item x="65"/>
        <item x="28"/>
        <item x="24"/>
        <item x="68"/>
        <item x="15"/>
        <item x="25"/>
        <item x="16"/>
        <item x="97"/>
        <item x="8"/>
        <item x="50"/>
        <item x="48"/>
        <item x="43"/>
        <item x="7"/>
        <item x="69"/>
        <item x="12"/>
        <item x="99"/>
        <item x="1"/>
        <item x="80"/>
        <item x="79"/>
        <item x="52"/>
        <item x="89"/>
        <item x="40"/>
        <item x="82"/>
        <item x="0"/>
        <item x="2"/>
        <item x="56"/>
        <item x="21"/>
        <item x="83"/>
        <item x="95"/>
        <item x="94"/>
        <item x="19"/>
        <item x="26"/>
        <item x="23"/>
        <item x="31"/>
        <item x="71"/>
        <item x="46"/>
        <item x="63"/>
        <item x="38"/>
        <item x="78"/>
        <item x="37"/>
        <item x="59"/>
        <item x="41"/>
        <item x="44"/>
        <item x="72"/>
        <item x="91"/>
        <item x="64"/>
        <item x="33"/>
        <item x="87"/>
        <item x="47"/>
        <item x="39"/>
        <item x="74"/>
        <item x="45"/>
        <item x="4"/>
        <item x="85"/>
        <item x="90"/>
        <item x="61"/>
        <item x="67"/>
        <item x="86"/>
        <item x="100"/>
        <item x="49"/>
        <item x="3"/>
        <item x="9"/>
        <item x="77"/>
        <item x="84"/>
        <item x="27"/>
        <item x="5"/>
        <item x="10"/>
        <item x="29"/>
        <item x="22"/>
        <item x="93"/>
        <item x="70"/>
        <item x="66"/>
        <item x="96"/>
        <item x="11"/>
        <item x="13"/>
        <item x="81"/>
        <item x="53"/>
        <item x="62"/>
        <item x="35"/>
        <item x="17"/>
        <item x="92"/>
        <item x="58"/>
        <item x="36"/>
        <item x="76"/>
        <item x="34"/>
        <item x="73"/>
        <item x="32"/>
        <item x="102"/>
        <item x="88"/>
      </items>
    </pivotField>
    <pivotField axis="axisRow" compact="0" numFmtId="14" outline="0" showAll="0" defaultSubtotal="0">
      <items count="8">
        <item x="7"/>
        <item x="0"/>
        <item x="1"/>
        <item x="2"/>
        <item x="3"/>
        <item x="4"/>
        <item x="5"/>
        <item x="6"/>
      </items>
    </pivotField>
    <pivotField axis="axisRow" compact="0" numFmtId="1" outline="0" showAll="0" defaultSubtotal="0">
      <items count="5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</items>
    </pivotField>
    <pivotField axis="axisRow" compact="0" outline="0" showAll="0" defaultSubtotal="0">
      <items count="5">
        <item x="1"/>
        <item x="4"/>
        <item x="3"/>
        <item x="2"/>
        <item h="1" x="0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5">
    <field x="0"/>
    <field x="1"/>
    <field x="2"/>
    <field x="4"/>
    <field x="3"/>
  </rowFields>
  <rowItems count="63">
    <i>
      <x v="11"/>
      <x v="87"/>
      <x v="1"/>
      <x/>
      <x v="65"/>
    </i>
    <i r="2">
      <x v="2"/>
      <x/>
      <x v="66"/>
    </i>
    <i r="2">
      <x v="3"/>
      <x/>
      <x v="67"/>
    </i>
    <i r="2">
      <x v="4"/>
      <x/>
      <x v="68"/>
    </i>
    <i r="2">
      <x v="5"/>
      <x/>
      <x v="69"/>
    </i>
    <i r="2">
      <x v="7"/>
      <x/>
      <x v="70"/>
    </i>
    <i>
      <x v="16"/>
      <x v="20"/>
      <x v="1"/>
      <x v="3"/>
      <x v="96"/>
    </i>
    <i r="2">
      <x v="2"/>
      <x v="3"/>
      <x v="97"/>
    </i>
    <i r="2">
      <x v="3"/>
      <x v="3"/>
      <x v="98"/>
    </i>
    <i r="2">
      <x v="4"/>
      <x v="3"/>
      <x v="99"/>
    </i>
    <i r="2">
      <x v="5"/>
      <x v="3"/>
      <x v="100"/>
    </i>
    <i r="2">
      <x v="6"/>
      <x v="3"/>
      <x v="101"/>
    </i>
    <i>
      <x v="24"/>
      <x v="16"/>
      <x v="1"/>
      <x v="2"/>
      <x v="143"/>
    </i>
    <i r="4">
      <x v="144"/>
    </i>
    <i r="2">
      <x v="2"/>
      <x v="2"/>
      <x v="145"/>
    </i>
    <i r="2">
      <x v="3"/>
      <x v="2"/>
      <x v="146"/>
    </i>
    <i r="2">
      <x v="4"/>
      <x v="2"/>
      <x v="147"/>
    </i>
    <i r="2">
      <x v="5"/>
      <x v="2"/>
      <x v="148"/>
    </i>
    <i r="2">
      <x v="6"/>
      <x v="2"/>
      <x v="149"/>
    </i>
    <i>
      <x v="55"/>
      <x v="7"/>
      <x v="1"/>
      <x v="1"/>
      <x v="321"/>
    </i>
    <i r="2">
      <x v="2"/>
      <x v="1"/>
      <x v="322"/>
    </i>
    <i r="2">
      <x v="3"/>
      <x v="1"/>
      <x v="323"/>
    </i>
    <i r="2">
      <x v="4"/>
      <x v="1"/>
      <x v="324"/>
    </i>
    <i r="2">
      <x v="5"/>
      <x v="1"/>
      <x v="325"/>
    </i>
    <i r="2">
      <x v="6"/>
      <x v="1"/>
      <x v="326"/>
    </i>
    <i>
      <x v="58"/>
      <x v="95"/>
      <x v="1"/>
      <x v="3"/>
      <x v="338"/>
    </i>
    <i r="4">
      <x v="339"/>
    </i>
    <i r="2">
      <x v="2"/>
      <x v="3"/>
      <x v="340"/>
    </i>
    <i r="2">
      <x v="3"/>
      <x v="3"/>
      <x v="341"/>
    </i>
    <i r="2">
      <x v="4"/>
      <x v="3"/>
      <x v="342"/>
    </i>
    <i r="2">
      <x v="5"/>
      <x v="3"/>
      <x v="343"/>
    </i>
    <i r="2">
      <x v="6"/>
      <x v="3"/>
      <x v="344"/>
    </i>
    <i>
      <x v="60"/>
      <x v="11"/>
      <x v="1"/>
      <x/>
      <x v="351"/>
    </i>
    <i r="2">
      <x v="2"/>
      <x/>
      <x v="352"/>
    </i>
    <i r="2">
      <x v="3"/>
      <x/>
      <x v="353"/>
    </i>
    <i r="2">
      <x v="4"/>
      <x/>
      <x v="354"/>
    </i>
    <i r="2">
      <x v="5"/>
      <x/>
      <x v="355"/>
    </i>
    <i>
      <x v="71"/>
      <x v="48"/>
      <x v="1"/>
      <x v="3"/>
      <x v="415"/>
    </i>
    <i r="2">
      <x v="2"/>
      <x v="3"/>
      <x v="416"/>
    </i>
    <i r="2">
      <x v="3"/>
      <x v="3"/>
      <x v="417"/>
    </i>
    <i r="2">
      <x v="4"/>
      <x v="3"/>
      <x v="418"/>
    </i>
    <i r="2">
      <x v="5"/>
      <x v="3"/>
      <x v="419"/>
    </i>
    <i r="2">
      <x v="6"/>
      <x v="3"/>
      <x v="420"/>
    </i>
    <i r="2">
      <x v="7"/>
      <x v="3"/>
      <x v="421"/>
    </i>
    <i>
      <x v="74"/>
      <x v="64"/>
      <x v="1"/>
      <x/>
      <x v="434"/>
    </i>
    <i r="2">
      <x v="2"/>
      <x/>
      <x v="435"/>
    </i>
    <i r="2">
      <x v="3"/>
      <x/>
      <x v="436"/>
    </i>
    <i r="2">
      <x v="4"/>
      <x/>
      <x v="437"/>
    </i>
    <i r="2">
      <x v="5"/>
      <x/>
      <x v="438"/>
    </i>
    <i r="2">
      <x v="6"/>
      <x/>
      <x v="439"/>
    </i>
    <i>
      <x v="81"/>
      <x v="89"/>
      <x v="1"/>
      <x v="1"/>
      <x v="469"/>
    </i>
    <i r="2">
      <x v="2"/>
      <x v="1"/>
      <x v="470"/>
    </i>
    <i r="2">
      <x v="3"/>
      <x v="1"/>
      <x v="471"/>
    </i>
    <i r="2">
      <x v="5"/>
      <x v="1"/>
      <x v="472"/>
    </i>
    <i r="2">
      <x v="6"/>
      <x v="1"/>
      <x v="473"/>
    </i>
    <i>
      <x v="97"/>
      <x v="21"/>
      <x v="1"/>
      <x v="3"/>
      <x v="562"/>
    </i>
    <i r="4">
      <x v="563"/>
    </i>
    <i r="2">
      <x v="2"/>
      <x v="3"/>
      <x v="564"/>
    </i>
    <i r="2">
      <x v="3"/>
      <x v="3"/>
      <x v="565"/>
    </i>
    <i r="2">
      <x v="4"/>
      <x v="3"/>
      <x v="566"/>
    </i>
    <i r="2">
      <x v="5"/>
      <x v="3"/>
      <x v="567"/>
    </i>
    <i r="2">
      <x v="6"/>
      <x v="3"/>
      <x v="56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Hora llegada" fld="5" baseField="0" baseItem="0"/>
    <dataField name="Hora  salida" fld="6" baseField="0" baseItem="0"/>
    <dataField name="Suma de Horas trabajadas" fld="9" baseField="0" baseItem="0"/>
    <dataField name="Suma de Horas a trabajar" fld="8" baseField="0" baseItem="0"/>
    <dataField name="Suma de Horas extras hechas" fld="12" baseField="0" baseItem="0"/>
    <dataField name="Suma de hora extra" fld="7" baseField="0" baseItem="0"/>
  </dataFields>
  <formats count="9">
    <format dxfId="8">
      <pivotArea outline="0" collapsedLevelsAreSubtotals="1" fieldPosition="0"/>
    </format>
    <format dxfId="7">
      <pivotArea field="-2" type="button" dataOnly="0" labelOnly="1" outline="0" axis="axisCol" fieldPosition="0"/>
    </format>
    <format dxfId="6">
      <pivotArea type="topRight" dataOnly="0" labelOnly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/>
    </format>
    <format dxfId="3">
      <pivotArea field="-2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outline="0" fieldPosition="0">
        <references count="1">
          <reference field="4294967294" count="4">
            <x v="0"/>
            <x v="1"/>
            <x v="3"/>
            <x v="5"/>
          </reference>
        </references>
      </pivotArea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/>
  <dimension ref="A1:IV260"/>
  <sheetViews>
    <sheetView workbookViewId="0">
      <pane ySplit="1" topLeftCell="A239" activePane="bottomLeft" state="frozen"/>
      <selection pane="bottomLeft" activeCell="A256" sqref="A256"/>
    </sheetView>
  </sheetViews>
  <sheetFormatPr baseColWidth="10" defaultRowHeight="15"/>
  <cols>
    <col min="1" max="1" width="9" style="42" bestFit="1" customWidth="1"/>
    <col min="2" max="2" width="12" style="42" bestFit="1" customWidth="1"/>
    <col min="3" max="3" width="16.140625" style="4" bestFit="1" customWidth="1"/>
    <col min="4" max="4" width="16.7109375" style="4" bestFit="1" customWidth="1"/>
    <col min="5" max="5" width="25.28515625" style="4" bestFit="1" customWidth="1"/>
    <col min="6" max="6" width="42.42578125" style="4" bestFit="1" customWidth="1"/>
    <col min="7" max="7" width="42.28515625" style="4" bestFit="1" customWidth="1"/>
    <col min="8" max="8" width="9" style="4" bestFit="1" customWidth="1"/>
    <col min="9" max="9" width="22.140625" style="4" bestFit="1" customWidth="1"/>
    <col min="10" max="10" width="31" style="4" bestFit="1" customWidth="1"/>
    <col min="11" max="11" width="20.28515625" style="4" bestFit="1" customWidth="1"/>
    <col min="12" max="12" width="7" style="4" bestFit="1" customWidth="1"/>
    <col min="13" max="13" width="8.42578125" style="4" bestFit="1" customWidth="1"/>
    <col min="14" max="256" width="11.42578125" style="4"/>
  </cols>
  <sheetData>
    <row r="1" spans="1:12">
      <c r="A1" s="1" t="s">
        <v>7</v>
      </c>
      <c r="B1" s="70" t="s">
        <v>8</v>
      </c>
      <c r="C1" s="2" t="s">
        <v>9</v>
      </c>
      <c r="D1" s="2" t="s">
        <v>10</v>
      </c>
      <c r="E1" s="2" t="s">
        <v>11</v>
      </c>
      <c r="F1" s="71" t="s">
        <v>12</v>
      </c>
      <c r="G1" s="2" t="s">
        <v>13</v>
      </c>
      <c r="H1" s="2" t="s">
        <v>14</v>
      </c>
      <c r="I1" s="71" t="s">
        <v>3</v>
      </c>
      <c r="J1" s="71" t="s">
        <v>15</v>
      </c>
      <c r="K1" s="2" t="s">
        <v>16</v>
      </c>
      <c r="L1" s="3" t="s">
        <v>17</v>
      </c>
    </row>
    <row r="2" spans="1:12">
      <c r="A2" s="5">
        <v>6434911</v>
      </c>
      <c r="B2" s="5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7" t="s">
        <v>23</v>
      </c>
      <c r="H2" s="8">
        <v>1050553</v>
      </c>
      <c r="I2" s="9" t="s">
        <v>4</v>
      </c>
      <c r="J2" s="9" t="s">
        <v>24</v>
      </c>
      <c r="K2" s="6" t="s">
        <v>25</v>
      </c>
      <c r="L2" s="10" t="s">
        <v>0</v>
      </c>
    </row>
    <row r="3" spans="1:12">
      <c r="A3" s="5">
        <v>8224093</v>
      </c>
      <c r="B3" s="5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>
        <v>1050126</v>
      </c>
      <c r="I3" s="9" t="s">
        <v>32</v>
      </c>
      <c r="J3" s="9" t="s">
        <v>33</v>
      </c>
      <c r="K3" s="6" t="s">
        <v>25</v>
      </c>
      <c r="L3" s="11" t="s">
        <v>34</v>
      </c>
    </row>
    <row r="4" spans="1:12">
      <c r="A4" s="5">
        <v>12677439</v>
      </c>
      <c r="B4" s="5" t="s">
        <v>35</v>
      </c>
      <c r="C4" s="6" t="s">
        <v>36</v>
      </c>
      <c r="D4" s="6" t="s">
        <v>37</v>
      </c>
      <c r="E4" s="6" t="s">
        <v>38</v>
      </c>
      <c r="F4" s="6" t="s">
        <v>39</v>
      </c>
      <c r="G4" s="6" t="s">
        <v>40</v>
      </c>
      <c r="H4" s="6">
        <v>1050127</v>
      </c>
      <c r="I4" s="9" t="s">
        <v>32</v>
      </c>
      <c r="J4" s="9" t="s">
        <v>41</v>
      </c>
      <c r="K4" s="6" t="s">
        <v>25</v>
      </c>
      <c r="L4" s="11" t="s">
        <v>0</v>
      </c>
    </row>
    <row r="5" spans="1:12">
      <c r="A5" s="5">
        <v>8809784</v>
      </c>
      <c r="B5" s="5" t="s">
        <v>42</v>
      </c>
      <c r="C5" s="6" t="s">
        <v>43</v>
      </c>
      <c r="D5" s="6" t="s">
        <v>44</v>
      </c>
      <c r="E5" s="6" t="s">
        <v>45</v>
      </c>
      <c r="F5" s="6" t="s">
        <v>46</v>
      </c>
      <c r="G5" s="12" t="s">
        <v>47</v>
      </c>
      <c r="H5" s="6">
        <v>1050574</v>
      </c>
      <c r="I5" s="13" t="s">
        <v>48</v>
      </c>
      <c r="J5" s="13" t="s">
        <v>49</v>
      </c>
      <c r="K5" s="6" t="s">
        <v>25</v>
      </c>
      <c r="L5" s="11" t="s">
        <v>34</v>
      </c>
    </row>
    <row r="6" spans="1:12">
      <c r="A6" s="5">
        <v>16191666</v>
      </c>
      <c r="B6" s="5" t="s">
        <v>50</v>
      </c>
      <c r="C6" s="6" t="s">
        <v>51</v>
      </c>
      <c r="D6" s="6" t="s">
        <v>52</v>
      </c>
      <c r="E6" s="6" t="s">
        <v>53</v>
      </c>
      <c r="F6" s="6" t="s">
        <v>54</v>
      </c>
      <c r="G6" s="6" t="s">
        <v>55</v>
      </c>
      <c r="H6" s="6">
        <v>1050506</v>
      </c>
      <c r="I6" s="9" t="s">
        <v>32</v>
      </c>
      <c r="J6" s="9" t="s">
        <v>56</v>
      </c>
      <c r="K6" s="6" t="s">
        <v>25</v>
      </c>
      <c r="L6" s="11" t="s">
        <v>0</v>
      </c>
    </row>
    <row r="7" spans="1:12">
      <c r="A7" s="5">
        <v>7760886</v>
      </c>
      <c r="B7" s="5" t="s">
        <v>57</v>
      </c>
      <c r="C7" s="6" t="s">
        <v>58</v>
      </c>
      <c r="D7" s="6" t="s">
        <v>59</v>
      </c>
      <c r="E7" s="6" t="s">
        <v>60</v>
      </c>
      <c r="F7" s="6" t="s">
        <v>61</v>
      </c>
      <c r="G7" s="6" t="s">
        <v>62</v>
      </c>
      <c r="H7" s="6">
        <v>1050127</v>
      </c>
      <c r="I7" s="9" t="s">
        <v>32</v>
      </c>
      <c r="J7" s="9" t="s">
        <v>41</v>
      </c>
      <c r="K7" s="6" t="s">
        <v>25</v>
      </c>
      <c r="L7" s="14" t="s">
        <v>0</v>
      </c>
    </row>
    <row r="8" spans="1:12">
      <c r="A8" s="5">
        <v>13838747</v>
      </c>
      <c r="B8" s="5" t="s">
        <v>63</v>
      </c>
      <c r="C8" s="6" t="s">
        <v>64</v>
      </c>
      <c r="D8" s="6" t="s">
        <v>65</v>
      </c>
      <c r="E8" s="6" t="s">
        <v>66</v>
      </c>
      <c r="F8" s="6" t="s">
        <v>67</v>
      </c>
      <c r="G8" s="7" t="s">
        <v>68</v>
      </c>
      <c r="H8" s="6">
        <v>1050610</v>
      </c>
      <c r="I8" s="13" t="s">
        <v>69</v>
      </c>
      <c r="J8" s="13" t="s">
        <v>70</v>
      </c>
      <c r="K8" s="6" t="s">
        <v>25</v>
      </c>
      <c r="L8" s="10" t="s">
        <v>0</v>
      </c>
    </row>
    <row r="9" spans="1:12">
      <c r="A9" s="5">
        <v>22637242</v>
      </c>
      <c r="B9" s="5" t="s">
        <v>71</v>
      </c>
      <c r="C9" s="6" t="s">
        <v>72</v>
      </c>
      <c r="D9" s="6" t="s">
        <v>73</v>
      </c>
      <c r="E9" s="6" t="s">
        <v>74</v>
      </c>
      <c r="F9" s="6" t="s">
        <v>75</v>
      </c>
      <c r="G9" s="6" t="s">
        <v>76</v>
      </c>
      <c r="H9" s="6">
        <v>1050632</v>
      </c>
      <c r="I9" s="13" t="s">
        <v>77</v>
      </c>
      <c r="J9" s="13" t="s">
        <v>78</v>
      </c>
      <c r="K9" s="6" t="s">
        <v>25</v>
      </c>
      <c r="L9" s="11" t="s">
        <v>0</v>
      </c>
    </row>
    <row r="10" spans="1:12">
      <c r="A10" s="5">
        <v>17609782</v>
      </c>
      <c r="B10" s="5" t="s">
        <v>79</v>
      </c>
      <c r="C10" s="6" t="s">
        <v>72</v>
      </c>
      <c r="D10" s="6" t="s">
        <v>80</v>
      </c>
      <c r="E10" s="6" t="s">
        <v>81</v>
      </c>
      <c r="F10" s="6" t="s">
        <v>82</v>
      </c>
      <c r="G10" s="6" t="s">
        <v>83</v>
      </c>
      <c r="H10" s="6">
        <v>1050162</v>
      </c>
      <c r="I10" s="9" t="s">
        <v>32</v>
      </c>
      <c r="J10" s="9" t="s">
        <v>84</v>
      </c>
      <c r="K10" s="6" t="s">
        <v>25</v>
      </c>
      <c r="L10" s="14" t="s">
        <v>0</v>
      </c>
    </row>
    <row r="11" spans="1:12">
      <c r="A11" s="5">
        <v>10846598</v>
      </c>
      <c r="B11" s="5" t="s">
        <v>85</v>
      </c>
      <c r="C11" s="6" t="s">
        <v>86</v>
      </c>
      <c r="D11" s="6" t="s">
        <v>87</v>
      </c>
      <c r="E11" s="6" t="s">
        <v>88</v>
      </c>
      <c r="F11" s="6" t="s">
        <v>89</v>
      </c>
      <c r="G11" s="12" t="s">
        <v>90</v>
      </c>
      <c r="H11" s="6">
        <v>1050616</v>
      </c>
      <c r="I11" s="13" t="s">
        <v>91</v>
      </c>
      <c r="J11" s="13" t="s">
        <v>92</v>
      </c>
      <c r="K11" s="6" t="s">
        <v>25</v>
      </c>
      <c r="L11" s="11" t="s">
        <v>34</v>
      </c>
    </row>
    <row r="12" spans="1:12">
      <c r="A12" s="5">
        <v>12093228</v>
      </c>
      <c r="B12" s="5" t="s">
        <v>93</v>
      </c>
      <c r="C12" s="6" t="s">
        <v>94</v>
      </c>
      <c r="D12" s="6" t="s">
        <v>95</v>
      </c>
      <c r="E12" s="6" t="s">
        <v>96</v>
      </c>
      <c r="F12" s="6" t="s">
        <v>97</v>
      </c>
      <c r="G12" s="6" t="s">
        <v>98</v>
      </c>
      <c r="H12" s="6">
        <v>1050127</v>
      </c>
      <c r="I12" s="9" t="s">
        <v>32</v>
      </c>
      <c r="J12" s="9" t="s">
        <v>41</v>
      </c>
      <c r="K12" s="6" t="s">
        <v>25</v>
      </c>
      <c r="L12" s="14" t="s">
        <v>0</v>
      </c>
    </row>
    <row r="13" spans="1:12">
      <c r="A13" s="5">
        <v>9960185</v>
      </c>
      <c r="B13" s="5" t="s">
        <v>99</v>
      </c>
      <c r="C13" s="8" t="s">
        <v>94</v>
      </c>
      <c r="D13" s="8" t="s">
        <v>100</v>
      </c>
      <c r="E13" s="8" t="s">
        <v>101</v>
      </c>
      <c r="F13" s="8" t="s">
        <v>102</v>
      </c>
      <c r="G13" s="8" t="s">
        <v>103</v>
      </c>
      <c r="H13" s="6">
        <v>1050502</v>
      </c>
      <c r="I13" s="9" t="s">
        <v>104</v>
      </c>
      <c r="J13" s="9" t="s">
        <v>104</v>
      </c>
      <c r="K13" s="6" t="s">
        <v>25</v>
      </c>
      <c r="L13" s="10" t="s">
        <v>0</v>
      </c>
    </row>
    <row r="14" spans="1:12">
      <c r="A14" s="5">
        <v>8283277</v>
      </c>
      <c r="B14" s="5" t="s">
        <v>105</v>
      </c>
      <c r="C14" s="6" t="s">
        <v>94</v>
      </c>
      <c r="D14" s="6" t="s">
        <v>106</v>
      </c>
      <c r="E14" s="6" t="s">
        <v>107</v>
      </c>
      <c r="F14" s="6" t="s">
        <v>108</v>
      </c>
      <c r="G14" s="6" t="s">
        <v>109</v>
      </c>
      <c r="H14" s="6">
        <v>1050127</v>
      </c>
      <c r="I14" s="9" t="s">
        <v>32</v>
      </c>
      <c r="J14" s="9" t="s">
        <v>41</v>
      </c>
      <c r="K14" s="6" t="s">
        <v>25</v>
      </c>
      <c r="L14" s="14" t="s">
        <v>0</v>
      </c>
    </row>
    <row r="15" spans="1:12">
      <c r="A15" s="5">
        <v>9471557</v>
      </c>
      <c r="B15" s="5" t="s">
        <v>110</v>
      </c>
      <c r="C15" s="6" t="s">
        <v>111</v>
      </c>
      <c r="D15" s="6" t="s">
        <v>112</v>
      </c>
      <c r="E15" s="6" t="s">
        <v>113</v>
      </c>
      <c r="F15" s="6" t="s">
        <v>114</v>
      </c>
      <c r="G15" s="7" t="s">
        <v>115</v>
      </c>
      <c r="H15" s="6">
        <v>1050616</v>
      </c>
      <c r="I15" s="13" t="s">
        <v>91</v>
      </c>
      <c r="J15" s="13" t="s">
        <v>116</v>
      </c>
      <c r="K15" s="6" t="s">
        <v>25</v>
      </c>
      <c r="L15" s="11" t="s">
        <v>1</v>
      </c>
    </row>
    <row r="16" spans="1:12">
      <c r="A16" s="5">
        <v>12501307</v>
      </c>
      <c r="B16" s="5" t="s">
        <v>117</v>
      </c>
      <c r="C16" s="6" t="s">
        <v>118</v>
      </c>
      <c r="D16" s="6" t="s">
        <v>119</v>
      </c>
      <c r="E16" s="6" t="s">
        <v>120</v>
      </c>
      <c r="F16" s="6" t="s">
        <v>121</v>
      </c>
      <c r="G16" s="6" t="s">
        <v>122</v>
      </c>
      <c r="H16" s="6">
        <v>1050616</v>
      </c>
      <c r="I16" s="13" t="s">
        <v>91</v>
      </c>
      <c r="J16" s="13" t="s">
        <v>70</v>
      </c>
      <c r="K16" s="6" t="s">
        <v>25</v>
      </c>
      <c r="L16" s="11" t="s">
        <v>0</v>
      </c>
    </row>
    <row r="17" spans="1:12">
      <c r="A17" s="5">
        <v>8332629</v>
      </c>
      <c r="B17" s="5" t="s">
        <v>123</v>
      </c>
      <c r="C17" s="6" t="s">
        <v>124</v>
      </c>
      <c r="D17" s="6" t="s">
        <v>20</v>
      </c>
      <c r="E17" s="6" t="s">
        <v>125</v>
      </c>
      <c r="F17" s="6" t="s">
        <v>126</v>
      </c>
      <c r="G17" s="6" t="s">
        <v>127</v>
      </c>
      <c r="H17" s="6">
        <v>1050616</v>
      </c>
      <c r="I17" s="13" t="s">
        <v>91</v>
      </c>
      <c r="J17" s="13" t="s">
        <v>92</v>
      </c>
      <c r="K17" s="6" t="s">
        <v>25</v>
      </c>
      <c r="L17" s="11" t="s">
        <v>34</v>
      </c>
    </row>
    <row r="18" spans="1:12">
      <c r="A18" s="5">
        <v>10173910</v>
      </c>
      <c r="B18" s="5" t="s">
        <v>128</v>
      </c>
      <c r="C18" s="6" t="s">
        <v>129</v>
      </c>
      <c r="D18" s="6" t="s">
        <v>130</v>
      </c>
      <c r="E18" s="6" t="s">
        <v>131</v>
      </c>
      <c r="F18" s="6" t="s">
        <v>132</v>
      </c>
      <c r="G18" s="6" t="s">
        <v>133</v>
      </c>
      <c r="H18" s="6">
        <v>1050633</v>
      </c>
      <c r="I18" s="9" t="s">
        <v>32</v>
      </c>
      <c r="J18" s="9" t="s">
        <v>134</v>
      </c>
      <c r="K18" s="6" t="s">
        <v>25</v>
      </c>
      <c r="L18" s="14" t="s">
        <v>34</v>
      </c>
    </row>
    <row r="19" spans="1:12">
      <c r="A19" s="5">
        <v>11325204</v>
      </c>
      <c r="B19" s="5" t="s">
        <v>135</v>
      </c>
      <c r="C19" s="6" t="s">
        <v>136</v>
      </c>
      <c r="D19" s="6" t="s">
        <v>28</v>
      </c>
      <c r="E19" s="6" t="s">
        <v>137</v>
      </c>
      <c r="F19" s="6" t="s">
        <v>138</v>
      </c>
      <c r="G19" s="6" t="s">
        <v>139</v>
      </c>
      <c r="H19" s="6">
        <v>1050633</v>
      </c>
      <c r="I19" s="9" t="s">
        <v>32</v>
      </c>
      <c r="J19" s="9" t="s">
        <v>134</v>
      </c>
      <c r="K19" s="6" t="s">
        <v>25</v>
      </c>
      <c r="L19" s="14" t="s">
        <v>1</v>
      </c>
    </row>
    <row r="20" spans="1:12">
      <c r="A20" s="5">
        <v>9148214</v>
      </c>
      <c r="B20" s="5" t="s">
        <v>140</v>
      </c>
      <c r="C20" s="6" t="s">
        <v>141</v>
      </c>
      <c r="D20" s="6" t="s">
        <v>80</v>
      </c>
      <c r="E20" s="6" t="s">
        <v>142</v>
      </c>
      <c r="F20" s="6" t="s">
        <v>143</v>
      </c>
      <c r="G20" s="6" t="s">
        <v>144</v>
      </c>
      <c r="H20" s="6">
        <v>1050127</v>
      </c>
      <c r="I20" s="9" t="s">
        <v>32</v>
      </c>
      <c r="J20" s="9" t="s">
        <v>134</v>
      </c>
      <c r="K20" s="6" t="s">
        <v>25</v>
      </c>
      <c r="L20" s="14" t="s">
        <v>34</v>
      </c>
    </row>
    <row r="21" spans="1:12">
      <c r="A21" s="5">
        <v>12897839</v>
      </c>
      <c r="B21" s="5" t="s">
        <v>145</v>
      </c>
      <c r="C21" s="6" t="s">
        <v>146</v>
      </c>
      <c r="D21" s="6" t="s">
        <v>147</v>
      </c>
      <c r="E21" s="6" t="s">
        <v>148</v>
      </c>
      <c r="F21" s="6" t="s">
        <v>149</v>
      </c>
      <c r="G21" s="7" t="s">
        <v>150</v>
      </c>
      <c r="H21" s="6">
        <v>1050610</v>
      </c>
      <c r="I21" s="13" t="s">
        <v>69</v>
      </c>
      <c r="J21" s="13" t="s">
        <v>151</v>
      </c>
      <c r="K21" s="6" t="s">
        <v>25</v>
      </c>
      <c r="L21" s="11" t="s">
        <v>0</v>
      </c>
    </row>
    <row r="22" spans="1:12">
      <c r="A22" s="5">
        <v>13557248</v>
      </c>
      <c r="B22" s="5" t="s">
        <v>152</v>
      </c>
      <c r="C22" s="6" t="s">
        <v>153</v>
      </c>
      <c r="D22" s="6" t="s">
        <v>154</v>
      </c>
      <c r="E22" s="6" t="s">
        <v>155</v>
      </c>
      <c r="F22" s="6" t="s">
        <v>156</v>
      </c>
      <c r="G22" s="6" t="s">
        <v>157</v>
      </c>
      <c r="H22" s="6">
        <v>1050604</v>
      </c>
      <c r="I22" s="9" t="s">
        <v>158</v>
      </c>
      <c r="J22" s="9" t="s">
        <v>158</v>
      </c>
      <c r="K22" s="6" t="s">
        <v>25</v>
      </c>
      <c r="L22" s="11" t="s">
        <v>0</v>
      </c>
    </row>
    <row r="23" spans="1:12">
      <c r="A23" s="5">
        <v>16907382</v>
      </c>
      <c r="B23" s="5" t="s">
        <v>159</v>
      </c>
      <c r="C23" s="6" t="s">
        <v>160</v>
      </c>
      <c r="D23" s="6" t="s">
        <v>161</v>
      </c>
      <c r="E23" s="6" t="s">
        <v>162</v>
      </c>
      <c r="F23" s="6" t="s">
        <v>163</v>
      </c>
      <c r="G23" s="7" t="s">
        <v>164</v>
      </c>
      <c r="H23" s="6">
        <v>1050556</v>
      </c>
      <c r="I23" s="9" t="s">
        <v>165</v>
      </c>
      <c r="J23" s="9" t="s">
        <v>166</v>
      </c>
      <c r="K23" s="6" t="s">
        <v>25</v>
      </c>
      <c r="L23" s="11" t="s">
        <v>0</v>
      </c>
    </row>
    <row r="24" spans="1:12">
      <c r="A24" s="5">
        <v>13236100</v>
      </c>
      <c r="B24" s="5" t="s">
        <v>167</v>
      </c>
      <c r="C24" s="6" t="s">
        <v>168</v>
      </c>
      <c r="D24" s="6" t="s">
        <v>87</v>
      </c>
      <c r="E24" s="6" t="s">
        <v>169</v>
      </c>
      <c r="F24" s="6" t="s">
        <v>170</v>
      </c>
      <c r="G24" s="6" t="s">
        <v>171</v>
      </c>
      <c r="H24" s="6">
        <v>1050581</v>
      </c>
      <c r="I24" s="9" t="s">
        <v>32</v>
      </c>
      <c r="J24" s="9" t="s">
        <v>134</v>
      </c>
      <c r="K24" s="6" t="s">
        <v>25</v>
      </c>
      <c r="L24" s="14" t="s">
        <v>0</v>
      </c>
    </row>
    <row r="25" spans="1:12">
      <c r="A25" s="5">
        <v>13899407</v>
      </c>
      <c r="B25" s="5" t="s">
        <v>172</v>
      </c>
      <c r="C25" s="6" t="s">
        <v>168</v>
      </c>
      <c r="D25" s="6" t="s">
        <v>87</v>
      </c>
      <c r="E25" s="6" t="s">
        <v>173</v>
      </c>
      <c r="F25" s="6" t="s">
        <v>174</v>
      </c>
      <c r="G25" s="6" t="s">
        <v>175</v>
      </c>
      <c r="H25" s="6">
        <v>1050127</v>
      </c>
      <c r="I25" s="9" t="s">
        <v>32</v>
      </c>
      <c r="J25" s="9" t="s">
        <v>134</v>
      </c>
      <c r="K25" s="6" t="s">
        <v>25</v>
      </c>
      <c r="L25" s="14" t="s">
        <v>1</v>
      </c>
    </row>
    <row r="26" spans="1:12">
      <c r="A26" s="5">
        <v>10116815</v>
      </c>
      <c r="B26" s="5" t="s">
        <v>176</v>
      </c>
      <c r="C26" s="6" t="s">
        <v>177</v>
      </c>
      <c r="D26" s="6" t="s">
        <v>20</v>
      </c>
      <c r="E26" s="6" t="s">
        <v>178</v>
      </c>
      <c r="F26" s="6" t="s">
        <v>179</v>
      </c>
      <c r="G26" s="6" t="s">
        <v>180</v>
      </c>
      <c r="H26" s="6">
        <v>1050127</v>
      </c>
      <c r="I26" s="9" t="s">
        <v>32</v>
      </c>
      <c r="J26" s="9" t="s">
        <v>134</v>
      </c>
      <c r="K26" s="6" t="s">
        <v>25</v>
      </c>
      <c r="L26" s="14" t="s">
        <v>0</v>
      </c>
    </row>
    <row r="27" spans="1:12">
      <c r="A27" s="5">
        <v>6933508</v>
      </c>
      <c r="B27" s="5" t="s">
        <v>181</v>
      </c>
      <c r="C27" s="6" t="s">
        <v>182</v>
      </c>
      <c r="D27" s="6" t="s">
        <v>183</v>
      </c>
      <c r="E27" s="6" t="s">
        <v>184</v>
      </c>
      <c r="F27" s="6" t="s">
        <v>185</v>
      </c>
      <c r="G27" s="7" t="s">
        <v>186</v>
      </c>
      <c r="H27" s="6">
        <v>1050616</v>
      </c>
      <c r="I27" s="13" t="s">
        <v>91</v>
      </c>
      <c r="J27" s="13" t="s">
        <v>70</v>
      </c>
      <c r="K27" s="6" t="s">
        <v>25</v>
      </c>
      <c r="L27" s="11" t="s">
        <v>1</v>
      </c>
    </row>
    <row r="28" spans="1:12">
      <c r="A28" s="5">
        <v>16441340</v>
      </c>
      <c r="B28" s="5" t="s">
        <v>187</v>
      </c>
      <c r="C28" s="6" t="s">
        <v>188</v>
      </c>
      <c r="D28" s="6" t="s">
        <v>189</v>
      </c>
      <c r="E28" s="6" t="s">
        <v>190</v>
      </c>
      <c r="F28" s="6" t="s">
        <v>191</v>
      </c>
      <c r="G28" s="6" t="s">
        <v>192</v>
      </c>
      <c r="H28" s="6">
        <v>1050633</v>
      </c>
      <c r="I28" s="9" t="s">
        <v>32</v>
      </c>
      <c r="J28" s="9" t="s">
        <v>134</v>
      </c>
      <c r="K28" s="6" t="s">
        <v>25</v>
      </c>
      <c r="L28" s="14" t="s">
        <v>0</v>
      </c>
    </row>
    <row r="29" spans="1:12">
      <c r="A29" s="5">
        <v>14095347</v>
      </c>
      <c r="B29" s="5" t="s">
        <v>193</v>
      </c>
      <c r="C29" s="6" t="s">
        <v>194</v>
      </c>
      <c r="D29" s="6" t="s">
        <v>195</v>
      </c>
      <c r="E29" s="6" t="s">
        <v>196</v>
      </c>
      <c r="F29" s="6" t="s">
        <v>197</v>
      </c>
      <c r="G29" s="6" t="s">
        <v>198</v>
      </c>
      <c r="H29" s="6">
        <v>1050574</v>
      </c>
      <c r="I29" s="13" t="s">
        <v>48</v>
      </c>
      <c r="J29" s="13" t="s">
        <v>49</v>
      </c>
      <c r="K29" s="6" t="s">
        <v>25</v>
      </c>
      <c r="L29" s="11" t="s">
        <v>0</v>
      </c>
    </row>
    <row r="30" spans="1:12">
      <c r="A30" s="5">
        <v>12674806</v>
      </c>
      <c r="B30" s="5" t="s">
        <v>199</v>
      </c>
      <c r="C30" s="6" t="s">
        <v>200</v>
      </c>
      <c r="D30" s="6" t="s">
        <v>201</v>
      </c>
      <c r="E30" s="6" t="s">
        <v>202</v>
      </c>
      <c r="F30" s="6" t="s">
        <v>203</v>
      </c>
      <c r="G30" s="6" t="s">
        <v>204</v>
      </c>
      <c r="H30" s="6">
        <v>1050556</v>
      </c>
      <c r="I30" s="9" t="s">
        <v>165</v>
      </c>
      <c r="J30" s="9" t="s">
        <v>166</v>
      </c>
      <c r="K30" s="6" t="s">
        <v>25</v>
      </c>
      <c r="L30" s="11" t="s">
        <v>1</v>
      </c>
    </row>
    <row r="31" spans="1:12">
      <c r="A31" s="5">
        <v>8454836</v>
      </c>
      <c r="B31" s="5" t="s">
        <v>205</v>
      </c>
      <c r="C31" s="6" t="s">
        <v>206</v>
      </c>
      <c r="D31" s="6" t="s">
        <v>154</v>
      </c>
      <c r="E31" s="6" t="s">
        <v>207</v>
      </c>
      <c r="F31" s="6" t="s">
        <v>208</v>
      </c>
      <c r="G31" s="6" t="s">
        <v>209</v>
      </c>
      <c r="H31" s="6">
        <v>1050127</v>
      </c>
      <c r="I31" s="9" t="s">
        <v>32</v>
      </c>
      <c r="J31" s="9" t="s">
        <v>134</v>
      </c>
      <c r="K31" s="6" t="s">
        <v>25</v>
      </c>
      <c r="L31" s="14" t="s">
        <v>34</v>
      </c>
    </row>
    <row r="32" spans="1:12">
      <c r="A32" s="5">
        <v>9832710</v>
      </c>
      <c r="B32" s="5" t="s">
        <v>210</v>
      </c>
      <c r="C32" s="6" t="s">
        <v>211</v>
      </c>
      <c r="D32" s="6" t="s">
        <v>212</v>
      </c>
      <c r="E32" s="6" t="s">
        <v>213</v>
      </c>
      <c r="F32" s="6" t="s">
        <v>214</v>
      </c>
      <c r="G32" s="6" t="s">
        <v>215</v>
      </c>
      <c r="H32" s="6">
        <v>1050127</v>
      </c>
      <c r="I32" s="9" t="s">
        <v>32</v>
      </c>
      <c r="J32" s="9" t="s">
        <v>134</v>
      </c>
      <c r="K32" s="6" t="s">
        <v>25</v>
      </c>
      <c r="L32" s="14" t="s">
        <v>0</v>
      </c>
    </row>
    <row r="33" spans="1:13">
      <c r="A33" s="5">
        <v>12410690</v>
      </c>
      <c r="B33" s="5" t="s">
        <v>216</v>
      </c>
      <c r="C33" s="6" t="s">
        <v>217</v>
      </c>
      <c r="D33" s="6" t="s">
        <v>218</v>
      </c>
      <c r="E33" s="6" t="s">
        <v>219</v>
      </c>
      <c r="F33" s="6" t="s">
        <v>220</v>
      </c>
      <c r="G33" s="6" t="s">
        <v>221</v>
      </c>
      <c r="H33" s="15">
        <v>1050554</v>
      </c>
      <c r="I33" s="9" t="s">
        <v>4</v>
      </c>
      <c r="J33" s="9" t="s">
        <v>70</v>
      </c>
      <c r="K33" s="6" t="s">
        <v>25</v>
      </c>
      <c r="L33" s="11" t="s">
        <v>0</v>
      </c>
    </row>
    <row r="34" spans="1:13">
      <c r="A34" s="5">
        <v>8360971</v>
      </c>
      <c r="B34" s="5" t="s">
        <v>222</v>
      </c>
      <c r="C34" s="6" t="s">
        <v>223</v>
      </c>
      <c r="D34" s="6" t="s">
        <v>224</v>
      </c>
      <c r="E34" s="6" t="s">
        <v>225</v>
      </c>
      <c r="F34" s="6" t="s">
        <v>226</v>
      </c>
      <c r="G34" s="6" t="s">
        <v>227</v>
      </c>
      <c r="H34" s="15">
        <v>1050554</v>
      </c>
      <c r="I34" s="9" t="s">
        <v>4</v>
      </c>
      <c r="J34" s="9" t="s">
        <v>166</v>
      </c>
      <c r="K34" s="6" t="s">
        <v>25</v>
      </c>
      <c r="L34" s="11" t="s">
        <v>1</v>
      </c>
    </row>
    <row r="35" spans="1:13">
      <c r="A35" s="5">
        <v>16695463</v>
      </c>
      <c r="B35" s="5" t="s">
        <v>228</v>
      </c>
      <c r="C35" s="6" t="s">
        <v>229</v>
      </c>
      <c r="D35" s="6" t="s">
        <v>230</v>
      </c>
      <c r="E35" s="6" t="s">
        <v>231</v>
      </c>
      <c r="F35" s="6" t="s">
        <v>232</v>
      </c>
      <c r="G35" s="6" t="s">
        <v>233</v>
      </c>
      <c r="H35" s="16">
        <v>1050616</v>
      </c>
      <c r="I35" s="13" t="s">
        <v>91</v>
      </c>
      <c r="J35" s="13" t="s">
        <v>24</v>
      </c>
      <c r="K35" s="6" t="s">
        <v>25</v>
      </c>
      <c r="L35" s="11" t="s">
        <v>0</v>
      </c>
    </row>
    <row r="36" spans="1:13">
      <c r="A36" s="5">
        <v>8465592</v>
      </c>
      <c r="B36" s="5" t="s">
        <v>234</v>
      </c>
      <c r="C36" s="6" t="s">
        <v>235</v>
      </c>
      <c r="D36" s="6" t="s">
        <v>236</v>
      </c>
      <c r="E36" s="6" t="s">
        <v>237</v>
      </c>
      <c r="F36" s="6" t="s">
        <v>238</v>
      </c>
      <c r="G36" s="6" t="s">
        <v>239</v>
      </c>
      <c r="H36" s="15">
        <v>1050574</v>
      </c>
      <c r="I36" s="13" t="s">
        <v>48</v>
      </c>
      <c r="J36" s="13" t="s">
        <v>49</v>
      </c>
      <c r="K36" s="6" t="s">
        <v>25</v>
      </c>
      <c r="L36" s="11" t="s">
        <v>1</v>
      </c>
    </row>
    <row r="37" spans="1:13">
      <c r="A37" s="5">
        <v>17542884</v>
      </c>
      <c r="B37" s="5" t="s">
        <v>240</v>
      </c>
      <c r="C37" s="17" t="s">
        <v>241</v>
      </c>
      <c r="D37" s="17" t="s">
        <v>242</v>
      </c>
      <c r="E37" s="17" t="s">
        <v>243</v>
      </c>
      <c r="F37" s="17" t="s">
        <v>244</v>
      </c>
      <c r="G37" s="17" t="s">
        <v>245</v>
      </c>
      <c r="H37" s="15">
        <v>1050529</v>
      </c>
      <c r="I37" s="9" t="s">
        <v>246</v>
      </c>
      <c r="J37" s="9" t="s">
        <v>246</v>
      </c>
      <c r="K37" s="6" t="s">
        <v>25</v>
      </c>
      <c r="L37" s="18" t="s">
        <v>34</v>
      </c>
      <c r="M37" s="4" t="s">
        <v>247</v>
      </c>
    </row>
    <row r="38" spans="1:13">
      <c r="A38" s="5">
        <v>7717451</v>
      </c>
      <c r="B38" s="5" t="s">
        <v>248</v>
      </c>
      <c r="C38" s="6" t="s">
        <v>249</v>
      </c>
      <c r="D38" s="6" t="s">
        <v>73</v>
      </c>
      <c r="E38" s="6" t="s">
        <v>250</v>
      </c>
      <c r="F38" s="6" t="s">
        <v>251</v>
      </c>
      <c r="G38" s="6" t="s">
        <v>252</v>
      </c>
      <c r="H38" s="15">
        <v>1050557</v>
      </c>
      <c r="I38" s="9" t="s">
        <v>253</v>
      </c>
      <c r="J38" s="9" t="s">
        <v>254</v>
      </c>
      <c r="K38" s="6" t="s">
        <v>25</v>
      </c>
      <c r="L38" s="11" t="s">
        <v>0</v>
      </c>
    </row>
    <row r="39" spans="1:13">
      <c r="A39" s="5">
        <v>15702200</v>
      </c>
      <c r="B39" s="5" t="s">
        <v>255</v>
      </c>
      <c r="C39" s="6" t="s">
        <v>249</v>
      </c>
      <c r="D39" s="6" t="s">
        <v>65</v>
      </c>
      <c r="E39" s="6" t="s">
        <v>256</v>
      </c>
      <c r="F39" s="6" t="s">
        <v>257</v>
      </c>
      <c r="G39" s="6" t="s">
        <v>258</v>
      </c>
      <c r="H39" s="16">
        <v>1050610</v>
      </c>
      <c r="I39" s="19" t="s">
        <v>69</v>
      </c>
      <c r="J39" s="9" t="s">
        <v>70</v>
      </c>
      <c r="K39" s="6" t="s">
        <v>25</v>
      </c>
      <c r="L39" s="11"/>
    </row>
    <row r="40" spans="1:13">
      <c r="A40" s="5">
        <v>7816535</v>
      </c>
      <c r="B40" s="5" t="s">
        <v>259</v>
      </c>
      <c r="C40" s="17" t="s">
        <v>260</v>
      </c>
      <c r="D40" s="17" t="s">
        <v>261</v>
      </c>
      <c r="E40" s="17" t="s">
        <v>262</v>
      </c>
      <c r="F40" s="17" t="s">
        <v>263</v>
      </c>
      <c r="G40" s="20" t="s">
        <v>264</v>
      </c>
      <c r="H40" s="15">
        <v>1050529</v>
      </c>
      <c r="I40" s="9" t="s">
        <v>91</v>
      </c>
      <c r="J40" s="9" t="s">
        <v>166</v>
      </c>
      <c r="K40" s="6" t="s">
        <v>25</v>
      </c>
      <c r="L40" s="11" t="s">
        <v>0</v>
      </c>
    </row>
    <row r="41" spans="1:13">
      <c r="A41" s="5">
        <v>13486775</v>
      </c>
      <c r="B41" s="5" t="s">
        <v>265</v>
      </c>
      <c r="C41" s="21" t="s">
        <v>266</v>
      </c>
      <c r="D41" s="21" t="s">
        <v>267</v>
      </c>
      <c r="E41" s="21" t="s">
        <v>268</v>
      </c>
      <c r="F41" s="21" t="s">
        <v>269</v>
      </c>
      <c r="G41" s="21" t="s">
        <v>270</v>
      </c>
      <c r="H41" s="15">
        <v>1050610</v>
      </c>
      <c r="I41" s="13" t="s">
        <v>69</v>
      </c>
      <c r="J41" s="13" t="s">
        <v>70</v>
      </c>
      <c r="K41" s="6" t="s">
        <v>25</v>
      </c>
      <c r="L41" s="11"/>
    </row>
    <row r="42" spans="1:13">
      <c r="A42" s="5">
        <v>11660411</v>
      </c>
      <c r="B42" s="5" t="s">
        <v>271</v>
      </c>
      <c r="C42" s="6" t="s">
        <v>272</v>
      </c>
      <c r="D42" s="6" t="s">
        <v>273</v>
      </c>
      <c r="E42" s="6" t="s">
        <v>274</v>
      </c>
      <c r="F42" s="6" t="s">
        <v>275</v>
      </c>
      <c r="G42" s="6" t="s">
        <v>276</v>
      </c>
      <c r="H42" s="6">
        <v>1050581</v>
      </c>
      <c r="I42" s="9" t="s">
        <v>32</v>
      </c>
      <c r="J42" s="9" t="s">
        <v>277</v>
      </c>
      <c r="K42" s="6" t="s">
        <v>25</v>
      </c>
      <c r="L42" s="14" t="s">
        <v>34</v>
      </c>
    </row>
    <row r="43" spans="1:13">
      <c r="A43" s="5">
        <v>11523492</v>
      </c>
      <c r="B43" s="5" t="s">
        <v>278</v>
      </c>
      <c r="C43" s="6" t="s">
        <v>272</v>
      </c>
      <c r="D43" s="6" t="s">
        <v>201</v>
      </c>
      <c r="E43" s="6" t="s">
        <v>279</v>
      </c>
      <c r="F43" s="6" t="s">
        <v>280</v>
      </c>
      <c r="G43" s="6" t="s">
        <v>281</v>
      </c>
      <c r="H43" s="6">
        <v>1050616</v>
      </c>
      <c r="I43" s="13" t="s">
        <v>91</v>
      </c>
      <c r="J43" s="13" t="s">
        <v>92</v>
      </c>
      <c r="K43" s="6" t="s">
        <v>25</v>
      </c>
      <c r="L43" s="11" t="s">
        <v>1</v>
      </c>
    </row>
    <row r="44" spans="1:13">
      <c r="A44" s="5">
        <v>11268136</v>
      </c>
      <c r="B44" s="5" t="s">
        <v>282</v>
      </c>
      <c r="C44" s="6" t="s">
        <v>283</v>
      </c>
      <c r="D44" s="6" t="s">
        <v>43</v>
      </c>
      <c r="E44" s="6" t="s">
        <v>284</v>
      </c>
      <c r="F44" s="6" t="s">
        <v>285</v>
      </c>
      <c r="G44" s="6" t="s">
        <v>286</v>
      </c>
      <c r="H44" s="8">
        <v>1050610</v>
      </c>
      <c r="I44" s="19" t="s">
        <v>69</v>
      </c>
      <c r="J44" s="9" t="s">
        <v>151</v>
      </c>
      <c r="K44" s="6" t="s">
        <v>25</v>
      </c>
      <c r="L44" s="11" t="s">
        <v>34</v>
      </c>
    </row>
    <row r="45" spans="1:13">
      <c r="A45" s="5">
        <v>11347053</v>
      </c>
      <c r="B45" s="5" t="s">
        <v>287</v>
      </c>
      <c r="C45" s="6" t="s">
        <v>288</v>
      </c>
      <c r="D45" s="6" t="s">
        <v>289</v>
      </c>
      <c r="E45" s="6" t="s">
        <v>290</v>
      </c>
      <c r="F45" s="6" t="s">
        <v>291</v>
      </c>
      <c r="G45" s="6" t="s">
        <v>292</v>
      </c>
      <c r="H45" s="6">
        <v>1050506</v>
      </c>
      <c r="I45" s="9" t="s">
        <v>32</v>
      </c>
      <c r="J45" s="9" t="s">
        <v>56</v>
      </c>
      <c r="K45" s="6" t="s">
        <v>25</v>
      </c>
      <c r="L45" s="14" t="s">
        <v>34</v>
      </c>
    </row>
    <row r="46" spans="1:13">
      <c r="A46" s="5">
        <v>7815607</v>
      </c>
      <c r="B46" s="5" t="s">
        <v>293</v>
      </c>
      <c r="C46" s="6" t="s">
        <v>294</v>
      </c>
      <c r="D46" s="6" t="s">
        <v>295</v>
      </c>
      <c r="E46" s="6" t="s">
        <v>296</v>
      </c>
      <c r="F46" s="6" t="s">
        <v>297</v>
      </c>
      <c r="G46" s="6" t="s">
        <v>298</v>
      </c>
      <c r="H46" s="6">
        <v>1050633</v>
      </c>
      <c r="I46" s="9" t="s">
        <v>32</v>
      </c>
      <c r="J46" s="9" t="s">
        <v>134</v>
      </c>
      <c r="K46" s="6" t="s">
        <v>25</v>
      </c>
      <c r="L46" s="14" t="s">
        <v>0</v>
      </c>
    </row>
    <row r="47" spans="1:13">
      <c r="A47" s="5">
        <v>6143912</v>
      </c>
      <c r="B47" s="5" t="s">
        <v>299</v>
      </c>
      <c r="C47" s="6" t="s">
        <v>300</v>
      </c>
      <c r="D47" s="6" t="s">
        <v>301</v>
      </c>
      <c r="E47" s="6" t="s">
        <v>302</v>
      </c>
      <c r="F47" s="6" t="s">
        <v>303</v>
      </c>
      <c r="G47" s="6" t="s">
        <v>304</v>
      </c>
      <c r="H47" s="8">
        <v>1050632</v>
      </c>
      <c r="I47" s="9" t="s">
        <v>305</v>
      </c>
      <c r="J47" s="9" t="s">
        <v>305</v>
      </c>
      <c r="K47" s="6" t="s">
        <v>25</v>
      </c>
      <c r="L47" s="18" t="s">
        <v>0</v>
      </c>
    </row>
    <row r="48" spans="1:13">
      <c r="A48" s="5">
        <v>14181387</v>
      </c>
      <c r="B48" s="5" t="s">
        <v>306</v>
      </c>
      <c r="C48" s="6" t="s">
        <v>307</v>
      </c>
      <c r="D48" s="6" t="s">
        <v>308</v>
      </c>
      <c r="E48" s="6" t="s">
        <v>309</v>
      </c>
      <c r="F48" s="6" t="s">
        <v>310</v>
      </c>
      <c r="G48" s="6" t="s">
        <v>311</v>
      </c>
      <c r="H48" s="6">
        <v>1050127</v>
      </c>
      <c r="I48" s="9" t="s">
        <v>32</v>
      </c>
      <c r="J48" s="9" t="s">
        <v>41</v>
      </c>
      <c r="K48" s="6" t="s">
        <v>25</v>
      </c>
      <c r="L48" s="14" t="s">
        <v>1</v>
      </c>
    </row>
    <row r="49" spans="1:13">
      <c r="A49" s="5">
        <v>7944613</v>
      </c>
      <c r="B49" s="5" t="s">
        <v>312</v>
      </c>
      <c r="C49" s="6" t="s">
        <v>183</v>
      </c>
      <c r="D49" s="6" t="s">
        <v>313</v>
      </c>
      <c r="E49" s="6" t="s">
        <v>314</v>
      </c>
      <c r="F49" s="6" t="s">
        <v>315</v>
      </c>
      <c r="G49" s="6" t="s">
        <v>316</v>
      </c>
      <c r="H49" s="6">
        <v>1050126</v>
      </c>
      <c r="I49" s="9" t="s">
        <v>32</v>
      </c>
      <c r="J49" s="9" t="s">
        <v>33</v>
      </c>
      <c r="K49" s="6" t="s">
        <v>25</v>
      </c>
      <c r="L49" s="14" t="s">
        <v>34</v>
      </c>
    </row>
    <row r="50" spans="1:13">
      <c r="A50" s="5">
        <v>14595059</v>
      </c>
      <c r="B50" s="5" t="s">
        <v>317</v>
      </c>
      <c r="C50" s="6" t="s">
        <v>183</v>
      </c>
      <c r="D50" s="6" t="s">
        <v>318</v>
      </c>
      <c r="E50" s="6" t="s">
        <v>319</v>
      </c>
      <c r="F50" s="6" t="s">
        <v>320</v>
      </c>
      <c r="G50" s="6" t="s">
        <v>321</v>
      </c>
      <c r="H50" s="6">
        <v>1050616</v>
      </c>
      <c r="I50" s="13" t="s">
        <v>91</v>
      </c>
      <c r="J50" s="9" t="s">
        <v>151</v>
      </c>
      <c r="K50" s="6" t="s">
        <v>25</v>
      </c>
      <c r="L50" s="11" t="s">
        <v>34</v>
      </c>
    </row>
    <row r="51" spans="1:13">
      <c r="A51" s="5">
        <v>10874066</v>
      </c>
      <c r="B51" s="5" t="s">
        <v>322</v>
      </c>
      <c r="C51" s="6" t="s">
        <v>183</v>
      </c>
      <c r="D51" s="6" t="s">
        <v>323</v>
      </c>
      <c r="E51" s="6" t="s">
        <v>96</v>
      </c>
      <c r="F51" s="6" t="s">
        <v>324</v>
      </c>
      <c r="G51" s="6" t="s">
        <v>325</v>
      </c>
      <c r="H51" s="6">
        <v>1050552</v>
      </c>
      <c r="I51" s="9" t="s">
        <v>326</v>
      </c>
      <c r="J51" s="9" t="s">
        <v>70</v>
      </c>
      <c r="K51" s="6" t="s">
        <v>25</v>
      </c>
      <c r="L51" s="11" t="s">
        <v>0</v>
      </c>
    </row>
    <row r="52" spans="1:13">
      <c r="A52" s="5">
        <v>11394356</v>
      </c>
      <c r="B52" s="5" t="s">
        <v>327</v>
      </c>
      <c r="C52" s="6" t="s">
        <v>183</v>
      </c>
      <c r="D52" s="6" t="s">
        <v>37</v>
      </c>
      <c r="E52" s="6" t="s">
        <v>328</v>
      </c>
      <c r="F52" s="6" t="s">
        <v>329</v>
      </c>
      <c r="G52" s="6" t="s">
        <v>330</v>
      </c>
      <c r="H52" s="6">
        <v>1050616</v>
      </c>
      <c r="I52" s="13" t="s">
        <v>91</v>
      </c>
      <c r="J52" s="9" t="s">
        <v>151</v>
      </c>
      <c r="K52" s="6" t="s">
        <v>25</v>
      </c>
      <c r="L52" s="11" t="s">
        <v>0</v>
      </c>
    </row>
    <row r="53" spans="1:13">
      <c r="A53" s="5">
        <v>11165105</v>
      </c>
      <c r="B53" s="5" t="s">
        <v>331</v>
      </c>
      <c r="C53" s="6" t="s">
        <v>183</v>
      </c>
      <c r="D53" s="6" t="s">
        <v>332</v>
      </c>
      <c r="E53" s="6" t="s">
        <v>333</v>
      </c>
      <c r="F53" s="6" t="s">
        <v>334</v>
      </c>
      <c r="G53" s="6" t="s">
        <v>335</v>
      </c>
      <c r="H53" s="6">
        <v>1050552</v>
      </c>
      <c r="I53" s="9" t="s">
        <v>326</v>
      </c>
      <c r="J53" s="9" t="s">
        <v>151</v>
      </c>
      <c r="K53" s="6" t="s">
        <v>25</v>
      </c>
      <c r="L53" s="11" t="s">
        <v>1</v>
      </c>
    </row>
    <row r="54" spans="1:13">
      <c r="A54" s="5">
        <v>17929108</v>
      </c>
      <c r="B54" s="5" t="s">
        <v>336</v>
      </c>
      <c r="C54" s="6" t="s">
        <v>337</v>
      </c>
      <c r="D54" s="6" t="s">
        <v>338</v>
      </c>
      <c r="E54" s="6" t="s">
        <v>339</v>
      </c>
      <c r="F54" s="6" t="s">
        <v>340</v>
      </c>
      <c r="G54" s="6" t="s">
        <v>341</v>
      </c>
      <c r="H54" s="6">
        <v>1050529</v>
      </c>
      <c r="I54" s="9" t="s">
        <v>246</v>
      </c>
      <c r="J54" s="9" t="s">
        <v>246</v>
      </c>
      <c r="K54" s="6" t="s">
        <v>25</v>
      </c>
      <c r="L54" s="18" t="s">
        <v>34</v>
      </c>
      <c r="M54" s="4" t="s">
        <v>342</v>
      </c>
    </row>
    <row r="55" spans="1:13">
      <c r="A55" s="5">
        <v>5267317</v>
      </c>
      <c r="B55" s="5" t="s">
        <v>343</v>
      </c>
      <c r="C55" s="6" t="s">
        <v>344</v>
      </c>
      <c r="D55" s="6" t="s">
        <v>146</v>
      </c>
      <c r="E55" s="6" t="s">
        <v>345</v>
      </c>
      <c r="F55" s="6" t="s">
        <v>346</v>
      </c>
      <c r="G55" s="6" t="s">
        <v>347</v>
      </c>
      <c r="H55" s="6">
        <v>1050127</v>
      </c>
      <c r="I55" s="9" t="s">
        <v>32</v>
      </c>
      <c r="J55" s="9" t="s">
        <v>41</v>
      </c>
      <c r="K55" s="6" t="s">
        <v>25</v>
      </c>
      <c r="L55" s="14" t="s">
        <v>0</v>
      </c>
    </row>
    <row r="56" spans="1:13">
      <c r="A56" s="5">
        <v>14336328</v>
      </c>
      <c r="B56" s="5" t="s">
        <v>348</v>
      </c>
      <c r="C56" s="6" t="s">
        <v>349</v>
      </c>
      <c r="D56" s="6" t="s">
        <v>323</v>
      </c>
      <c r="E56" s="6" t="s">
        <v>350</v>
      </c>
      <c r="F56" s="6" t="s">
        <v>351</v>
      </c>
      <c r="G56" s="6" t="s">
        <v>352</v>
      </c>
      <c r="H56" s="6">
        <v>1050552</v>
      </c>
      <c r="I56" s="9" t="s">
        <v>326</v>
      </c>
      <c r="J56" s="9" t="s">
        <v>166</v>
      </c>
      <c r="K56" s="6" t="s">
        <v>25</v>
      </c>
      <c r="L56" s="11" t="s">
        <v>1</v>
      </c>
    </row>
    <row r="57" spans="1:13">
      <c r="A57" s="5">
        <v>9957527</v>
      </c>
      <c r="B57" s="5" t="s">
        <v>353</v>
      </c>
      <c r="C57" s="6" t="s">
        <v>349</v>
      </c>
      <c r="D57" s="6" t="s">
        <v>37</v>
      </c>
      <c r="E57" s="6" t="s">
        <v>354</v>
      </c>
      <c r="F57" s="6" t="s">
        <v>355</v>
      </c>
      <c r="G57" s="6" t="s">
        <v>356</v>
      </c>
      <c r="H57" s="6">
        <v>1050616</v>
      </c>
      <c r="I57" s="13" t="s">
        <v>91</v>
      </c>
      <c r="J57" s="13" t="s">
        <v>70</v>
      </c>
      <c r="K57" s="6" t="s">
        <v>25</v>
      </c>
      <c r="L57" s="11" t="s">
        <v>34</v>
      </c>
    </row>
    <row r="58" spans="1:13">
      <c r="A58" s="5">
        <v>6326657</v>
      </c>
      <c r="B58" s="5" t="s">
        <v>357</v>
      </c>
      <c r="C58" s="6" t="s">
        <v>349</v>
      </c>
      <c r="D58" s="6" t="s">
        <v>358</v>
      </c>
      <c r="E58" s="6" t="s">
        <v>359</v>
      </c>
      <c r="F58" s="6" t="s">
        <v>360</v>
      </c>
      <c r="G58" s="6" t="s">
        <v>361</v>
      </c>
      <c r="H58" s="8">
        <v>1050616</v>
      </c>
      <c r="I58" s="13" t="s">
        <v>91</v>
      </c>
      <c r="J58" s="13" t="s">
        <v>70</v>
      </c>
      <c r="K58" s="6" t="s">
        <v>25</v>
      </c>
      <c r="L58" s="11" t="s">
        <v>0</v>
      </c>
    </row>
    <row r="59" spans="1:13">
      <c r="A59" s="5">
        <v>11267594</v>
      </c>
      <c r="B59" s="5" t="s">
        <v>362</v>
      </c>
      <c r="C59" s="6" t="s">
        <v>363</v>
      </c>
      <c r="D59" s="6" t="s">
        <v>364</v>
      </c>
      <c r="E59" s="6" t="s">
        <v>365</v>
      </c>
      <c r="F59" s="6" t="s">
        <v>366</v>
      </c>
      <c r="G59" s="6" t="s">
        <v>367</v>
      </c>
      <c r="H59" s="6">
        <v>1050581</v>
      </c>
      <c r="I59" s="9" t="s">
        <v>32</v>
      </c>
      <c r="J59" s="9" t="s">
        <v>277</v>
      </c>
      <c r="K59" s="6" t="s">
        <v>25</v>
      </c>
      <c r="L59" s="14" t="s">
        <v>0</v>
      </c>
    </row>
    <row r="60" spans="1:13">
      <c r="A60" s="5">
        <v>8161344</v>
      </c>
      <c r="B60" s="5" t="s">
        <v>368</v>
      </c>
      <c r="C60" s="6" t="s">
        <v>369</v>
      </c>
      <c r="D60" s="6" t="s">
        <v>369</v>
      </c>
      <c r="E60" s="6" t="s">
        <v>370</v>
      </c>
      <c r="F60" s="6" t="s">
        <v>371</v>
      </c>
      <c r="G60" s="7" t="s">
        <v>372</v>
      </c>
      <c r="H60" s="6">
        <v>1050552</v>
      </c>
      <c r="I60" s="9" t="s">
        <v>326</v>
      </c>
      <c r="J60" s="9" t="s">
        <v>151</v>
      </c>
      <c r="K60" s="6" t="s">
        <v>25</v>
      </c>
      <c r="L60" s="11" t="s">
        <v>0</v>
      </c>
    </row>
    <row r="61" spans="1:13">
      <c r="A61" s="5">
        <v>11914799</v>
      </c>
      <c r="B61" s="5" t="s">
        <v>373</v>
      </c>
      <c r="C61" s="6" t="s">
        <v>374</v>
      </c>
      <c r="D61" s="6" t="s">
        <v>375</v>
      </c>
      <c r="E61" s="6" t="s">
        <v>345</v>
      </c>
      <c r="F61" s="6" t="s">
        <v>376</v>
      </c>
      <c r="G61" s="6" t="s">
        <v>377</v>
      </c>
      <c r="H61" s="6">
        <v>1050610</v>
      </c>
      <c r="I61" s="13" t="s">
        <v>69</v>
      </c>
      <c r="J61" s="13" t="s">
        <v>70</v>
      </c>
      <c r="K61" s="6" t="s">
        <v>25</v>
      </c>
      <c r="L61" s="11" t="s">
        <v>1</v>
      </c>
    </row>
    <row r="62" spans="1:13">
      <c r="A62" s="5">
        <v>16031949</v>
      </c>
      <c r="B62" s="5" t="s">
        <v>378</v>
      </c>
      <c r="C62" s="6" t="s">
        <v>363</v>
      </c>
      <c r="D62" s="6" t="s">
        <v>364</v>
      </c>
      <c r="E62" s="6" t="s">
        <v>379</v>
      </c>
      <c r="F62" s="6" t="s">
        <v>380</v>
      </c>
      <c r="G62" s="6" t="s">
        <v>381</v>
      </c>
      <c r="H62" s="6">
        <v>1050581</v>
      </c>
      <c r="I62" s="9" t="s">
        <v>32</v>
      </c>
      <c r="J62" s="9" t="s">
        <v>134</v>
      </c>
      <c r="K62" s="6" t="s">
        <v>25</v>
      </c>
      <c r="L62" s="18" t="s">
        <v>0</v>
      </c>
    </row>
    <row r="63" spans="1:13">
      <c r="A63" s="5">
        <v>5080993</v>
      </c>
      <c r="B63" s="5" t="s">
        <v>382</v>
      </c>
      <c r="C63" s="6" t="s">
        <v>383</v>
      </c>
      <c r="D63" s="6" t="s">
        <v>384</v>
      </c>
      <c r="E63" s="6" t="s">
        <v>262</v>
      </c>
      <c r="F63" s="6" t="s">
        <v>385</v>
      </c>
      <c r="G63" s="6" t="s">
        <v>386</v>
      </c>
      <c r="H63" s="6">
        <v>1050126</v>
      </c>
      <c r="I63" s="9" t="s">
        <v>32</v>
      </c>
      <c r="J63" s="9" t="s">
        <v>33</v>
      </c>
      <c r="K63" s="6" t="s">
        <v>25</v>
      </c>
      <c r="L63" s="14" t="s">
        <v>0</v>
      </c>
    </row>
    <row r="64" spans="1:13">
      <c r="A64" s="5">
        <v>5989878</v>
      </c>
      <c r="B64" s="5" t="s">
        <v>387</v>
      </c>
      <c r="C64" s="6" t="s">
        <v>383</v>
      </c>
      <c r="D64" s="6" t="s">
        <v>388</v>
      </c>
      <c r="E64" s="6" t="s">
        <v>389</v>
      </c>
      <c r="F64" s="6" t="s">
        <v>390</v>
      </c>
      <c r="G64" s="6" t="s">
        <v>391</v>
      </c>
      <c r="H64" s="6">
        <v>1050126</v>
      </c>
      <c r="I64" s="9" t="s">
        <v>32</v>
      </c>
      <c r="J64" s="9" t="s">
        <v>33</v>
      </c>
      <c r="K64" s="6" t="s">
        <v>25</v>
      </c>
      <c r="L64" s="14" t="s">
        <v>0</v>
      </c>
    </row>
    <row r="65" spans="1:12">
      <c r="A65" s="5">
        <v>5281950</v>
      </c>
      <c r="B65" s="5" t="s">
        <v>392</v>
      </c>
      <c r="C65" s="6" t="s">
        <v>119</v>
      </c>
      <c r="D65" s="6" t="s">
        <v>393</v>
      </c>
      <c r="E65" s="6" t="s">
        <v>394</v>
      </c>
      <c r="F65" s="6" t="s">
        <v>395</v>
      </c>
      <c r="G65" s="6" t="s">
        <v>396</v>
      </c>
      <c r="H65" s="6">
        <v>1050616</v>
      </c>
      <c r="I65" s="13" t="s">
        <v>91</v>
      </c>
      <c r="J65" s="13" t="s">
        <v>397</v>
      </c>
      <c r="K65" s="6" t="s">
        <v>25</v>
      </c>
      <c r="L65" s="11" t="s">
        <v>1</v>
      </c>
    </row>
    <row r="66" spans="1:12">
      <c r="A66" s="5">
        <v>6187914</v>
      </c>
      <c r="B66" s="5" t="s">
        <v>398</v>
      </c>
      <c r="C66" s="6" t="s">
        <v>119</v>
      </c>
      <c r="D66" s="6" t="s">
        <v>393</v>
      </c>
      <c r="E66" s="6" t="s">
        <v>399</v>
      </c>
      <c r="F66" s="6" t="s">
        <v>400</v>
      </c>
      <c r="G66" s="6" t="s">
        <v>401</v>
      </c>
      <c r="H66" s="6">
        <v>1050616</v>
      </c>
      <c r="I66" s="13" t="s">
        <v>91</v>
      </c>
      <c r="J66" s="13" t="s">
        <v>397</v>
      </c>
      <c r="K66" s="6" t="s">
        <v>25</v>
      </c>
      <c r="L66" s="11" t="s">
        <v>34</v>
      </c>
    </row>
    <row r="67" spans="1:12">
      <c r="A67" s="5">
        <v>7023216</v>
      </c>
      <c r="B67" s="5" t="s">
        <v>402</v>
      </c>
      <c r="C67" s="6" t="s">
        <v>403</v>
      </c>
      <c r="D67" s="6" t="s">
        <v>404</v>
      </c>
      <c r="E67" s="6" t="s">
        <v>405</v>
      </c>
      <c r="F67" s="6" t="s">
        <v>406</v>
      </c>
      <c r="G67" s="8" t="s">
        <v>407</v>
      </c>
      <c r="H67" s="6">
        <v>1050615</v>
      </c>
      <c r="I67" s="9" t="s">
        <v>91</v>
      </c>
      <c r="J67" s="13" t="s">
        <v>24</v>
      </c>
      <c r="K67" s="6" t="s">
        <v>25</v>
      </c>
      <c r="L67" s="11" t="s">
        <v>1</v>
      </c>
    </row>
    <row r="68" spans="1:12">
      <c r="A68" s="5">
        <v>8733235</v>
      </c>
      <c r="B68" s="5" t="s">
        <v>408</v>
      </c>
      <c r="C68" s="6" t="s">
        <v>403</v>
      </c>
      <c r="D68" s="6" t="s">
        <v>409</v>
      </c>
      <c r="E68" s="6" t="s">
        <v>410</v>
      </c>
      <c r="F68" s="6" t="s">
        <v>411</v>
      </c>
      <c r="G68" s="6" t="s">
        <v>412</v>
      </c>
      <c r="H68" s="6">
        <v>1050615</v>
      </c>
      <c r="I68" s="9" t="s">
        <v>91</v>
      </c>
      <c r="J68" s="9" t="s">
        <v>254</v>
      </c>
      <c r="K68" s="6" t="s">
        <v>25</v>
      </c>
      <c r="L68" s="11" t="s">
        <v>1</v>
      </c>
    </row>
    <row r="69" spans="1:12">
      <c r="A69" s="5">
        <v>5428350</v>
      </c>
      <c r="B69" s="5" t="s">
        <v>413</v>
      </c>
      <c r="C69" s="6" t="s">
        <v>414</v>
      </c>
      <c r="D69" s="6" t="s">
        <v>415</v>
      </c>
      <c r="E69" s="6" t="s">
        <v>416</v>
      </c>
      <c r="F69" s="6" t="s">
        <v>417</v>
      </c>
      <c r="G69" s="6" t="s">
        <v>418</v>
      </c>
      <c r="H69" s="6">
        <v>1050616</v>
      </c>
      <c r="I69" s="13" t="s">
        <v>91</v>
      </c>
      <c r="J69" s="13" t="s">
        <v>70</v>
      </c>
      <c r="K69" s="6" t="s">
        <v>25</v>
      </c>
      <c r="L69" s="11"/>
    </row>
    <row r="70" spans="1:12">
      <c r="A70" s="5">
        <v>16380050</v>
      </c>
      <c r="B70" s="5" t="s">
        <v>1385</v>
      </c>
      <c r="C70" s="6" t="s">
        <v>419</v>
      </c>
      <c r="D70" s="6" t="s">
        <v>420</v>
      </c>
      <c r="E70" s="6" t="s">
        <v>421</v>
      </c>
      <c r="F70" s="6" t="s">
        <v>422</v>
      </c>
      <c r="G70" s="6" t="s">
        <v>423</v>
      </c>
      <c r="H70" s="6">
        <v>1050126</v>
      </c>
      <c r="I70" s="9" t="s">
        <v>32</v>
      </c>
      <c r="J70" s="9" t="s">
        <v>33</v>
      </c>
      <c r="K70" s="6" t="s">
        <v>25</v>
      </c>
      <c r="L70" s="18" t="s">
        <v>0</v>
      </c>
    </row>
    <row r="71" spans="1:12">
      <c r="A71" s="5">
        <v>9571017</v>
      </c>
      <c r="B71" s="5" t="s">
        <v>424</v>
      </c>
      <c r="C71" s="6" t="s">
        <v>425</v>
      </c>
      <c r="D71" s="6" t="s">
        <v>313</v>
      </c>
      <c r="E71" s="6" t="s">
        <v>426</v>
      </c>
      <c r="F71" s="6" t="s">
        <v>427</v>
      </c>
      <c r="G71" s="6" t="s">
        <v>428</v>
      </c>
      <c r="H71" s="6">
        <v>1050126</v>
      </c>
      <c r="I71" s="9" t="s">
        <v>32</v>
      </c>
      <c r="J71" s="9" t="s">
        <v>33</v>
      </c>
      <c r="K71" s="6" t="s">
        <v>25</v>
      </c>
      <c r="L71" s="14" t="s">
        <v>34</v>
      </c>
    </row>
    <row r="72" spans="1:12">
      <c r="A72" s="5">
        <v>16132065</v>
      </c>
      <c r="B72" s="5" t="s">
        <v>429</v>
      </c>
      <c r="C72" s="6" t="s">
        <v>425</v>
      </c>
      <c r="D72" s="6" t="s">
        <v>430</v>
      </c>
      <c r="E72" s="6" t="s">
        <v>431</v>
      </c>
      <c r="F72" s="6" t="s">
        <v>432</v>
      </c>
      <c r="G72" s="6" t="s">
        <v>433</v>
      </c>
      <c r="H72" s="6">
        <v>1050126</v>
      </c>
      <c r="I72" s="9" t="s">
        <v>32</v>
      </c>
      <c r="J72" s="9" t="s">
        <v>33</v>
      </c>
      <c r="K72" s="6" t="s">
        <v>25</v>
      </c>
      <c r="L72" s="14" t="s">
        <v>0</v>
      </c>
    </row>
    <row r="73" spans="1:12">
      <c r="A73" s="5">
        <v>13100464</v>
      </c>
      <c r="B73" s="5" t="s">
        <v>434</v>
      </c>
      <c r="C73" s="6" t="s">
        <v>425</v>
      </c>
      <c r="D73" s="6" t="s">
        <v>435</v>
      </c>
      <c r="E73" s="6" t="s">
        <v>436</v>
      </c>
      <c r="F73" s="6" t="s">
        <v>437</v>
      </c>
      <c r="G73" s="6" t="s">
        <v>438</v>
      </c>
      <c r="H73" s="6">
        <v>1050574</v>
      </c>
      <c r="I73" s="13" t="s">
        <v>48</v>
      </c>
      <c r="J73" s="13" t="s">
        <v>49</v>
      </c>
      <c r="K73" s="6" t="s">
        <v>25</v>
      </c>
      <c r="L73" s="14" t="s">
        <v>0</v>
      </c>
    </row>
    <row r="74" spans="1:12">
      <c r="A74" s="5">
        <v>17065312</v>
      </c>
      <c r="B74" s="5" t="s">
        <v>439</v>
      </c>
      <c r="C74" s="6" t="s">
        <v>318</v>
      </c>
      <c r="D74" s="6" t="s">
        <v>249</v>
      </c>
      <c r="E74" s="6" t="s">
        <v>440</v>
      </c>
      <c r="F74" s="6" t="s">
        <v>441</v>
      </c>
      <c r="G74" s="6" t="s">
        <v>442</v>
      </c>
      <c r="H74" s="6">
        <v>1050126</v>
      </c>
      <c r="I74" s="9" t="s">
        <v>32</v>
      </c>
      <c r="J74" s="9" t="s">
        <v>33</v>
      </c>
      <c r="K74" s="6" t="s">
        <v>25</v>
      </c>
      <c r="L74" s="14" t="s">
        <v>34</v>
      </c>
    </row>
    <row r="75" spans="1:12">
      <c r="A75" s="5">
        <v>17002272</v>
      </c>
      <c r="B75" s="5" t="s">
        <v>443</v>
      </c>
      <c r="C75" s="6" t="s">
        <v>444</v>
      </c>
      <c r="D75" s="6" t="s">
        <v>37</v>
      </c>
      <c r="E75" s="6" t="s">
        <v>445</v>
      </c>
      <c r="F75" s="6" t="s">
        <v>446</v>
      </c>
      <c r="G75" s="6" t="s">
        <v>447</v>
      </c>
      <c r="H75" s="6">
        <v>1050161</v>
      </c>
      <c r="I75" s="9" t="s">
        <v>32</v>
      </c>
      <c r="J75" s="9" t="s">
        <v>448</v>
      </c>
      <c r="K75" s="6" t="s">
        <v>25</v>
      </c>
      <c r="L75" s="14" t="s">
        <v>1</v>
      </c>
    </row>
    <row r="76" spans="1:12">
      <c r="A76" s="5">
        <v>9048185</v>
      </c>
      <c r="B76" s="5" t="s">
        <v>449</v>
      </c>
      <c r="C76" s="6" t="s">
        <v>450</v>
      </c>
      <c r="D76" s="6" t="s">
        <v>183</v>
      </c>
      <c r="E76" s="6" t="s">
        <v>451</v>
      </c>
      <c r="F76" s="6" t="s">
        <v>452</v>
      </c>
      <c r="G76" s="6" t="s">
        <v>453</v>
      </c>
      <c r="H76" s="6">
        <v>1050126</v>
      </c>
      <c r="I76" s="9" t="s">
        <v>32</v>
      </c>
      <c r="J76" s="9" t="s">
        <v>448</v>
      </c>
      <c r="K76" s="6" t="s">
        <v>25</v>
      </c>
      <c r="L76" s="14" t="s">
        <v>34</v>
      </c>
    </row>
    <row r="77" spans="1:12">
      <c r="A77" s="5">
        <v>13486907</v>
      </c>
      <c r="B77" s="5" t="s">
        <v>454</v>
      </c>
      <c r="C77" s="6" t="s">
        <v>455</v>
      </c>
      <c r="D77" s="6" t="s">
        <v>183</v>
      </c>
      <c r="E77" s="6" t="s">
        <v>456</v>
      </c>
      <c r="F77" s="6" t="s">
        <v>457</v>
      </c>
      <c r="G77" s="22" t="s">
        <v>458</v>
      </c>
      <c r="H77" s="6">
        <v>1050161</v>
      </c>
      <c r="I77" s="9" t="s">
        <v>32</v>
      </c>
      <c r="J77" s="9" t="s">
        <v>459</v>
      </c>
      <c r="K77" s="6" t="s">
        <v>25</v>
      </c>
      <c r="L77" s="14" t="s">
        <v>1</v>
      </c>
    </row>
    <row r="78" spans="1:12">
      <c r="A78" s="5">
        <v>9068490</v>
      </c>
      <c r="B78" s="5" t="s">
        <v>460</v>
      </c>
      <c r="C78" s="6" t="s">
        <v>87</v>
      </c>
      <c r="D78" s="6" t="s">
        <v>461</v>
      </c>
      <c r="E78" s="6" t="s">
        <v>462</v>
      </c>
      <c r="F78" s="6" t="s">
        <v>463</v>
      </c>
      <c r="G78" s="6" t="s">
        <v>464</v>
      </c>
      <c r="H78" s="6">
        <v>1050581</v>
      </c>
      <c r="I78" s="9" t="s">
        <v>32</v>
      </c>
      <c r="J78" s="9" t="s">
        <v>277</v>
      </c>
      <c r="K78" s="6" t="s">
        <v>25</v>
      </c>
      <c r="L78" s="14" t="s">
        <v>0</v>
      </c>
    </row>
    <row r="79" spans="1:12">
      <c r="A79" s="5">
        <v>7975267</v>
      </c>
      <c r="B79" s="5" t="s">
        <v>465</v>
      </c>
      <c r="C79" s="6" t="s">
        <v>87</v>
      </c>
      <c r="D79" s="6" t="s">
        <v>466</v>
      </c>
      <c r="E79" s="6" t="s">
        <v>467</v>
      </c>
      <c r="F79" s="6" t="s">
        <v>468</v>
      </c>
      <c r="G79" s="6" t="s">
        <v>469</v>
      </c>
      <c r="H79" s="6">
        <v>1050616</v>
      </c>
      <c r="I79" s="13" t="s">
        <v>91</v>
      </c>
      <c r="J79" s="9" t="s">
        <v>151</v>
      </c>
      <c r="K79" s="6" t="s">
        <v>25</v>
      </c>
      <c r="L79" s="11" t="s">
        <v>1</v>
      </c>
    </row>
    <row r="80" spans="1:12">
      <c r="A80" s="5">
        <v>8962599</v>
      </c>
      <c r="B80" s="5" t="s">
        <v>470</v>
      </c>
      <c r="C80" s="6" t="s">
        <v>87</v>
      </c>
      <c r="D80" s="6" t="s">
        <v>37</v>
      </c>
      <c r="E80" s="6" t="s">
        <v>471</v>
      </c>
      <c r="F80" s="6" t="s">
        <v>472</v>
      </c>
      <c r="G80" s="6" t="s">
        <v>473</v>
      </c>
      <c r="H80" s="6">
        <v>1050556</v>
      </c>
      <c r="I80" s="9" t="s">
        <v>165</v>
      </c>
      <c r="J80" s="9" t="s">
        <v>70</v>
      </c>
      <c r="K80" s="6" t="s">
        <v>25</v>
      </c>
      <c r="L80" s="11" t="s">
        <v>1</v>
      </c>
    </row>
    <row r="81" spans="1:12">
      <c r="A81" s="5">
        <v>5921603</v>
      </c>
      <c r="B81" s="5" t="s">
        <v>474</v>
      </c>
      <c r="C81" s="6" t="s">
        <v>475</v>
      </c>
      <c r="D81" s="6" t="s">
        <v>476</v>
      </c>
      <c r="E81" s="6" t="s">
        <v>477</v>
      </c>
      <c r="F81" s="6" t="s">
        <v>478</v>
      </c>
      <c r="G81" s="7" t="s">
        <v>479</v>
      </c>
      <c r="H81" s="8">
        <v>1050632</v>
      </c>
      <c r="I81" s="9" t="s">
        <v>305</v>
      </c>
      <c r="J81" s="9" t="s">
        <v>305</v>
      </c>
      <c r="K81" s="6" t="s">
        <v>25</v>
      </c>
      <c r="L81" s="18" t="s">
        <v>0</v>
      </c>
    </row>
    <row r="82" spans="1:12">
      <c r="A82" s="5">
        <v>9748915</v>
      </c>
      <c r="B82" s="5" t="s">
        <v>480</v>
      </c>
      <c r="C82" s="6" t="s">
        <v>323</v>
      </c>
      <c r="D82" s="6" t="s">
        <v>419</v>
      </c>
      <c r="E82" s="6" t="s">
        <v>481</v>
      </c>
      <c r="F82" s="6" t="s">
        <v>482</v>
      </c>
      <c r="G82" s="6" t="s">
        <v>483</v>
      </c>
      <c r="H82" s="6">
        <v>1050161</v>
      </c>
      <c r="I82" s="9" t="s">
        <v>32</v>
      </c>
      <c r="J82" s="9" t="s">
        <v>448</v>
      </c>
      <c r="K82" s="6" t="s">
        <v>25</v>
      </c>
      <c r="L82" s="14" t="s">
        <v>0</v>
      </c>
    </row>
    <row r="83" spans="1:12">
      <c r="A83" s="5">
        <v>9989723</v>
      </c>
      <c r="B83" s="5" t="s">
        <v>484</v>
      </c>
      <c r="C83" s="6" t="s">
        <v>485</v>
      </c>
      <c r="D83" s="6" t="s">
        <v>486</v>
      </c>
      <c r="E83" s="6" t="s">
        <v>487</v>
      </c>
      <c r="F83" s="6" t="s">
        <v>488</v>
      </c>
      <c r="G83" s="6" t="s">
        <v>489</v>
      </c>
      <c r="H83" s="6">
        <v>1050126</v>
      </c>
      <c r="I83" s="9" t="s">
        <v>32</v>
      </c>
      <c r="J83" s="9" t="s">
        <v>33</v>
      </c>
      <c r="K83" s="6" t="s">
        <v>25</v>
      </c>
      <c r="L83" s="14" t="s">
        <v>34</v>
      </c>
    </row>
    <row r="84" spans="1:12">
      <c r="A84" s="5">
        <v>10199755</v>
      </c>
      <c r="B84" s="5" t="s">
        <v>490</v>
      </c>
      <c r="C84" s="6" t="s">
        <v>485</v>
      </c>
      <c r="D84" s="6" t="s">
        <v>87</v>
      </c>
      <c r="E84" s="6" t="s">
        <v>491</v>
      </c>
      <c r="F84" s="6" t="s">
        <v>492</v>
      </c>
      <c r="G84" s="6" t="s">
        <v>493</v>
      </c>
      <c r="H84" s="6">
        <v>1050633</v>
      </c>
      <c r="I84" s="9" t="s">
        <v>32</v>
      </c>
      <c r="J84" s="9" t="s">
        <v>134</v>
      </c>
      <c r="K84" s="6" t="s">
        <v>25</v>
      </c>
      <c r="L84" s="14" t="s">
        <v>1</v>
      </c>
    </row>
    <row r="85" spans="1:12">
      <c r="A85" s="5">
        <v>14336364</v>
      </c>
      <c r="B85" s="5" t="s">
        <v>494</v>
      </c>
      <c r="C85" s="6" t="s">
        <v>273</v>
      </c>
      <c r="D85" s="6" t="s">
        <v>130</v>
      </c>
      <c r="E85" s="6" t="s">
        <v>495</v>
      </c>
      <c r="F85" s="6" t="s">
        <v>496</v>
      </c>
      <c r="G85" s="6" t="s">
        <v>497</v>
      </c>
      <c r="H85" s="6">
        <v>1050604</v>
      </c>
      <c r="I85" s="9" t="s">
        <v>498</v>
      </c>
      <c r="J85" s="9" t="s">
        <v>498</v>
      </c>
      <c r="K85" s="6" t="s">
        <v>25</v>
      </c>
      <c r="L85" s="11" t="s">
        <v>0</v>
      </c>
    </row>
    <row r="86" spans="1:12">
      <c r="A86" s="5">
        <v>9905897</v>
      </c>
      <c r="B86" s="5" t="s">
        <v>499</v>
      </c>
      <c r="C86" s="6" t="s">
        <v>500</v>
      </c>
      <c r="D86" s="6" t="s">
        <v>501</v>
      </c>
      <c r="E86" s="6" t="s">
        <v>502</v>
      </c>
      <c r="F86" s="6" t="s">
        <v>503</v>
      </c>
      <c r="G86" s="6" t="s">
        <v>504</v>
      </c>
      <c r="H86" s="6">
        <v>1050502</v>
      </c>
      <c r="I86" s="9" t="s">
        <v>505</v>
      </c>
      <c r="J86" s="9" t="s">
        <v>506</v>
      </c>
      <c r="K86" s="6" t="s">
        <v>25</v>
      </c>
      <c r="L86" s="18" t="s">
        <v>0</v>
      </c>
    </row>
    <row r="87" spans="1:12">
      <c r="A87" s="5">
        <v>11656057</v>
      </c>
      <c r="B87" s="5" t="s">
        <v>507</v>
      </c>
      <c r="C87" s="6" t="s">
        <v>508</v>
      </c>
      <c r="D87" s="6" t="s">
        <v>509</v>
      </c>
      <c r="E87" s="6" t="s">
        <v>510</v>
      </c>
      <c r="F87" s="6" t="s">
        <v>511</v>
      </c>
      <c r="G87" s="6" t="s">
        <v>512</v>
      </c>
      <c r="H87" s="6">
        <v>1050127</v>
      </c>
      <c r="I87" s="9" t="s">
        <v>32</v>
      </c>
      <c r="J87" s="9" t="s">
        <v>41</v>
      </c>
      <c r="K87" s="6" t="s">
        <v>25</v>
      </c>
      <c r="L87" s="14" t="s">
        <v>1</v>
      </c>
    </row>
    <row r="88" spans="1:12">
      <c r="A88" s="5">
        <v>13897327</v>
      </c>
      <c r="B88" s="5" t="s">
        <v>513</v>
      </c>
      <c r="C88" s="6" t="s">
        <v>514</v>
      </c>
      <c r="D88" s="6" t="s">
        <v>515</v>
      </c>
      <c r="E88" s="6" t="s">
        <v>516</v>
      </c>
      <c r="F88" s="6" t="s">
        <v>517</v>
      </c>
      <c r="G88" s="6" t="s">
        <v>518</v>
      </c>
      <c r="H88" s="6">
        <v>1050632</v>
      </c>
      <c r="I88" s="13" t="s">
        <v>77</v>
      </c>
      <c r="J88" s="13" t="s">
        <v>519</v>
      </c>
      <c r="K88" s="6" t="s">
        <v>25</v>
      </c>
      <c r="L88" s="11" t="s">
        <v>34</v>
      </c>
    </row>
    <row r="89" spans="1:12">
      <c r="A89" s="5">
        <v>15899732</v>
      </c>
      <c r="B89" s="5" t="s">
        <v>520</v>
      </c>
      <c r="C89" s="6" t="s">
        <v>521</v>
      </c>
      <c r="D89" s="6" t="s">
        <v>65</v>
      </c>
      <c r="E89" s="6" t="s">
        <v>522</v>
      </c>
      <c r="F89" s="6" t="s">
        <v>523</v>
      </c>
      <c r="G89" s="7" t="s">
        <v>524</v>
      </c>
      <c r="H89" s="6">
        <v>1050556</v>
      </c>
      <c r="I89" s="9" t="s">
        <v>165</v>
      </c>
      <c r="J89" s="23" t="s">
        <v>525</v>
      </c>
      <c r="K89" s="6" t="s">
        <v>25</v>
      </c>
      <c r="L89" s="11" t="s">
        <v>34</v>
      </c>
    </row>
    <row r="90" spans="1:12">
      <c r="A90" s="5">
        <v>8771787</v>
      </c>
      <c r="B90" s="5" t="s">
        <v>526</v>
      </c>
      <c r="C90" s="6" t="s">
        <v>527</v>
      </c>
      <c r="D90" s="6" t="s">
        <v>528</v>
      </c>
      <c r="E90" s="6" t="s">
        <v>529</v>
      </c>
      <c r="F90" s="6" t="s">
        <v>530</v>
      </c>
      <c r="G90" s="6" t="s">
        <v>531</v>
      </c>
      <c r="H90" s="6">
        <v>1050555</v>
      </c>
      <c r="I90" s="24" t="s">
        <v>165</v>
      </c>
      <c r="J90" s="24" t="s">
        <v>24</v>
      </c>
      <c r="K90" s="6" t="s">
        <v>25</v>
      </c>
      <c r="L90" s="11" t="s">
        <v>34</v>
      </c>
    </row>
    <row r="91" spans="1:12">
      <c r="A91" s="5">
        <v>12504270</v>
      </c>
      <c r="B91" s="5" t="s">
        <v>532</v>
      </c>
      <c r="C91" s="6" t="s">
        <v>533</v>
      </c>
      <c r="D91" s="6" t="s">
        <v>534</v>
      </c>
      <c r="E91" s="6" t="s">
        <v>535</v>
      </c>
      <c r="F91" s="6" t="s">
        <v>536</v>
      </c>
      <c r="G91" s="6" t="s">
        <v>537</v>
      </c>
      <c r="H91" s="6">
        <v>1050554</v>
      </c>
      <c r="I91" s="9" t="s">
        <v>4</v>
      </c>
      <c r="J91" s="9" t="s">
        <v>151</v>
      </c>
      <c r="K91" s="6" t="s">
        <v>25</v>
      </c>
      <c r="L91" s="11" t="s">
        <v>0</v>
      </c>
    </row>
    <row r="92" spans="1:12">
      <c r="A92" s="5">
        <v>13769935</v>
      </c>
      <c r="B92" s="5" t="s">
        <v>538</v>
      </c>
      <c r="C92" s="6" t="s">
        <v>539</v>
      </c>
      <c r="D92" s="6" t="s">
        <v>124</v>
      </c>
      <c r="E92" s="6" t="s">
        <v>540</v>
      </c>
      <c r="F92" s="6" t="s">
        <v>541</v>
      </c>
      <c r="G92" s="6" t="s">
        <v>542</v>
      </c>
      <c r="H92" s="6">
        <v>1050632</v>
      </c>
      <c r="I92" s="13" t="s">
        <v>77</v>
      </c>
      <c r="J92" s="13" t="s">
        <v>78</v>
      </c>
      <c r="K92" s="6" t="s">
        <v>25</v>
      </c>
      <c r="L92" s="11" t="s">
        <v>0</v>
      </c>
    </row>
    <row r="93" spans="1:12">
      <c r="A93" s="5">
        <v>8025043</v>
      </c>
      <c r="B93" s="5" t="s">
        <v>543</v>
      </c>
      <c r="C93" s="6" t="s">
        <v>544</v>
      </c>
      <c r="D93" s="6" t="s">
        <v>241</v>
      </c>
      <c r="E93" s="6" t="s">
        <v>545</v>
      </c>
      <c r="F93" s="6" t="s">
        <v>546</v>
      </c>
      <c r="G93" s="7" t="s">
        <v>547</v>
      </c>
      <c r="H93" s="6">
        <v>1050551</v>
      </c>
      <c r="I93" s="9" t="s">
        <v>326</v>
      </c>
      <c r="J93" s="9" t="s">
        <v>254</v>
      </c>
      <c r="K93" s="6" t="s">
        <v>25</v>
      </c>
      <c r="L93" s="18" t="s">
        <v>34</v>
      </c>
    </row>
    <row r="94" spans="1:12">
      <c r="A94" s="5">
        <v>10970380</v>
      </c>
      <c r="B94" s="5" t="s">
        <v>548</v>
      </c>
      <c r="C94" s="6" t="s">
        <v>544</v>
      </c>
      <c r="D94" s="6" t="s">
        <v>37</v>
      </c>
      <c r="E94" s="6" t="s">
        <v>549</v>
      </c>
      <c r="F94" s="6" t="s">
        <v>550</v>
      </c>
      <c r="G94" s="6" t="s">
        <v>551</v>
      </c>
      <c r="H94" s="6">
        <v>1050127</v>
      </c>
      <c r="I94" s="9" t="s">
        <v>32</v>
      </c>
      <c r="J94" s="9" t="s">
        <v>41</v>
      </c>
      <c r="K94" s="6" t="s">
        <v>25</v>
      </c>
      <c r="L94" s="14" t="s">
        <v>1</v>
      </c>
    </row>
    <row r="95" spans="1:12">
      <c r="A95" s="5">
        <v>11873201</v>
      </c>
      <c r="B95" s="5" t="s">
        <v>552</v>
      </c>
      <c r="C95" s="6" t="s">
        <v>553</v>
      </c>
      <c r="D95" s="6" t="s">
        <v>554</v>
      </c>
      <c r="E95" s="6" t="s">
        <v>262</v>
      </c>
      <c r="F95" s="6" t="s">
        <v>555</v>
      </c>
      <c r="G95" s="6" t="s">
        <v>556</v>
      </c>
      <c r="H95" s="6">
        <v>1050127</v>
      </c>
      <c r="I95" s="9" t="s">
        <v>32</v>
      </c>
      <c r="J95" s="9" t="s">
        <v>41</v>
      </c>
      <c r="K95" s="6" t="s">
        <v>25</v>
      </c>
      <c r="L95" s="14" t="s">
        <v>0</v>
      </c>
    </row>
    <row r="96" spans="1:12">
      <c r="A96" s="5">
        <v>9878189</v>
      </c>
      <c r="B96" s="5" t="s">
        <v>557</v>
      </c>
      <c r="C96" s="6" t="s">
        <v>558</v>
      </c>
      <c r="D96" s="6" t="s">
        <v>318</v>
      </c>
      <c r="E96" s="6" t="s">
        <v>559</v>
      </c>
      <c r="F96" s="6" t="s">
        <v>560</v>
      </c>
      <c r="G96" s="6" t="s">
        <v>561</v>
      </c>
      <c r="H96" s="6">
        <v>1050556</v>
      </c>
      <c r="I96" s="9" t="s">
        <v>165</v>
      </c>
      <c r="J96" s="23" t="s">
        <v>525</v>
      </c>
      <c r="K96" s="6" t="s">
        <v>25</v>
      </c>
      <c r="L96" s="11" t="s">
        <v>1</v>
      </c>
    </row>
    <row r="97" spans="1:13">
      <c r="A97" s="5">
        <v>9253701</v>
      </c>
      <c r="B97" s="5" t="s">
        <v>562</v>
      </c>
      <c r="C97" s="6" t="s">
        <v>558</v>
      </c>
      <c r="D97" s="6" t="s">
        <v>563</v>
      </c>
      <c r="E97" s="6" t="s">
        <v>564</v>
      </c>
      <c r="F97" s="6" t="s">
        <v>565</v>
      </c>
      <c r="G97" s="7" t="s">
        <v>566</v>
      </c>
      <c r="H97" s="6">
        <v>1050615</v>
      </c>
      <c r="I97" s="9" t="s">
        <v>91</v>
      </c>
      <c r="J97" s="9" t="s">
        <v>254</v>
      </c>
      <c r="K97" s="6" t="s">
        <v>25</v>
      </c>
      <c r="L97" s="11" t="s">
        <v>0</v>
      </c>
    </row>
    <row r="98" spans="1:13">
      <c r="A98" s="5">
        <v>14151454</v>
      </c>
      <c r="B98" s="5" t="s">
        <v>567</v>
      </c>
      <c r="C98" s="6" t="s">
        <v>154</v>
      </c>
      <c r="D98" s="6" t="s">
        <v>568</v>
      </c>
      <c r="E98" s="6" t="s">
        <v>569</v>
      </c>
      <c r="F98" s="6" t="s">
        <v>570</v>
      </c>
      <c r="G98" s="6" t="s">
        <v>571</v>
      </c>
      <c r="H98" s="10">
        <v>1050603</v>
      </c>
      <c r="I98" s="25" t="s">
        <v>572</v>
      </c>
      <c r="J98" s="25" t="s">
        <v>572</v>
      </c>
      <c r="K98" s="6" t="s">
        <v>25</v>
      </c>
      <c r="L98" s="10" t="s">
        <v>1</v>
      </c>
    </row>
    <row r="99" spans="1:13">
      <c r="A99" s="5">
        <v>10869222</v>
      </c>
      <c r="B99" s="5" t="s">
        <v>573</v>
      </c>
      <c r="C99" s="6" t="s">
        <v>574</v>
      </c>
      <c r="D99" s="6" t="s">
        <v>575</v>
      </c>
      <c r="E99" s="6" t="s">
        <v>169</v>
      </c>
      <c r="F99" s="6" t="s">
        <v>576</v>
      </c>
      <c r="G99" s="6" t="s">
        <v>577</v>
      </c>
      <c r="H99" s="6">
        <v>1050127</v>
      </c>
      <c r="I99" s="9" t="s">
        <v>32</v>
      </c>
      <c r="J99" s="9" t="s">
        <v>41</v>
      </c>
      <c r="K99" s="6" t="s">
        <v>25</v>
      </c>
      <c r="L99" s="14" t="s">
        <v>34</v>
      </c>
    </row>
    <row r="100" spans="1:13">
      <c r="A100" s="5">
        <v>11306351</v>
      </c>
      <c r="B100" s="5" t="s">
        <v>578</v>
      </c>
      <c r="C100" s="6" t="s">
        <v>579</v>
      </c>
      <c r="D100" s="6" t="s">
        <v>580</v>
      </c>
      <c r="E100" s="6" t="s">
        <v>581</v>
      </c>
      <c r="F100" s="6" t="s">
        <v>582</v>
      </c>
      <c r="G100" s="6" t="s">
        <v>583</v>
      </c>
      <c r="H100" s="6">
        <v>1050126</v>
      </c>
      <c r="I100" s="9" t="s">
        <v>32</v>
      </c>
      <c r="J100" s="9" t="s">
        <v>33</v>
      </c>
      <c r="K100" s="6" t="s">
        <v>25</v>
      </c>
      <c r="L100" s="14" t="s">
        <v>34</v>
      </c>
    </row>
    <row r="101" spans="1:13">
      <c r="A101" s="5">
        <v>12740284</v>
      </c>
      <c r="B101" s="5" t="s">
        <v>584</v>
      </c>
      <c r="C101" s="6" t="s">
        <v>585</v>
      </c>
      <c r="D101" s="6" t="s">
        <v>586</v>
      </c>
      <c r="E101" s="6" t="s">
        <v>587</v>
      </c>
      <c r="F101" s="6" t="s">
        <v>588</v>
      </c>
      <c r="G101" s="7" t="s">
        <v>589</v>
      </c>
      <c r="H101" s="6">
        <v>1050556</v>
      </c>
      <c r="I101" s="9" t="s">
        <v>165</v>
      </c>
      <c r="J101" s="9" t="s">
        <v>70</v>
      </c>
      <c r="K101" s="6" t="s">
        <v>25</v>
      </c>
      <c r="L101" s="11" t="s">
        <v>34</v>
      </c>
    </row>
    <row r="102" spans="1:13">
      <c r="A102" s="5">
        <v>11370436</v>
      </c>
      <c r="B102" s="5" t="s">
        <v>590</v>
      </c>
      <c r="C102" s="6" t="s">
        <v>591</v>
      </c>
      <c r="D102" s="6" t="s">
        <v>136</v>
      </c>
      <c r="E102" s="6" t="s">
        <v>592</v>
      </c>
      <c r="F102" s="6" t="s">
        <v>593</v>
      </c>
      <c r="G102" s="6" t="s">
        <v>594</v>
      </c>
      <c r="H102" s="6">
        <v>1050633</v>
      </c>
      <c r="I102" s="9" t="s">
        <v>32</v>
      </c>
      <c r="J102" s="9" t="s">
        <v>134</v>
      </c>
      <c r="K102" s="6" t="s">
        <v>25</v>
      </c>
      <c r="L102" s="14" t="s">
        <v>1</v>
      </c>
    </row>
    <row r="103" spans="1:13">
      <c r="A103" s="5">
        <v>9081025</v>
      </c>
      <c r="B103" s="5" t="s">
        <v>595</v>
      </c>
      <c r="C103" s="6" t="s">
        <v>591</v>
      </c>
      <c r="D103" s="6" t="s">
        <v>136</v>
      </c>
      <c r="E103" s="6" t="s">
        <v>596</v>
      </c>
      <c r="F103" s="6" t="s">
        <v>597</v>
      </c>
      <c r="G103" s="6" t="s">
        <v>598</v>
      </c>
      <c r="H103" s="6">
        <v>1050633</v>
      </c>
      <c r="I103" s="9" t="s">
        <v>32</v>
      </c>
      <c r="J103" s="9" t="s">
        <v>134</v>
      </c>
      <c r="K103" s="6" t="s">
        <v>25</v>
      </c>
      <c r="L103" s="14" t="s">
        <v>0</v>
      </c>
    </row>
    <row r="104" spans="1:13">
      <c r="A104" s="5">
        <v>13835848</v>
      </c>
      <c r="B104" s="5" t="s">
        <v>599</v>
      </c>
      <c r="C104" s="6" t="s">
        <v>600</v>
      </c>
      <c r="D104" s="6" t="s">
        <v>601</v>
      </c>
      <c r="E104" s="6" t="s">
        <v>602</v>
      </c>
      <c r="F104" s="6" t="s">
        <v>603</v>
      </c>
      <c r="G104" s="6" t="s">
        <v>604</v>
      </c>
      <c r="H104" s="6">
        <v>1050581</v>
      </c>
      <c r="I104" s="9" t="s">
        <v>32</v>
      </c>
      <c r="J104" s="9" t="s">
        <v>277</v>
      </c>
      <c r="K104" s="6" t="s">
        <v>25</v>
      </c>
      <c r="L104" s="14" t="s">
        <v>34</v>
      </c>
    </row>
    <row r="105" spans="1:13">
      <c r="A105" s="5">
        <v>13077995</v>
      </c>
      <c r="B105" s="5" t="s">
        <v>605</v>
      </c>
      <c r="C105" s="6" t="s">
        <v>28</v>
      </c>
      <c r="D105" s="6" t="s">
        <v>606</v>
      </c>
      <c r="E105" s="8" t="s">
        <v>607</v>
      </c>
      <c r="F105" s="6" t="s">
        <v>608</v>
      </c>
      <c r="G105" s="7" t="s">
        <v>609</v>
      </c>
      <c r="H105" s="6">
        <v>1050529</v>
      </c>
      <c r="I105" s="9" t="s">
        <v>610</v>
      </c>
      <c r="J105" s="9" t="s">
        <v>610</v>
      </c>
      <c r="K105" s="6" t="s">
        <v>25</v>
      </c>
      <c r="L105" s="14" t="s">
        <v>34</v>
      </c>
      <c r="M105" s="4" t="s">
        <v>342</v>
      </c>
    </row>
    <row r="106" spans="1:13">
      <c r="A106" s="5">
        <v>14005554</v>
      </c>
      <c r="B106" s="5" t="s">
        <v>611</v>
      </c>
      <c r="C106" s="6" t="s">
        <v>612</v>
      </c>
      <c r="D106" s="6" t="s">
        <v>613</v>
      </c>
      <c r="E106" s="6" t="s">
        <v>345</v>
      </c>
      <c r="F106" s="6" t="s">
        <v>614</v>
      </c>
      <c r="G106" s="6" t="s">
        <v>615</v>
      </c>
      <c r="H106" s="6">
        <v>1050556</v>
      </c>
      <c r="I106" s="9" t="s">
        <v>165</v>
      </c>
      <c r="J106" s="9" t="s">
        <v>70</v>
      </c>
      <c r="K106" s="6" t="s">
        <v>25</v>
      </c>
      <c r="L106" s="11" t="s">
        <v>0</v>
      </c>
    </row>
    <row r="107" spans="1:13">
      <c r="A107" s="5">
        <v>10157067</v>
      </c>
      <c r="B107" s="5" t="s">
        <v>616</v>
      </c>
      <c r="C107" s="6" t="s">
        <v>375</v>
      </c>
      <c r="D107" s="6" t="s">
        <v>617</v>
      </c>
      <c r="E107" s="6" t="s">
        <v>618</v>
      </c>
      <c r="F107" s="6" t="s">
        <v>619</v>
      </c>
      <c r="G107" s="6" t="s">
        <v>620</v>
      </c>
      <c r="H107" s="6">
        <v>1050126</v>
      </c>
      <c r="I107" s="9" t="s">
        <v>32</v>
      </c>
      <c r="J107" s="9" t="s">
        <v>33</v>
      </c>
      <c r="K107" s="6" t="s">
        <v>25</v>
      </c>
      <c r="L107" s="14" t="s">
        <v>0</v>
      </c>
    </row>
    <row r="108" spans="1:13">
      <c r="A108" s="5">
        <v>17755770</v>
      </c>
      <c r="B108" s="5" t="s">
        <v>621</v>
      </c>
      <c r="C108" s="6" t="s">
        <v>622</v>
      </c>
      <c r="D108" s="6" t="s">
        <v>622</v>
      </c>
      <c r="E108" s="6" t="s">
        <v>623</v>
      </c>
      <c r="F108" s="6" t="s">
        <v>624</v>
      </c>
      <c r="G108" s="7" t="s">
        <v>625</v>
      </c>
      <c r="H108" s="6">
        <v>1050615</v>
      </c>
      <c r="I108" s="9" t="s">
        <v>91</v>
      </c>
      <c r="J108" s="13" t="s">
        <v>24</v>
      </c>
      <c r="K108" s="6" t="s">
        <v>25</v>
      </c>
      <c r="L108" s="11" t="s">
        <v>34</v>
      </c>
    </row>
    <row r="109" spans="1:13">
      <c r="A109" s="5">
        <v>13834251</v>
      </c>
      <c r="B109" s="5" t="s">
        <v>626</v>
      </c>
      <c r="C109" s="6" t="s">
        <v>301</v>
      </c>
      <c r="D109" s="6" t="s">
        <v>273</v>
      </c>
      <c r="E109" s="6" t="s">
        <v>627</v>
      </c>
      <c r="F109" s="6" t="s">
        <v>628</v>
      </c>
      <c r="G109" s="6" t="s">
        <v>629</v>
      </c>
      <c r="H109" s="6">
        <v>1050633</v>
      </c>
      <c r="I109" s="9" t="s">
        <v>32</v>
      </c>
      <c r="J109" s="9" t="s">
        <v>134</v>
      </c>
      <c r="K109" s="6" t="s">
        <v>25</v>
      </c>
      <c r="L109" s="14" t="s">
        <v>0</v>
      </c>
    </row>
    <row r="110" spans="1:13">
      <c r="A110" s="5">
        <v>16266873</v>
      </c>
      <c r="B110" s="5" t="s">
        <v>630</v>
      </c>
      <c r="C110" s="6" t="s">
        <v>631</v>
      </c>
      <c r="D110" s="6" t="s">
        <v>631</v>
      </c>
      <c r="E110" s="6" t="s">
        <v>262</v>
      </c>
      <c r="F110" s="6" t="s">
        <v>632</v>
      </c>
      <c r="G110" s="6" t="s">
        <v>633</v>
      </c>
      <c r="H110" s="6">
        <v>1050555</v>
      </c>
      <c r="I110" s="26" t="s">
        <v>165</v>
      </c>
      <c r="J110" s="26" t="s">
        <v>24</v>
      </c>
      <c r="K110" s="6" t="s">
        <v>25</v>
      </c>
      <c r="L110" s="11" t="s">
        <v>0</v>
      </c>
    </row>
    <row r="111" spans="1:13">
      <c r="A111" s="5">
        <v>10407614</v>
      </c>
      <c r="B111" s="5" t="s">
        <v>634</v>
      </c>
      <c r="C111" s="6" t="s">
        <v>635</v>
      </c>
      <c r="D111" s="6" t="s">
        <v>635</v>
      </c>
      <c r="E111" s="6" t="s">
        <v>636</v>
      </c>
      <c r="F111" s="6" t="s">
        <v>637</v>
      </c>
      <c r="G111" s="6" t="s">
        <v>638</v>
      </c>
      <c r="H111" s="6">
        <v>1050127</v>
      </c>
      <c r="I111" s="9" t="s">
        <v>32</v>
      </c>
      <c r="J111" s="9" t="s">
        <v>41</v>
      </c>
      <c r="K111" s="6" t="s">
        <v>25</v>
      </c>
      <c r="L111" s="14" t="s">
        <v>1</v>
      </c>
    </row>
    <row r="112" spans="1:13">
      <c r="A112" s="5">
        <v>13700526</v>
      </c>
      <c r="B112" s="5" t="s">
        <v>639</v>
      </c>
      <c r="C112" s="6" t="s">
        <v>640</v>
      </c>
      <c r="D112" s="6" t="s">
        <v>563</v>
      </c>
      <c r="E112" s="6" t="s">
        <v>641</v>
      </c>
      <c r="F112" s="6" t="s">
        <v>642</v>
      </c>
      <c r="G112" s="7" t="s">
        <v>643</v>
      </c>
      <c r="H112" s="6">
        <v>1050615</v>
      </c>
      <c r="I112" s="9" t="s">
        <v>91</v>
      </c>
      <c r="J112" s="9" t="s">
        <v>254</v>
      </c>
      <c r="K112" s="6" t="s">
        <v>25</v>
      </c>
      <c r="L112" s="11" t="s">
        <v>34</v>
      </c>
    </row>
    <row r="113" spans="1:12">
      <c r="A113" s="5">
        <v>12690098</v>
      </c>
      <c r="B113" s="5" t="s">
        <v>644</v>
      </c>
      <c r="C113" s="6" t="s">
        <v>640</v>
      </c>
      <c r="D113" s="6" t="s">
        <v>645</v>
      </c>
      <c r="E113" s="6" t="s">
        <v>646</v>
      </c>
      <c r="F113" s="6" t="s">
        <v>647</v>
      </c>
      <c r="G113" s="12" t="s">
        <v>648</v>
      </c>
      <c r="H113" s="6">
        <v>1050610</v>
      </c>
      <c r="I113" s="13" t="s">
        <v>69</v>
      </c>
      <c r="J113" s="13" t="s">
        <v>166</v>
      </c>
      <c r="K113" s="6" t="s">
        <v>25</v>
      </c>
      <c r="L113" s="14" t="s">
        <v>0</v>
      </c>
    </row>
    <row r="114" spans="1:12">
      <c r="A114" s="5">
        <v>8585356</v>
      </c>
      <c r="B114" s="5" t="s">
        <v>649</v>
      </c>
      <c r="C114" s="6" t="s">
        <v>640</v>
      </c>
      <c r="D114" s="6" t="s">
        <v>650</v>
      </c>
      <c r="E114" s="6" t="s">
        <v>651</v>
      </c>
      <c r="F114" s="6" t="s">
        <v>652</v>
      </c>
      <c r="G114" s="6" t="s">
        <v>653</v>
      </c>
      <c r="H114" s="10">
        <v>1050603</v>
      </c>
      <c r="I114" s="25" t="s">
        <v>572</v>
      </c>
      <c r="J114" s="25" t="s">
        <v>572</v>
      </c>
      <c r="K114" s="6" t="s">
        <v>25</v>
      </c>
      <c r="L114" s="10" t="s">
        <v>0</v>
      </c>
    </row>
    <row r="115" spans="1:12">
      <c r="A115" s="5">
        <v>11994656</v>
      </c>
      <c r="B115" s="5" t="s">
        <v>654</v>
      </c>
      <c r="C115" s="6" t="s">
        <v>601</v>
      </c>
      <c r="D115" s="6" t="s">
        <v>154</v>
      </c>
      <c r="E115" s="6" t="s">
        <v>655</v>
      </c>
      <c r="F115" s="6" t="s">
        <v>656</v>
      </c>
      <c r="G115" s="6" t="s">
        <v>657</v>
      </c>
      <c r="H115" s="6">
        <v>1050632</v>
      </c>
      <c r="I115" s="9" t="s">
        <v>77</v>
      </c>
      <c r="J115" s="9" t="s">
        <v>658</v>
      </c>
      <c r="K115" s="6" t="s">
        <v>25</v>
      </c>
      <c r="L115" s="11" t="s">
        <v>0</v>
      </c>
    </row>
    <row r="116" spans="1:12">
      <c r="A116" s="5">
        <v>13552988</v>
      </c>
      <c r="B116" s="5" t="s">
        <v>659</v>
      </c>
      <c r="C116" s="6" t="s">
        <v>660</v>
      </c>
      <c r="D116" s="6" t="s">
        <v>661</v>
      </c>
      <c r="E116" s="6" t="s">
        <v>662</v>
      </c>
      <c r="F116" s="6" t="s">
        <v>663</v>
      </c>
      <c r="G116" s="6" t="s">
        <v>664</v>
      </c>
      <c r="H116" s="6">
        <v>1050615</v>
      </c>
      <c r="I116" s="9" t="s">
        <v>91</v>
      </c>
      <c r="J116" s="13" t="s">
        <v>24</v>
      </c>
      <c r="K116" s="6" t="s">
        <v>25</v>
      </c>
      <c r="L116" s="11" t="s">
        <v>1</v>
      </c>
    </row>
    <row r="117" spans="1:12">
      <c r="A117" s="5">
        <v>9488820</v>
      </c>
      <c r="B117" s="5" t="s">
        <v>665</v>
      </c>
      <c r="C117" s="6" t="s">
        <v>37</v>
      </c>
      <c r="D117" s="6" t="s">
        <v>160</v>
      </c>
      <c r="E117" s="6" t="s">
        <v>169</v>
      </c>
      <c r="F117" s="6" t="s">
        <v>666</v>
      </c>
      <c r="G117" s="6" t="s">
        <v>667</v>
      </c>
      <c r="H117" s="8">
        <v>1050554</v>
      </c>
      <c r="I117" s="9" t="s">
        <v>4</v>
      </c>
      <c r="J117" s="9" t="s">
        <v>24</v>
      </c>
      <c r="K117" s="6" t="s">
        <v>25</v>
      </c>
      <c r="L117" s="11" t="s">
        <v>34</v>
      </c>
    </row>
    <row r="118" spans="1:12">
      <c r="A118" s="5">
        <v>9613720</v>
      </c>
      <c r="B118" s="5" t="s">
        <v>668</v>
      </c>
      <c r="C118" s="6" t="s">
        <v>37</v>
      </c>
      <c r="D118" s="6" t="s">
        <v>87</v>
      </c>
      <c r="E118" s="6" t="s">
        <v>669</v>
      </c>
      <c r="F118" s="6" t="s">
        <v>670</v>
      </c>
      <c r="G118" s="6" t="s">
        <v>671</v>
      </c>
      <c r="H118" s="6">
        <v>1050616</v>
      </c>
      <c r="I118" s="13" t="s">
        <v>91</v>
      </c>
      <c r="J118" s="13" t="s">
        <v>397</v>
      </c>
      <c r="K118" s="6" t="s">
        <v>25</v>
      </c>
      <c r="L118" s="11" t="s">
        <v>0</v>
      </c>
    </row>
    <row r="119" spans="1:12">
      <c r="A119" s="5">
        <v>11659510</v>
      </c>
      <c r="B119" s="5" t="s">
        <v>672</v>
      </c>
      <c r="C119" s="6" t="s">
        <v>37</v>
      </c>
      <c r="D119" s="6" t="s">
        <v>37</v>
      </c>
      <c r="E119" s="6" t="s">
        <v>673</v>
      </c>
      <c r="F119" s="6" t="s">
        <v>674</v>
      </c>
      <c r="G119" s="27" t="s">
        <v>675</v>
      </c>
      <c r="H119" s="6">
        <v>1050126</v>
      </c>
      <c r="I119" s="9" t="s">
        <v>32</v>
      </c>
      <c r="J119" s="9" t="s">
        <v>33</v>
      </c>
      <c r="K119" s="6" t="s">
        <v>25</v>
      </c>
      <c r="L119" s="14" t="s">
        <v>0</v>
      </c>
    </row>
    <row r="120" spans="1:12">
      <c r="A120" s="5">
        <v>11124307</v>
      </c>
      <c r="B120" s="5" t="s">
        <v>676</v>
      </c>
      <c r="C120" s="6" t="s">
        <v>37</v>
      </c>
      <c r="D120" s="6" t="s">
        <v>677</v>
      </c>
      <c r="E120" s="6" t="s">
        <v>678</v>
      </c>
      <c r="F120" s="6" t="s">
        <v>679</v>
      </c>
      <c r="G120" s="6" t="s">
        <v>680</v>
      </c>
      <c r="H120" s="6">
        <v>1050162</v>
      </c>
      <c r="I120" s="9" t="s">
        <v>32</v>
      </c>
      <c r="J120" s="9" t="s">
        <v>84</v>
      </c>
      <c r="K120" s="6" t="s">
        <v>25</v>
      </c>
      <c r="L120" s="14" t="s">
        <v>1</v>
      </c>
    </row>
    <row r="121" spans="1:12">
      <c r="A121" s="5">
        <v>13284709</v>
      </c>
      <c r="B121" s="5" t="s">
        <v>681</v>
      </c>
      <c r="C121" s="6" t="s">
        <v>37</v>
      </c>
      <c r="D121" s="6" t="s">
        <v>586</v>
      </c>
      <c r="E121" s="6" t="s">
        <v>682</v>
      </c>
      <c r="F121" s="6" t="s">
        <v>683</v>
      </c>
      <c r="G121" s="7" t="s">
        <v>684</v>
      </c>
      <c r="H121" s="6">
        <v>1050556</v>
      </c>
      <c r="I121" s="9" t="s">
        <v>165</v>
      </c>
      <c r="J121" s="9" t="s">
        <v>151</v>
      </c>
      <c r="K121" s="6" t="s">
        <v>25</v>
      </c>
      <c r="L121" s="11" t="s">
        <v>1</v>
      </c>
    </row>
    <row r="122" spans="1:12">
      <c r="A122" s="5">
        <v>15437429</v>
      </c>
      <c r="B122" s="5" t="s">
        <v>685</v>
      </c>
      <c r="C122" s="6" t="s">
        <v>686</v>
      </c>
      <c r="D122" s="6" t="s">
        <v>687</v>
      </c>
      <c r="E122" s="6" t="s">
        <v>688</v>
      </c>
      <c r="F122" s="6" t="s">
        <v>689</v>
      </c>
      <c r="G122" s="6" t="s">
        <v>690</v>
      </c>
      <c r="H122" s="6">
        <v>1050574</v>
      </c>
      <c r="I122" s="13" t="s">
        <v>77</v>
      </c>
      <c r="J122" s="13" t="s">
        <v>691</v>
      </c>
      <c r="K122" s="6" t="s">
        <v>25</v>
      </c>
      <c r="L122" s="11" t="s">
        <v>0</v>
      </c>
    </row>
    <row r="123" spans="1:12">
      <c r="A123" s="5">
        <v>11754811</v>
      </c>
      <c r="B123" s="5" t="s">
        <v>692</v>
      </c>
      <c r="C123" s="6" t="s">
        <v>693</v>
      </c>
      <c r="D123" s="6" t="s">
        <v>183</v>
      </c>
      <c r="E123" s="6" t="s">
        <v>694</v>
      </c>
      <c r="F123" s="6" t="s">
        <v>695</v>
      </c>
      <c r="G123" s="6" t="s">
        <v>696</v>
      </c>
      <c r="H123" s="6">
        <v>1050581</v>
      </c>
      <c r="I123" s="9" t="s">
        <v>32</v>
      </c>
      <c r="J123" s="9" t="s">
        <v>697</v>
      </c>
      <c r="K123" s="6" t="s">
        <v>25</v>
      </c>
      <c r="L123" s="14" t="s">
        <v>0</v>
      </c>
    </row>
    <row r="124" spans="1:12">
      <c r="A124" s="5">
        <v>12828475</v>
      </c>
      <c r="B124" s="5" t="s">
        <v>698</v>
      </c>
      <c r="C124" s="6" t="s">
        <v>693</v>
      </c>
      <c r="D124" s="6" t="s">
        <v>183</v>
      </c>
      <c r="E124" s="6" t="s">
        <v>699</v>
      </c>
      <c r="F124" s="6" t="s">
        <v>700</v>
      </c>
      <c r="G124" s="6" t="s">
        <v>701</v>
      </c>
      <c r="H124" s="6">
        <v>1050506</v>
      </c>
      <c r="I124" s="9" t="s">
        <v>32</v>
      </c>
      <c r="J124" s="9" t="s">
        <v>56</v>
      </c>
      <c r="K124" s="6" t="s">
        <v>25</v>
      </c>
      <c r="L124" s="14" t="s">
        <v>0</v>
      </c>
    </row>
    <row r="125" spans="1:12">
      <c r="A125" s="5">
        <v>11523497</v>
      </c>
      <c r="B125" s="5" t="s">
        <v>702</v>
      </c>
      <c r="C125" s="6" t="s">
        <v>693</v>
      </c>
      <c r="D125" s="6" t="s">
        <v>183</v>
      </c>
      <c r="E125" s="6" t="s">
        <v>345</v>
      </c>
      <c r="F125" s="6" t="s">
        <v>703</v>
      </c>
      <c r="G125" s="6" t="s">
        <v>704</v>
      </c>
      <c r="H125" s="6">
        <v>1050581</v>
      </c>
      <c r="I125" s="9" t="s">
        <v>32</v>
      </c>
      <c r="J125" s="9" t="s">
        <v>277</v>
      </c>
      <c r="K125" s="6" t="s">
        <v>25</v>
      </c>
      <c r="L125" s="14" t="s">
        <v>0</v>
      </c>
    </row>
    <row r="126" spans="1:12">
      <c r="A126" s="5">
        <v>7481602</v>
      </c>
      <c r="B126" s="5" t="s">
        <v>705</v>
      </c>
      <c r="C126" s="6" t="s">
        <v>693</v>
      </c>
      <c r="D126" s="6" t="s">
        <v>706</v>
      </c>
      <c r="E126" s="6" t="s">
        <v>707</v>
      </c>
      <c r="F126" s="6" t="s">
        <v>708</v>
      </c>
      <c r="G126" s="6" t="s">
        <v>709</v>
      </c>
      <c r="H126" s="6">
        <v>1050126</v>
      </c>
      <c r="I126" s="9" t="s">
        <v>32</v>
      </c>
      <c r="J126" s="9" t="s">
        <v>33</v>
      </c>
      <c r="K126" s="6" t="s">
        <v>25</v>
      </c>
      <c r="L126" s="14" t="s">
        <v>0</v>
      </c>
    </row>
    <row r="127" spans="1:12">
      <c r="A127" s="5">
        <v>12934132</v>
      </c>
      <c r="B127" s="5" t="s">
        <v>710</v>
      </c>
      <c r="C127" s="6" t="s">
        <v>711</v>
      </c>
      <c r="D127" s="6" t="s">
        <v>712</v>
      </c>
      <c r="E127" s="6" t="s">
        <v>713</v>
      </c>
      <c r="F127" s="6" t="s">
        <v>714</v>
      </c>
      <c r="G127" s="6" t="s">
        <v>715</v>
      </c>
      <c r="H127" s="10">
        <v>1050603</v>
      </c>
      <c r="I127" s="13" t="s">
        <v>572</v>
      </c>
      <c r="J127" s="13" t="s">
        <v>572</v>
      </c>
      <c r="K127" s="6" t="s">
        <v>25</v>
      </c>
      <c r="L127" s="10" t="s">
        <v>34</v>
      </c>
    </row>
    <row r="128" spans="1:12">
      <c r="A128" s="5">
        <v>4776546</v>
      </c>
      <c r="B128" s="5" t="s">
        <v>716</v>
      </c>
      <c r="C128" s="6" t="s">
        <v>717</v>
      </c>
      <c r="D128" s="6" t="s">
        <v>718</v>
      </c>
      <c r="E128" s="6" t="s">
        <v>719</v>
      </c>
      <c r="F128" s="6" t="s">
        <v>720</v>
      </c>
      <c r="G128" s="7" t="s">
        <v>721</v>
      </c>
      <c r="H128" s="6">
        <v>1050616</v>
      </c>
      <c r="I128" s="13" t="s">
        <v>91</v>
      </c>
      <c r="J128" s="13" t="s">
        <v>70</v>
      </c>
      <c r="K128" s="6" t="s">
        <v>25</v>
      </c>
      <c r="L128" s="11" t="s">
        <v>0</v>
      </c>
    </row>
    <row r="129" spans="1:12">
      <c r="A129" s="5">
        <v>10746078</v>
      </c>
      <c r="B129" s="5" t="s">
        <v>722</v>
      </c>
      <c r="C129" s="6" t="s">
        <v>515</v>
      </c>
      <c r="D129" s="6" t="s">
        <v>723</v>
      </c>
      <c r="E129" s="6" t="s">
        <v>724</v>
      </c>
      <c r="F129" s="6" t="s">
        <v>725</v>
      </c>
      <c r="G129" s="6" t="s">
        <v>726</v>
      </c>
      <c r="H129" s="6">
        <v>1050574</v>
      </c>
      <c r="I129" s="13" t="s">
        <v>48</v>
      </c>
      <c r="J129" s="13" t="s">
        <v>49</v>
      </c>
      <c r="K129" s="6" t="s">
        <v>25</v>
      </c>
      <c r="L129" s="14" t="s">
        <v>0</v>
      </c>
    </row>
    <row r="130" spans="1:12">
      <c r="A130" s="5">
        <v>15823421</v>
      </c>
      <c r="B130" s="5" t="s">
        <v>727</v>
      </c>
      <c r="C130" s="6" t="s">
        <v>728</v>
      </c>
      <c r="D130" s="6" t="s">
        <v>728</v>
      </c>
      <c r="E130" s="6" t="s">
        <v>729</v>
      </c>
      <c r="F130" s="6" t="s">
        <v>730</v>
      </c>
      <c r="G130" s="6" t="s">
        <v>731</v>
      </c>
      <c r="H130" s="6">
        <v>1050552</v>
      </c>
      <c r="I130" s="9" t="s">
        <v>326</v>
      </c>
      <c r="J130" s="9" t="s">
        <v>166</v>
      </c>
      <c r="K130" s="6" t="s">
        <v>25</v>
      </c>
      <c r="L130" s="11" t="s">
        <v>0</v>
      </c>
    </row>
    <row r="131" spans="1:12">
      <c r="A131" s="5">
        <v>9503712</v>
      </c>
      <c r="B131" s="5" t="s">
        <v>732</v>
      </c>
      <c r="C131" s="6" t="s">
        <v>733</v>
      </c>
      <c r="D131" s="6" t="s">
        <v>73</v>
      </c>
      <c r="E131" s="6" t="s">
        <v>734</v>
      </c>
      <c r="F131" s="6" t="s">
        <v>735</v>
      </c>
      <c r="G131" s="6" t="s">
        <v>736</v>
      </c>
      <c r="H131" s="6">
        <v>1050557</v>
      </c>
      <c r="I131" s="9" t="s">
        <v>253</v>
      </c>
      <c r="J131" s="9" t="s">
        <v>254</v>
      </c>
      <c r="K131" s="6" t="s">
        <v>25</v>
      </c>
      <c r="L131" s="11" t="s">
        <v>0</v>
      </c>
    </row>
    <row r="132" spans="1:12">
      <c r="A132" s="5">
        <v>8272509</v>
      </c>
      <c r="B132" s="5" t="s">
        <v>737</v>
      </c>
      <c r="C132" s="6" t="s">
        <v>738</v>
      </c>
      <c r="D132" s="6" t="s">
        <v>738</v>
      </c>
      <c r="E132" s="6" t="s">
        <v>739</v>
      </c>
      <c r="F132" s="6" t="s">
        <v>740</v>
      </c>
      <c r="G132" s="7" t="s">
        <v>741</v>
      </c>
      <c r="H132" s="6">
        <v>1050616</v>
      </c>
      <c r="I132" s="9" t="s">
        <v>91</v>
      </c>
      <c r="J132" s="13" t="s">
        <v>24</v>
      </c>
      <c r="K132" s="6" t="s">
        <v>25</v>
      </c>
      <c r="L132" s="11" t="s">
        <v>0</v>
      </c>
    </row>
    <row r="133" spans="1:12">
      <c r="A133" s="5">
        <v>13681026</v>
      </c>
      <c r="B133" s="5" t="s">
        <v>742</v>
      </c>
      <c r="C133" s="6" t="s">
        <v>743</v>
      </c>
      <c r="D133" s="6" t="s">
        <v>744</v>
      </c>
      <c r="E133" s="6" t="s">
        <v>745</v>
      </c>
      <c r="F133" s="6" t="s">
        <v>746</v>
      </c>
      <c r="G133" s="6" t="s">
        <v>747</v>
      </c>
      <c r="H133" s="6">
        <v>1050581</v>
      </c>
      <c r="I133" s="9" t="s">
        <v>32</v>
      </c>
      <c r="J133" s="9" t="s">
        <v>277</v>
      </c>
      <c r="K133" s="6" t="s">
        <v>25</v>
      </c>
      <c r="L133" s="11" t="s">
        <v>34</v>
      </c>
    </row>
    <row r="134" spans="1:12">
      <c r="A134" s="5">
        <v>14017495</v>
      </c>
      <c r="B134" s="5" t="s">
        <v>748</v>
      </c>
      <c r="C134" s="6" t="s">
        <v>435</v>
      </c>
      <c r="D134" s="6" t="s">
        <v>183</v>
      </c>
      <c r="E134" s="6" t="s">
        <v>749</v>
      </c>
      <c r="F134" s="6" t="s">
        <v>750</v>
      </c>
      <c r="G134" s="6" t="s">
        <v>751</v>
      </c>
      <c r="H134" s="6">
        <v>1050126</v>
      </c>
      <c r="I134" s="9" t="s">
        <v>32</v>
      </c>
      <c r="J134" s="9" t="s">
        <v>33</v>
      </c>
      <c r="K134" s="6" t="s">
        <v>25</v>
      </c>
      <c r="L134" s="14" t="s">
        <v>34</v>
      </c>
    </row>
    <row r="135" spans="1:12">
      <c r="A135" s="5">
        <v>17543156</v>
      </c>
      <c r="B135" s="5" t="s">
        <v>752</v>
      </c>
      <c r="C135" s="6" t="s">
        <v>753</v>
      </c>
      <c r="D135" s="6" t="s">
        <v>754</v>
      </c>
      <c r="E135" s="6" t="s">
        <v>755</v>
      </c>
      <c r="F135" s="6" t="s">
        <v>756</v>
      </c>
      <c r="G135" s="6" t="s">
        <v>757</v>
      </c>
      <c r="H135" s="6">
        <v>1050609</v>
      </c>
      <c r="I135" s="9" t="s">
        <v>69</v>
      </c>
      <c r="J135" s="9" t="s">
        <v>24</v>
      </c>
      <c r="K135" s="6" t="s">
        <v>25</v>
      </c>
      <c r="L135" s="11" t="s">
        <v>0</v>
      </c>
    </row>
    <row r="136" spans="1:12">
      <c r="A136" s="5">
        <v>11054986</v>
      </c>
      <c r="B136" s="5" t="s">
        <v>758</v>
      </c>
      <c r="C136" s="6" t="s">
        <v>759</v>
      </c>
      <c r="D136" s="6" t="s">
        <v>760</v>
      </c>
      <c r="E136" s="6" t="s">
        <v>761</v>
      </c>
      <c r="F136" s="6" t="s">
        <v>762</v>
      </c>
      <c r="G136" s="6" t="s">
        <v>763</v>
      </c>
      <c r="H136" s="6">
        <v>1050554</v>
      </c>
      <c r="I136" s="9" t="s">
        <v>4</v>
      </c>
      <c r="J136" s="9" t="s">
        <v>151</v>
      </c>
      <c r="K136" s="6" t="s">
        <v>25</v>
      </c>
      <c r="L136" s="11" t="s">
        <v>1</v>
      </c>
    </row>
    <row r="137" spans="1:12">
      <c r="A137" s="5">
        <v>12898844</v>
      </c>
      <c r="B137" s="5" t="s">
        <v>764</v>
      </c>
      <c r="C137" s="6" t="s">
        <v>130</v>
      </c>
      <c r="D137" s="6" t="s">
        <v>765</v>
      </c>
      <c r="E137" s="6" t="s">
        <v>766</v>
      </c>
      <c r="F137" s="6" t="s">
        <v>767</v>
      </c>
      <c r="G137" s="6" t="s">
        <v>768</v>
      </c>
      <c r="H137" s="6">
        <v>1050604</v>
      </c>
      <c r="I137" s="9" t="s">
        <v>769</v>
      </c>
      <c r="J137" s="9" t="s">
        <v>769</v>
      </c>
      <c r="K137" s="6" t="s">
        <v>25</v>
      </c>
      <c r="L137" s="11" t="s">
        <v>0</v>
      </c>
    </row>
    <row r="138" spans="1:12">
      <c r="A138" s="5">
        <v>10876404</v>
      </c>
      <c r="B138" s="5" t="s">
        <v>770</v>
      </c>
      <c r="C138" s="6" t="s">
        <v>130</v>
      </c>
      <c r="D138" s="6" t="s">
        <v>771</v>
      </c>
      <c r="E138" s="6" t="s">
        <v>772</v>
      </c>
      <c r="F138" s="6" t="s">
        <v>773</v>
      </c>
      <c r="G138" s="6" t="s">
        <v>774</v>
      </c>
      <c r="H138" s="6">
        <v>1050551</v>
      </c>
      <c r="I138" s="9" t="s">
        <v>326</v>
      </c>
      <c r="J138" s="9" t="s">
        <v>254</v>
      </c>
      <c r="K138" s="6" t="s">
        <v>25</v>
      </c>
      <c r="L138" s="18" t="s">
        <v>0</v>
      </c>
    </row>
    <row r="139" spans="1:12">
      <c r="A139" s="5">
        <v>7815083</v>
      </c>
      <c r="B139" s="5" t="s">
        <v>775</v>
      </c>
      <c r="C139" s="6" t="s">
        <v>130</v>
      </c>
      <c r="D139" s="6" t="s">
        <v>776</v>
      </c>
      <c r="E139" s="6" t="s">
        <v>777</v>
      </c>
      <c r="F139" s="6" t="s">
        <v>778</v>
      </c>
      <c r="G139" s="6" t="s">
        <v>779</v>
      </c>
      <c r="H139" s="6">
        <v>1050554</v>
      </c>
      <c r="I139" s="9" t="s">
        <v>4</v>
      </c>
      <c r="J139" s="9" t="s">
        <v>166</v>
      </c>
      <c r="K139" s="6" t="s">
        <v>25</v>
      </c>
      <c r="L139" s="11" t="s">
        <v>34</v>
      </c>
    </row>
    <row r="140" spans="1:12">
      <c r="A140" s="5">
        <v>6646724</v>
      </c>
      <c r="B140" s="5" t="s">
        <v>780</v>
      </c>
      <c r="C140" s="6" t="s">
        <v>130</v>
      </c>
      <c r="D140" s="6" t="s">
        <v>776</v>
      </c>
      <c r="E140" s="6" t="s">
        <v>184</v>
      </c>
      <c r="F140" s="6" t="s">
        <v>781</v>
      </c>
      <c r="G140" s="6" t="s">
        <v>782</v>
      </c>
      <c r="H140" s="6">
        <v>1050555</v>
      </c>
      <c r="I140" s="9" t="s">
        <v>165</v>
      </c>
      <c r="J140" s="9" t="s">
        <v>254</v>
      </c>
      <c r="K140" s="6" t="s">
        <v>25</v>
      </c>
      <c r="L140" s="11" t="s">
        <v>0</v>
      </c>
    </row>
    <row r="141" spans="1:12">
      <c r="A141" s="5">
        <v>9488801</v>
      </c>
      <c r="B141" s="5" t="s">
        <v>783</v>
      </c>
      <c r="C141" s="6" t="s">
        <v>130</v>
      </c>
      <c r="D141" s="6" t="s">
        <v>776</v>
      </c>
      <c r="E141" s="6" t="s">
        <v>784</v>
      </c>
      <c r="F141" s="6" t="s">
        <v>785</v>
      </c>
      <c r="G141" s="6" t="s">
        <v>786</v>
      </c>
      <c r="H141" s="6">
        <v>1050555</v>
      </c>
      <c r="I141" s="9" t="s">
        <v>165</v>
      </c>
      <c r="J141" s="9" t="s">
        <v>254</v>
      </c>
      <c r="K141" s="6" t="s">
        <v>25</v>
      </c>
      <c r="L141" s="11" t="s">
        <v>34</v>
      </c>
    </row>
    <row r="142" spans="1:12">
      <c r="A142" s="5">
        <v>15786314</v>
      </c>
      <c r="B142" s="5" t="s">
        <v>787</v>
      </c>
      <c r="C142" s="6" t="s">
        <v>130</v>
      </c>
      <c r="D142" s="6" t="s">
        <v>195</v>
      </c>
      <c r="E142" s="6" t="s">
        <v>502</v>
      </c>
      <c r="F142" s="6" t="s">
        <v>788</v>
      </c>
      <c r="G142" s="6" t="s">
        <v>789</v>
      </c>
      <c r="H142" s="6">
        <v>1050616</v>
      </c>
      <c r="I142" s="13" t="s">
        <v>91</v>
      </c>
      <c r="J142" s="13" t="s">
        <v>92</v>
      </c>
      <c r="K142" s="6" t="s">
        <v>25</v>
      </c>
      <c r="L142" s="11" t="s">
        <v>0</v>
      </c>
    </row>
    <row r="143" spans="1:12">
      <c r="A143" s="5">
        <v>16266817</v>
      </c>
      <c r="B143" s="5" t="s">
        <v>790</v>
      </c>
      <c r="C143" s="6" t="s">
        <v>791</v>
      </c>
      <c r="D143" s="6" t="s">
        <v>792</v>
      </c>
      <c r="E143" s="6" t="s">
        <v>793</v>
      </c>
      <c r="F143" s="6" t="s">
        <v>794</v>
      </c>
      <c r="G143" s="6" t="s">
        <v>795</v>
      </c>
      <c r="H143" s="6">
        <v>1050127</v>
      </c>
      <c r="I143" s="9" t="s">
        <v>32</v>
      </c>
      <c r="J143" s="9" t="s">
        <v>41</v>
      </c>
      <c r="K143" s="6" t="s">
        <v>25</v>
      </c>
      <c r="L143" s="14" t="s">
        <v>0</v>
      </c>
    </row>
    <row r="144" spans="1:12">
      <c r="A144" s="5">
        <v>20342651</v>
      </c>
      <c r="B144" s="5" t="s">
        <v>796</v>
      </c>
      <c r="C144" s="6" t="s">
        <v>791</v>
      </c>
      <c r="D144" s="6" t="s">
        <v>797</v>
      </c>
      <c r="E144" s="6" t="s">
        <v>798</v>
      </c>
      <c r="F144" s="6" t="s">
        <v>799</v>
      </c>
      <c r="G144" s="7" t="s">
        <v>800</v>
      </c>
      <c r="H144" s="6">
        <v>1050574</v>
      </c>
      <c r="I144" s="13" t="s">
        <v>48</v>
      </c>
      <c r="J144" s="13" t="s">
        <v>49</v>
      </c>
      <c r="K144" s="6" t="s">
        <v>25</v>
      </c>
      <c r="L144" s="14" t="s">
        <v>34</v>
      </c>
    </row>
    <row r="145" spans="1:13">
      <c r="A145" s="5">
        <v>9608532</v>
      </c>
      <c r="B145" s="5" t="s">
        <v>801</v>
      </c>
      <c r="C145" s="6" t="s">
        <v>802</v>
      </c>
      <c r="D145" s="6" t="s">
        <v>803</v>
      </c>
      <c r="E145" s="6" t="s">
        <v>345</v>
      </c>
      <c r="F145" s="6" t="s">
        <v>804</v>
      </c>
      <c r="G145" s="6" t="s">
        <v>805</v>
      </c>
      <c r="H145" s="10">
        <v>1050603</v>
      </c>
      <c r="I145" s="13" t="s">
        <v>572</v>
      </c>
      <c r="J145" s="13" t="s">
        <v>572</v>
      </c>
      <c r="K145" s="6" t="s">
        <v>25</v>
      </c>
      <c r="L145" s="18" t="s">
        <v>1</v>
      </c>
    </row>
    <row r="146" spans="1:13">
      <c r="A146" s="5">
        <v>12020450</v>
      </c>
      <c r="B146" s="5" t="s">
        <v>806</v>
      </c>
      <c r="C146" s="6" t="s">
        <v>807</v>
      </c>
      <c r="D146" s="6" t="s">
        <v>791</v>
      </c>
      <c r="E146" s="6" t="s">
        <v>808</v>
      </c>
      <c r="F146" s="6" t="s">
        <v>809</v>
      </c>
      <c r="G146" s="6" t="s">
        <v>810</v>
      </c>
      <c r="H146" s="6">
        <v>1050126</v>
      </c>
      <c r="I146" s="9" t="s">
        <v>32</v>
      </c>
      <c r="J146" s="9" t="s">
        <v>33</v>
      </c>
      <c r="K146" s="6" t="s">
        <v>25</v>
      </c>
      <c r="L146" s="14" t="s">
        <v>0</v>
      </c>
    </row>
    <row r="147" spans="1:13">
      <c r="A147" s="5">
        <v>6528911</v>
      </c>
      <c r="B147" s="5" t="s">
        <v>811</v>
      </c>
      <c r="C147" s="6" t="s">
        <v>812</v>
      </c>
      <c r="D147" s="6" t="s">
        <v>28</v>
      </c>
      <c r="E147" s="6" t="s">
        <v>262</v>
      </c>
      <c r="F147" s="6" t="s">
        <v>813</v>
      </c>
      <c r="G147" s="6" t="s">
        <v>814</v>
      </c>
      <c r="H147" s="8">
        <v>1050554</v>
      </c>
      <c r="I147" s="9" t="s">
        <v>4</v>
      </c>
      <c r="J147" s="26" t="s">
        <v>397</v>
      </c>
      <c r="K147" s="6" t="s">
        <v>25</v>
      </c>
      <c r="L147" s="11" t="s">
        <v>0</v>
      </c>
    </row>
    <row r="148" spans="1:13">
      <c r="A148" s="5">
        <v>6010169</v>
      </c>
      <c r="B148" s="5" t="s">
        <v>815</v>
      </c>
      <c r="C148" s="6" t="s">
        <v>812</v>
      </c>
      <c r="D148" s="6" t="s">
        <v>816</v>
      </c>
      <c r="E148" s="6" t="s">
        <v>559</v>
      </c>
      <c r="F148" s="6" t="s">
        <v>817</v>
      </c>
      <c r="G148" s="6" t="s">
        <v>818</v>
      </c>
      <c r="H148" s="6">
        <v>1050616</v>
      </c>
      <c r="I148" s="9" t="s">
        <v>91</v>
      </c>
      <c r="J148" s="9" t="s">
        <v>70</v>
      </c>
      <c r="K148" s="6" t="s">
        <v>25</v>
      </c>
      <c r="L148" s="11" t="s">
        <v>0</v>
      </c>
    </row>
    <row r="149" spans="1:13">
      <c r="A149" s="5">
        <v>6940813</v>
      </c>
      <c r="B149" s="5" t="s">
        <v>819</v>
      </c>
      <c r="C149" s="6" t="s">
        <v>820</v>
      </c>
      <c r="D149" s="6" t="s">
        <v>821</v>
      </c>
      <c r="E149" s="6" t="s">
        <v>822</v>
      </c>
      <c r="F149" s="6" t="s">
        <v>823</v>
      </c>
      <c r="G149" s="6" t="s">
        <v>824</v>
      </c>
      <c r="H149" s="6">
        <v>1050555</v>
      </c>
      <c r="I149" s="9" t="s">
        <v>165</v>
      </c>
      <c r="J149" s="9" t="s">
        <v>24</v>
      </c>
      <c r="K149" s="6" t="s">
        <v>25</v>
      </c>
      <c r="L149" s="11" t="s">
        <v>1</v>
      </c>
    </row>
    <row r="150" spans="1:13">
      <c r="A150" s="5">
        <v>15444951</v>
      </c>
      <c r="B150" s="28" t="s">
        <v>825</v>
      </c>
      <c r="C150" s="6" t="s">
        <v>820</v>
      </c>
      <c r="D150" s="6" t="s">
        <v>118</v>
      </c>
      <c r="E150" s="6" t="s">
        <v>826</v>
      </c>
      <c r="F150" s="6" t="s">
        <v>827</v>
      </c>
      <c r="G150" s="6" t="s">
        <v>828</v>
      </c>
      <c r="H150" s="6">
        <v>1050633</v>
      </c>
      <c r="I150" s="9" t="s">
        <v>32</v>
      </c>
      <c r="J150" s="9" t="s">
        <v>134</v>
      </c>
      <c r="K150" s="6" t="s">
        <v>25</v>
      </c>
      <c r="L150" s="14" t="s">
        <v>1</v>
      </c>
    </row>
    <row r="151" spans="1:13">
      <c r="A151" s="5">
        <v>13297988</v>
      </c>
      <c r="B151" s="5" t="s">
        <v>829</v>
      </c>
      <c r="C151" s="6" t="s">
        <v>332</v>
      </c>
      <c r="D151" s="6" t="s">
        <v>830</v>
      </c>
      <c r="E151" s="6" t="s">
        <v>142</v>
      </c>
      <c r="F151" s="6" t="s">
        <v>831</v>
      </c>
      <c r="G151" s="6" t="s">
        <v>832</v>
      </c>
      <c r="H151" s="6">
        <v>1050609</v>
      </c>
      <c r="I151" s="9" t="s">
        <v>69</v>
      </c>
      <c r="J151" s="9" t="s">
        <v>254</v>
      </c>
      <c r="K151" s="6" t="s">
        <v>25</v>
      </c>
      <c r="L151" s="14" t="s">
        <v>34</v>
      </c>
    </row>
    <row r="152" spans="1:13">
      <c r="A152" s="5">
        <v>16149604</v>
      </c>
      <c r="B152" s="5" t="s">
        <v>833</v>
      </c>
      <c r="C152" s="6" t="s">
        <v>332</v>
      </c>
      <c r="D152" s="6" t="s">
        <v>613</v>
      </c>
      <c r="E152" s="6" t="s">
        <v>646</v>
      </c>
      <c r="F152" s="6" t="s">
        <v>834</v>
      </c>
      <c r="G152" s="6" t="s">
        <v>835</v>
      </c>
      <c r="H152" s="6">
        <v>1050529</v>
      </c>
      <c r="I152" s="9" t="s">
        <v>246</v>
      </c>
      <c r="J152" s="9" t="s">
        <v>246</v>
      </c>
      <c r="K152" s="6" t="s">
        <v>25</v>
      </c>
      <c r="L152" s="14" t="s">
        <v>1</v>
      </c>
      <c r="M152" s="4" t="s">
        <v>247</v>
      </c>
    </row>
    <row r="153" spans="1:13">
      <c r="A153" s="5">
        <v>16408490</v>
      </c>
      <c r="B153" s="5" t="s">
        <v>836</v>
      </c>
      <c r="C153" s="6" t="s">
        <v>837</v>
      </c>
      <c r="D153" s="6" t="s">
        <v>838</v>
      </c>
      <c r="E153" s="6" t="s">
        <v>839</v>
      </c>
      <c r="F153" s="6" t="s">
        <v>840</v>
      </c>
      <c r="G153" s="6" t="s">
        <v>841</v>
      </c>
      <c r="H153" s="6">
        <v>1050502</v>
      </c>
      <c r="I153" s="29" t="s">
        <v>842</v>
      </c>
      <c r="J153" s="29" t="s">
        <v>842</v>
      </c>
      <c r="K153" s="6" t="s">
        <v>25</v>
      </c>
      <c r="L153" s="11" t="s">
        <v>0</v>
      </c>
    </row>
    <row r="154" spans="1:13">
      <c r="A154" s="5">
        <v>7721223</v>
      </c>
      <c r="B154" s="5" t="s">
        <v>843</v>
      </c>
      <c r="C154" s="6" t="s">
        <v>844</v>
      </c>
      <c r="D154" s="6" t="s">
        <v>754</v>
      </c>
      <c r="E154" s="6" t="s">
        <v>845</v>
      </c>
      <c r="F154" s="6" t="s">
        <v>846</v>
      </c>
      <c r="G154" s="6" t="s">
        <v>847</v>
      </c>
      <c r="H154" s="6">
        <v>1050633</v>
      </c>
      <c r="I154" s="9" t="s">
        <v>32</v>
      </c>
      <c r="J154" s="9" t="s">
        <v>134</v>
      </c>
      <c r="K154" s="6" t="s">
        <v>25</v>
      </c>
      <c r="L154" s="11" t="s">
        <v>1</v>
      </c>
    </row>
    <row r="155" spans="1:13">
      <c r="A155" s="5">
        <v>12051254</v>
      </c>
      <c r="B155" s="5" t="s">
        <v>848</v>
      </c>
      <c r="C155" s="6" t="s">
        <v>849</v>
      </c>
      <c r="D155" s="6" t="s">
        <v>383</v>
      </c>
      <c r="E155" s="6" t="s">
        <v>66</v>
      </c>
      <c r="F155" s="6" t="s">
        <v>850</v>
      </c>
      <c r="G155" s="6" t="s">
        <v>851</v>
      </c>
      <c r="H155" s="6">
        <v>1050161</v>
      </c>
      <c r="I155" s="9" t="s">
        <v>32</v>
      </c>
      <c r="J155" s="9" t="s">
        <v>852</v>
      </c>
      <c r="K155" s="6" t="s">
        <v>25</v>
      </c>
      <c r="L155" s="14" t="s">
        <v>0</v>
      </c>
    </row>
    <row r="156" spans="1:13">
      <c r="A156" s="5">
        <v>7913597</v>
      </c>
      <c r="B156" s="5" t="s">
        <v>853</v>
      </c>
      <c r="C156" s="6" t="s">
        <v>586</v>
      </c>
      <c r="D156" s="6" t="s">
        <v>854</v>
      </c>
      <c r="E156" s="6" t="s">
        <v>855</v>
      </c>
      <c r="F156" s="6" t="s">
        <v>856</v>
      </c>
      <c r="G156" s="6" t="s">
        <v>857</v>
      </c>
      <c r="H156" s="6">
        <v>1050127</v>
      </c>
      <c r="I156" s="9" t="s">
        <v>32</v>
      </c>
      <c r="J156" s="9" t="s">
        <v>41</v>
      </c>
      <c r="K156" s="6" t="s">
        <v>25</v>
      </c>
      <c r="L156" s="14" t="s">
        <v>0</v>
      </c>
    </row>
    <row r="157" spans="1:13">
      <c r="A157" s="5">
        <v>10168958</v>
      </c>
      <c r="B157" s="5" t="s">
        <v>858</v>
      </c>
      <c r="C157" s="6" t="s">
        <v>586</v>
      </c>
      <c r="D157" s="6" t="s">
        <v>859</v>
      </c>
      <c r="E157" s="6" t="s">
        <v>545</v>
      </c>
      <c r="F157" s="6" t="s">
        <v>860</v>
      </c>
      <c r="G157" s="6" t="s">
        <v>861</v>
      </c>
      <c r="H157" s="6">
        <v>1050633</v>
      </c>
      <c r="I157" s="9" t="s">
        <v>32</v>
      </c>
      <c r="J157" s="9" t="s">
        <v>134</v>
      </c>
      <c r="K157" s="6" t="s">
        <v>25</v>
      </c>
      <c r="L157" s="14" t="s">
        <v>34</v>
      </c>
    </row>
    <row r="158" spans="1:13">
      <c r="A158" s="5">
        <v>9741880</v>
      </c>
      <c r="B158" s="5" t="s">
        <v>862</v>
      </c>
      <c r="C158" s="6" t="s">
        <v>863</v>
      </c>
      <c r="D158" s="6" t="s">
        <v>864</v>
      </c>
      <c r="E158" s="6" t="s">
        <v>865</v>
      </c>
      <c r="F158" s="6" t="s">
        <v>866</v>
      </c>
      <c r="G158" s="6" t="s">
        <v>867</v>
      </c>
      <c r="H158" s="6">
        <v>1050126</v>
      </c>
      <c r="I158" s="9" t="s">
        <v>32</v>
      </c>
      <c r="J158" s="9" t="s">
        <v>33</v>
      </c>
      <c r="K158" s="6" t="s">
        <v>25</v>
      </c>
      <c r="L158" s="14" t="s">
        <v>34</v>
      </c>
    </row>
    <row r="159" spans="1:13">
      <c r="A159" s="5">
        <v>15444698</v>
      </c>
      <c r="B159" s="5" t="s">
        <v>868</v>
      </c>
      <c r="C159" s="6" t="s">
        <v>869</v>
      </c>
      <c r="D159" s="6" t="s">
        <v>870</v>
      </c>
      <c r="E159" s="6" t="s">
        <v>871</v>
      </c>
      <c r="F159" s="6" t="s">
        <v>872</v>
      </c>
      <c r="G159" s="6" t="s">
        <v>873</v>
      </c>
      <c r="H159" s="6">
        <v>1050127</v>
      </c>
      <c r="I159" s="9" t="s">
        <v>32</v>
      </c>
      <c r="J159" s="9" t="s">
        <v>41</v>
      </c>
      <c r="K159" s="6" t="s">
        <v>25</v>
      </c>
      <c r="L159" s="14" t="s">
        <v>34</v>
      </c>
    </row>
    <row r="160" spans="1:13">
      <c r="A160" s="5">
        <v>13553033</v>
      </c>
      <c r="B160" s="5" t="s">
        <v>874</v>
      </c>
      <c r="C160" s="6" t="s">
        <v>875</v>
      </c>
      <c r="D160" s="6" t="s">
        <v>760</v>
      </c>
      <c r="E160" s="6" t="s">
        <v>279</v>
      </c>
      <c r="F160" s="6" t="s">
        <v>876</v>
      </c>
      <c r="G160" s="6" t="s">
        <v>877</v>
      </c>
      <c r="H160" s="6">
        <v>1050610</v>
      </c>
      <c r="I160" s="13" t="s">
        <v>69</v>
      </c>
      <c r="J160" s="13" t="s">
        <v>166</v>
      </c>
      <c r="K160" s="6" t="s">
        <v>25</v>
      </c>
      <c r="L160" s="14" t="s">
        <v>1</v>
      </c>
    </row>
    <row r="161" spans="1:13">
      <c r="A161" s="5">
        <v>16697450</v>
      </c>
      <c r="B161" s="5" t="s">
        <v>878</v>
      </c>
      <c r="C161" s="6" t="s">
        <v>80</v>
      </c>
      <c r="D161" s="6" t="s">
        <v>363</v>
      </c>
      <c r="E161" s="6" t="s">
        <v>879</v>
      </c>
      <c r="F161" s="6" t="s">
        <v>880</v>
      </c>
      <c r="G161" s="6" t="s">
        <v>881</v>
      </c>
      <c r="H161" s="6">
        <v>1050127</v>
      </c>
      <c r="I161" s="9" t="s">
        <v>32</v>
      </c>
      <c r="J161" s="9" t="s">
        <v>41</v>
      </c>
      <c r="K161" s="6" t="s">
        <v>25</v>
      </c>
      <c r="L161" s="14" t="s">
        <v>0</v>
      </c>
    </row>
    <row r="162" spans="1:13">
      <c r="A162" s="5">
        <v>14185109</v>
      </c>
      <c r="B162" s="5" t="s">
        <v>882</v>
      </c>
      <c r="C162" s="6" t="s">
        <v>80</v>
      </c>
      <c r="D162" s="6" t="s">
        <v>403</v>
      </c>
      <c r="E162" s="6" t="s">
        <v>883</v>
      </c>
      <c r="F162" s="6" t="s">
        <v>884</v>
      </c>
      <c r="G162" s="6" t="s">
        <v>885</v>
      </c>
      <c r="H162" s="6">
        <v>1050162</v>
      </c>
      <c r="I162" s="9" t="s">
        <v>32</v>
      </c>
      <c r="J162" s="9" t="s">
        <v>84</v>
      </c>
      <c r="K162" s="6" t="s">
        <v>25</v>
      </c>
      <c r="L162" s="14" t="s">
        <v>34</v>
      </c>
    </row>
    <row r="163" spans="1:13">
      <c r="A163" s="5">
        <v>16029464</v>
      </c>
      <c r="B163" s="5" t="s">
        <v>886</v>
      </c>
      <c r="C163" s="6" t="s">
        <v>80</v>
      </c>
      <c r="D163" s="6" t="s">
        <v>318</v>
      </c>
      <c r="E163" s="6" t="s">
        <v>887</v>
      </c>
      <c r="F163" s="6" t="s">
        <v>888</v>
      </c>
      <c r="G163" s="6" t="s">
        <v>889</v>
      </c>
      <c r="H163" s="6">
        <v>1050632</v>
      </c>
      <c r="I163" s="13" t="s">
        <v>77</v>
      </c>
      <c r="J163" s="13" t="s">
        <v>519</v>
      </c>
      <c r="K163" s="6" t="s">
        <v>25</v>
      </c>
      <c r="L163" s="11" t="s">
        <v>0</v>
      </c>
    </row>
    <row r="164" spans="1:13">
      <c r="A164" s="5">
        <v>10309203</v>
      </c>
      <c r="B164" s="5" t="s">
        <v>890</v>
      </c>
      <c r="C164" s="6" t="s">
        <v>80</v>
      </c>
      <c r="D164" s="6" t="s">
        <v>891</v>
      </c>
      <c r="E164" s="6" t="s">
        <v>892</v>
      </c>
      <c r="F164" s="6" t="s">
        <v>893</v>
      </c>
      <c r="G164" s="6" t="s">
        <v>894</v>
      </c>
      <c r="H164" s="6">
        <v>1050633</v>
      </c>
      <c r="I164" s="9" t="s">
        <v>32</v>
      </c>
      <c r="J164" s="9" t="s">
        <v>134</v>
      </c>
      <c r="K164" s="6" t="s">
        <v>25</v>
      </c>
      <c r="L164" s="14" t="s">
        <v>0</v>
      </c>
    </row>
    <row r="165" spans="1:13">
      <c r="A165" s="5">
        <v>18074081</v>
      </c>
      <c r="B165" s="5" t="s">
        <v>895</v>
      </c>
      <c r="C165" s="6" t="s">
        <v>80</v>
      </c>
      <c r="D165" s="6" t="s">
        <v>896</v>
      </c>
      <c r="E165" s="6" t="s">
        <v>897</v>
      </c>
      <c r="F165" s="6" t="s">
        <v>898</v>
      </c>
      <c r="G165" s="6" t="s">
        <v>899</v>
      </c>
      <c r="H165" s="8">
        <v>1050609</v>
      </c>
      <c r="I165" s="19" t="s">
        <v>69</v>
      </c>
      <c r="J165" s="9" t="s">
        <v>24</v>
      </c>
      <c r="K165" s="6" t="s">
        <v>25</v>
      </c>
      <c r="L165" s="18" t="s">
        <v>34</v>
      </c>
    </row>
    <row r="166" spans="1:13">
      <c r="A166" s="5">
        <v>9806171</v>
      </c>
      <c r="B166" s="5" t="s">
        <v>900</v>
      </c>
      <c r="C166" s="6" t="s">
        <v>901</v>
      </c>
      <c r="D166" s="6" t="s">
        <v>771</v>
      </c>
      <c r="E166" s="6" t="s">
        <v>481</v>
      </c>
      <c r="F166" s="6" t="s">
        <v>902</v>
      </c>
      <c r="G166" s="6" t="s">
        <v>903</v>
      </c>
      <c r="H166" s="6">
        <v>1050595</v>
      </c>
      <c r="I166" s="9" t="s">
        <v>904</v>
      </c>
      <c r="J166" s="9" t="s">
        <v>904</v>
      </c>
      <c r="K166" s="6" t="s">
        <v>25</v>
      </c>
      <c r="L166" s="11" t="s">
        <v>34</v>
      </c>
    </row>
    <row r="167" spans="1:13">
      <c r="A167" s="5">
        <v>16296340</v>
      </c>
      <c r="B167" s="5" t="s">
        <v>905</v>
      </c>
      <c r="C167" s="6" t="s">
        <v>906</v>
      </c>
      <c r="D167" s="6" t="s">
        <v>87</v>
      </c>
      <c r="E167" s="6" t="s">
        <v>243</v>
      </c>
      <c r="F167" s="6" t="s">
        <v>907</v>
      </c>
      <c r="G167" s="6" t="s">
        <v>908</v>
      </c>
      <c r="H167" s="6">
        <v>1050581</v>
      </c>
      <c r="I167" s="9" t="s">
        <v>32</v>
      </c>
      <c r="J167" s="9" t="s">
        <v>277</v>
      </c>
      <c r="K167" s="6" t="s">
        <v>25</v>
      </c>
      <c r="L167" s="14" t="s">
        <v>0</v>
      </c>
    </row>
    <row r="168" spans="1:13">
      <c r="A168" s="5">
        <v>12688280</v>
      </c>
      <c r="B168" s="5" t="s">
        <v>909</v>
      </c>
      <c r="C168" s="6" t="s">
        <v>706</v>
      </c>
      <c r="D168" s="6" t="s">
        <v>65</v>
      </c>
      <c r="E168" s="6" t="s">
        <v>910</v>
      </c>
      <c r="F168" s="6" t="s">
        <v>911</v>
      </c>
      <c r="G168" s="6" t="s">
        <v>912</v>
      </c>
      <c r="H168" s="6">
        <v>1050633</v>
      </c>
      <c r="I168" s="9" t="s">
        <v>32</v>
      </c>
      <c r="J168" s="9" t="s">
        <v>134</v>
      </c>
      <c r="K168" s="6" t="s">
        <v>25</v>
      </c>
      <c r="L168" s="14" t="s">
        <v>1</v>
      </c>
    </row>
    <row r="169" spans="1:13">
      <c r="A169" s="5">
        <v>11476853</v>
      </c>
      <c r="B169" s="5" t="s">
        <v>913</v>
      </c>
      <c r="C169" s="6" t="s">
        <v>706</v>
      </c>
      <c r="D169" s="6" t="s">
        <v>914</v>
      </c>
      <c r="E169" s="6" t="s">
        <v>915</v>
      </c>
      <c r="F169" s="6" t="s">
        <v>916</v>
      </c>
      <c r="G169" s="6" t="s">
        <v>917</v>
      </c>
      <c r="H169" s="6">
        <v>1050610</v>
      </c>
      <c r="I169" s="9" t="s">
        <v>69</v>
      </c>
      <c r="J169" s="9" t="s">
        <v>151</v>
      </c>
      <c r="K169" s="6" t="s">
        <v>25</v>
      </c>
      <c r="L169" s="11" t="s">
        <v>1</v>
      </c>
    </row>
    <row r="170" spans="1:13">
      <c r="A170" s="5">
        <v>10933716</v>
      </c>
      <c r="B170" s="5" t="s">
        <v>918</v>
      </c>
      <c r="C170" s="6" t="s">
        <v>830</v>
      </c>
      <c r="D170" s="6" t="s">
        <v>919</v>
      </c>
      <c r="E170" s="6" t="s">
        <v>920</v>
      </c>
      <c r="F170" s="6" t="s">
        <v>921</v>
      </c>
      <c r="G170" s="6" t="s">
        <v>922</v>
      </c>
      <c r="H170" s="6">
        <v>1050574</v>
      </c>
      <c r="I170" s="13" t="s">
        <v>48</v>
      </c>
      <c r="J170" s="13" t="s">
        <v>49</v>
      </c>
      <c r="K170" s="6" t="s">
        <v>25</v>
      </c>
      <c r="L170" s="14" t="s">
        <v>34</v>
      </c>
    </row>
    <row r="171" spans="1:13">
      <c r="A171" s="5">
        <v>8634737</v>
      </c>
      <c r="B171" s="5" t="s">
        <v>923</v>
      </c>
      <c r="C171" s="6" t="s">
        <v>212</v>
      </c>
      <c r="D171" s="6" t="s">
        <v>924</v>
      </c>
      <c r="E171" s="6" t="s">
        <v>925</v>
      </c>
      <c r="F171" s="6" t="s">
        <v>926</v>
      </c>
      <c r="G171" s="6" t="s">
        <v>927</v>
      </c>
      <c r="H171" s="8">
        <v>1050553</v>
      </c>
      <c r="I171" s="9" t="s">
        <v>4</v>
      </c>
      <c r="J171" s="9" t="s">
        <v>24</v>
      </c>
      <c r="K171" s="6" t="s">
        <v>25</v>
      </c>
      <c r="L171" s="18" t="s">
        <v>1</v>
      </c>
    </row>
    <row r="172" spans="1:13">
      <c r="A172" s="5">
        <v>9485526</v>
      </c>
      <c r="B172" s="5" t="s">
        <v>928</v>
      </c>
      <c r="C172" s="6" t="s">
        <v>854</v>
      </c>
      <c r="D172" s="6" t="s">
        <v>87</v>
      </c>
      <c r="E172" s="6" t="s">
        <v>137</v>
      </c>
      <c r="F172" s="6" t="s">
        <v>929</v>
      </c>
      <c r="G172" s="6" t="s">
        <v>930</v>
      </c>
      <c r="H172" s="6">
        <v>1050127</v>
      </c>
      <c r="I172" s="9" t="s">
        <v>32</v>
      </c>
      <c r="J172" s="9" t="s">
        <v>41</v>
      </c>
      <c r="K172" s="6" t="s">
        <v>25</v>
      </c>
      <c r="L172" s="14" t="s">
        <v>34</v>
      </c>
    </row>
    <row r="173" spans="1:13">
      <c r="A173" s="5">
        <v>17245009</v>
      </c>
      <c r="B173" s="5" t="s">
        <v>931</v>
      </c>
      <c r="C173" s="6" t="s">
        <v>854</v>
      </c>
      <c r="D173" s="6" t="s">
        <v>932</v>
      </c>
      <c r="E173" s="6" t="s">
        <v>793</v>
      </c>
      <c r="F173" s="6" t="s">
        <v>933</v>
      </c>
      <c r="G173" s="6" t="s">
        <v>934</v>
      </c>
      <c r="H173" s="6">
        <v>1050581</v>
      </c>
      <c r="I173" s="9" t="s">
        <v>32</v>
      </c>
      <c r="J173" s="9" t="s">
        <v>277</v>
      </c>
      <c r="K173" s="6" t="s">
        <v>25</v>
      </c>
      <c r="L173" s="14" t="s">
        <v>0</v>
      </c>
    </row>
    <row r="174" spans="1:13">
      <c r="A174" s="5">
        <v>9839411</v>
      </c>
      <c r="B174" s="5" t="s">
        <v>935</v>
      </c>
      <c r="C174" s="6" t="s">
        <v>534</v>
      </c>
      <c r="D174" s="6" t="s">
        <v>936</v>
      </c>
      <c r="E174" s="6" t="s">
        <v>481</v>
      </c>
      <c r="F174" s="6" t="s">
        <v>937</v>
      </c>
      <c r="G174" s="6" t="s">
        <v>938</v>
      </c>
      <c r="H174" s="10">
        <v>1050603</v>
      </c>
      <c r="I174" s="13" t="s">
        <v>572</v>
      </c>
      <c r="J174" s="13" t="s">
        <v>572</v>
      </c>
      <c r="K174" s="6" t="s">
        <v>25</v>
      </c>
      <c r="L174" s="18" t="s">
        <v>34</v>
      </c>
    </row>
    <row r="175" spans="1:13">
      <c r="A175" s="5">
        <v>7916907</v>
      </c>
      <c r="B175" s="5" t="s">
        <v>939</v>
      </c>
      <c r="C175" s="6" t="s">
        <v>534</v>
      </c>
      <c r="D175" s="6" t="s">
        <v>313</v>
      </c>
      <c r="E175" s="6" t="s">
        <v>940</v>
      </c>
      <c r="F175" s="6" t="s">
        <v>941</v>
      </c>
      <c r="G175" s="6" t="s">
        <v>942</v>
      </c>
      <c r="H175" s="6">
        <v>1050604</v>
      </c>
      <c r="I175" s="9" t="s">
        <v>943</v>
      </c>
      <c r="J175" s="9" t="s">
        <v>943</v>
      </c>
      <c r="K175" s="6" t="s">
        <v>25</v>
      </c>
      <c r="L175" s="18" t="s">
        <v>0</v>
      </c>
    </row>
    <row r="176" spans="1:13">
      <c r="A176" s="5">
        <v>14383969</v>
      </c>
      <c r="B176" s="5" t="s">
        <v>944</v>
      </c>
      <c r="C176" s="6" t="s">
        <v>534</v>
      </c>
      <c r="D176" s="6" t="s">
        <v>945</v>
      </c>
      <c r="E176" s="6" t="s">
        <v>946</v>
      </c>
      <c r="F176" s="6" t="s">
        <v>947</v>
      </c>
      <c r="G176" s="7" t="s">
        <v>948</v>
      </c>
      <c r="H176" s="6">
        <v>1050529</v>
      </c>
      <c r="I176" s="9" t="s">
        <v>610</v>
      </c>
      <c r="J176" s="9" t="s">
        <v>610</v>
      </c>
      <c r="K176" s="6" t="s">
        <v>25</v>
      </c>
      <c r="L176" s="11" t="s">
        <v>34</v>
      </c>
      <c r="M176" s="4" t="s">
        <v>342</v>
      </c>
    </row>
    <row r="177" spans="1:12">
      <c r="A177" s="5">
        <v>11657838</v>
      </c>
      <c r="B177" s="5" t="s">
        <v>949</v>
      </c>
      <c r="C177" s="6" t="s">
        <v>932</v>
      </c>
      <c r="D177" s="6" t="s">
        <v>950</v>
      </c>
      <c r="E177" s="6" t="s">
        <v>184</v>
      </c>
      <c r="F177" s="6" t="s">
        <v>951</v>
      </c>
      <c r="G177" s="6" t="s">
        <v>952</v>
      </c>
      <c r="H177" s="6">
        <v>1050127</v>
      </c>
      <c r="I177" s="9" t="s">
        <v>32</v>
      </c>
      <c r="J177" s="9" t="s">
        <v>41</v>
      </c>
      <c r="K177" s="6" t="s">
        <v>25</v>
      </c>
      <c r="L177" s="14" t="s">
        <v>34</v>
      </c>
    </row>
    <row r="178" spans="1:12">
      <c r="A178" s="5">
        <v>7832770</v>
      </c>
      <c r="B178" s="5" t="s">
        <v>953</v>
      </c>
      <c r="C178" s="6" t="s">
        <v>864</v>
      </c>
      <c r="D178" s="6" t="s">
        <v>409</v>
      </c>
      <c r="E178" s="6" t="s">
        <v>456</v>
      </c>
      <c r="F178" s="6" t="s">
        <v>954</v>
      </c>
      <c r="G178" s="6" t="s">
        <v>955</v>
      </c>
      <c r="H178" s="6">
        <v>1050616</v>
      </c>
      <c r="I178" s="13" t="s">
        <v>91</v>
      </c>
      <c r="J178" s="13" t="s">
        <v>70</v>
      </c>
      <c r="K178" s="6" t="s">
        <v>25</v>
      </c>
      <c r="L178" s="11" t="s">
        <v>34</v>
      </c>
    </row>
    <row r="179" spans="1:12">
      <c r="A179" s="5">
        <v>12647009</v>
      </c>
      <c r="B179" s="5" t="s">
        <v>956</v>
      </c>
      <c r="C179" s="6" t="s">
        <v>797</v>
      </c>
      <c r="D179" s="6" t="s">
        <v>957</v>
      </c>
      <c r="E179" s="6" t="s">
        <v>958</v>
      </c>
      <c r="F179" s="6" t="s">
        <v>959</v>
      </c>
      <c r="G179" s="6" t="s">
        <v>960</v>
      </c>
      <c r="H179" s="6">
        <v>1050581</v>
      </c>
      <c r="I179" s="9" t="s">
        <v>32</v>
      </c>
      <c r="J179" s="9" t="s">
        <v>697</v>
      </c>
      <c r="K179" s="6" t="s">
        <v>25</v>
      </c>
      <c r="L179" s="14" t="s">
        <v>0</v>
      </c>
    </row>
    <row r="180" spans="1:12">
      <c r="A180" s="5">
        <v>7009784</v>
      </c>
      <c r="B180" s="5" t="s">
        <v>961</v>
      </c>
      <c r="C180" s="6" t="s">
        <v>797</v>
      </c>
      <c r="D180" s="6" t="s">
        <v>962</v>
      </c>
      <c r="E180" s="6" t="s">
        <v>963</v>
      </c>
      <c r="F180" s="6" t="s">
        <v>964</v>
      </c>
      <c r="G180" s="6" t="s">
        <v>965</v>
      </c>
      <c r="H180" s="6">
        <v>1050126</v>
      </c>
      <c r="I180" s="9" t="s">
        <v>32</v>
      </c>
      <c r="J180" s="9" t="s">
        <v>33</v>
      </c>
      <c r="K180" s="6" t="s">
        <v>25</v>
      </c>
      <c r="L180" s="14" t="s">
        <v>34</v>
      </c>
    </row>
    <row r="181" spans="1:12">
      <c r="A181" s="5">
        <v>8245727</v>
      </c>
      <c r="B181" s="5" t="s">
        <v>966</v>
      </c>
      <c r="C181" s="6" t="s">
        <v>967</v>
      </c>
      <c r="D181" s="6" t="s">
        <v>294</v>
      </c>
      <c r="E181" s="6" t="s">
        <v>125</v>
      </c>
      <c r="F181" s="6" t="s">
        <v>968</v>
      </c>
      <c r="G181" s="6" t="s">
        <v>969</v>
      </c>
      <c r="H181" s="6">
        <v>1050633</v>
      </c>
      <c r="I181" s="9" t="s">
        <v>32</v>
      </c>
      <c r="J181" s="9" t="s">
        <v>134</v>
      </c>
      <c r="K181" s="6" t="s">
        <v>25</v>
      </c>
      <c r="L181" s="14" t="s">
        <v>0</v>
      </c>
    </row>
    <row r="182" spans="1:12">
      <c r="A182" s="5">
        <v>13638571</v>
      </c>
      <c r="B182" s="5" t="s">
        <v>970</v>
      </c>
      <c r="C182" s="6" t="s">
        <v>967</v>
      </c>
      <c r="D182" s="6" t="s">
        <v>600</v>
      </c>
      <c r="E182" s="6" t="s">
        <v>971</v>
      </c>
      <c r="F182" s="6" t="s">
        <v>972</v>
      </c>
      <c r="G182" s="6" t="s">
        <v>973</v>
      </c>
      <c r="H182" s="6">
        <v>1050616</v>
      </c>
      <c r="I182" s="9" t="s">
        <v>91</v>
      </c>
      <c r="J182" s="9" t="s">
        <v>166</v>
      </c>
      <c r="K182" s="6" t="s">
        <v>25</v>
      </c>
      <c r="L182" s="11" t="s">
        <v>1</v>
      </c>
    </row>
    <row r="183" spans="1:12">
      <c r="A183" s="5">
        <v>15891790</v>
      </c>
      <c r="B183" s="5" t="s">
        <v>974</v>
      </c>
      <c r="C183" s="6" t="s">
        <v>967</v>
      </c>
      <c r="D183" s="6" t="s">
        <v>975</v>
      </c>
      <c r="E183" s="6" t="s">
        <v>137</v>
      </c>
      <c r="F183" s="6" t="s">
        <v>976</v>
      </c>
      <c r="G183" s="6" t="s">
        <v>977</v>
      </c>
      <c r="H183" s="8">
        <v>1050565</v>
      </c>
      <c r="I183" s="13" t="s">
        <v>978</v>
      </c>
      <c r="J183" s="13" t="s">
        <v>979</v>
      </c>
      <c r="K183" s="6" t="s">
        <v>25</v>
      </c>
      <c r="L183" s="10" t="s">
        <v>0</v>
      </c>
    </row>
    <row r="184" spans="1:12">
      <c r="A184" s="5">
        <v>12500119</v>
      </c>
      <c r="B184" s="5" t="s">
        <v>980</v>
      </c>
      <c r="C184" s="6" t="s">
        <v>981</v>
      </c>
      <c r="D184" s="6" t="s">
        <v>712</v>
      </c>
      <c r="E184" s="6" t="s">
        <v>982</v>
      </c>
      <c r="F184" s="6" t="s">
        <v>983</v>
      </c>
      <c r="G184" s="6" t="s">
        <v>984</v>
      </c>
      <c r="H184" s="6">
        <v>1050161</v>
      </c>
      <c r="I184" s="9" t="s">
        <v>32</v>
      </c>
      <c r="J184" s="9" t="s">
        <v>448</v>
      </c>
      <c r="K184" s="6" t="s">
        <v>25</v>
      </c>
      <c r="L184" s="14" t="s">
        <v>0</v>
      </c>
    </row>
    <row r="185" spans="1:12">
      <c r="A185" s="5">
        <v>13701209</v>
      </c>
      <c r="B185" s="5" t="s">
        <v>985</v>
      </c>
      <c r="C185" s="6" t="s">
        <v>981</v>
      </c>
      <c r="D185" s="6" t="s">
        <v>712</v>
      </c>
      <c r="E185" s="6" t="s">
        <v>986</v>
      </c>
      <c r="F185" s="6" t="s">
        <v>987</v>
      </c>
      <c r="G185" s="6" t="s">
        <v>988</v>
      </c>
      <c r="H185" s="6">
        <v>1050126</v>
      </c>
      <c r="I185" s="9" t="s">
        <v>32</v>
      </c>
      <c r="J185" s="9" t="s">
        <v>33</v>
      </c>
      <c r="K185" s="6" t="s">
        <v>25</v>
      </c>
      <c r="L185" s="14" t="s">
        <v>0</v>
      </c>
    </row>
    <row r="186" spans="1:12">
      <c r="A186" s="5">
        <v>10835391</v>
      </c>
      <c r="B186" s="5" t="s">
        <v>989</v>
      </c>
      <c r="C186" s="6" t="s">
        <v>981</v>
      </c>
      <c r="D186" s="6" t="s">
        <v>859</v>
      </c>
      <c r="E186" s="6" t="s">
        <v>990</v>
      </c>
      <c r="F186" s="6" t="s">
        <v>991</v>
      </c>
      <c r="G186" s="6" t="s">
        <v>992</v>
      </c>
      <c r="H186" s="6">
        <v>1050581</v>
      </c>
      <c r="I186" s="9" t="s">
        <v>32</v>
      </c>
      <c r="J186" s="9" t="s">
        <v>277</v>
      </c>
      <c r="K186" s="6" t="s">
        <v>25</v>
      </c>
      <c r="L186" s="14" t="s">
        <v>0</v>
      </c>
    </row>
    <row r="187" spans="1:12">
      <c r="A187" s="5">
        <v>8618882</v>
      </c>
      <c r="B187" s="5" t="s">
        <v>993</v>
      </c>
      <c r="C187" s="6" t="s">
        <v>613</v>
      </c>
      <c r="D187" s="6" t="s">
        <v>870</v>
      </c>
      <c r="E187" s="6" t="s">
        <v>994</v>
      </c>
      <c r="F187" s="6" t="s">
        <v>995</v>
      </c>
      <c r="G187" s="6" t="s">
        <v>996</v>
      </c>
      <c r="H187" s="6">
        <v>1050633</v>
      </c>
      <c r="I187" s="9" t="s">
        <v>32</v>
      </c>
      <c r="J187" s="9" t="s">
        <v>134</v>
      </c>
      <c r="K187" s="6" t="s">
        <v>25</v>
      </c>
      <c r="L187" s="14" t="s">
        <v>34</v>
      </c>
    </row>
    <row r="188" spans="1:12">
      <c r="A188" s="5">
        <v>16691386</v>
      </c>
      <c r="B188" s="5" t="s">
        <v>997</v>
      </c>
      <c r="C188" s="6" t="s">
        <v>613</v>
      </c>
      <c r="D188" s="6" t="s">
        <v>998</v>
      </c>
      <c r="E188" s="6" t="s">
        <v>999</v>
      </c>
      <c r="F188" s="6" t="s">
        <v>1000</v>
      </c>
      <c r="G188" s="6" t="s">
        <v>1001</v>
      </c>
      <c r="H188" s="6">
        <v>1050581</v>
      </c>
      <c r="I188" s="9" t="s">
        <v>32</v>
      </c>
      <c r="J188" s="9" t="s">
        <v>277</v>
      </c>
      <c r="K188" s="6" t="s">
        <v>25</v>
      </c>
      <c r="L188" s="14" t="s">
        <v>0</v>
      </c>
    </row>
    <row r="189" spans="1:12">
      <c r="A189" s="5">
        <v>8085825</v>
      </c>
      <c r="B189" s="5" t="s">
        <v>1002</v>
      </c>
      <c r="C189" s="6" t="s">
        <v>236</v>
      </c>
      <c r="D189" s="6" t="s">
        <v>1003</v>
      </c>
      <c r="E189" s="6" t="s">
        <v>1004</v>
      </c>
      <c r="F189" s="6" t="s">
        <v>1005</v>
      </c>
      <c r="G189" s="6" t="s">
        <v>1006</v>
      </c>
      <c r="H189" s="6">
        <v>1050609</v>
      </c>
      <c r="I189" s="9" t="s">
        <v>69</v>
      </c>
      <c r="J189" s="9" t="s">
        <v>254</v>
      </c>
      <c r="K189" s="6" t="s">
        <v>25</v>
      </c>
      <c r="L189" s="14" t="s">
        <v>1</v>
      </c>
    </row>
    <row r="190" spans="1:12">
      <c r="A190" s="5">
        <v>10849076</v>
      </c>
      <c r="B190" s="5" t="s">
        <v>1007</v>
      </c>
      <c r="C190" s="6" t="s">
        <v>1008</v>
      </c>
      <c r="D190" s="6" t="s">
        <v>791</v>
      </c>
      <c r="E190" s="6" t="s">
        <v>268</v>
      </c>
      <c r="F190" s="6" t="s">
        <v>1009</v>
      </c>
      <c r="G190" s="6" t="s">
        <v>1010</v>
      </c>
      <c r="H190" s="6">
        <v>1050555</v>
      </c>
      <c r="I190" s="9" t="s">
        <v>165</v>
      </c>
      <c r="J190" s="9" t="s">
        <v>254</v>
      </c>
      <c r="K190" s="6" t="s">
        <v>25</v>
      </c>
      <c r="L190" s="11" t="s">
        <v>1</v>
      </c>
    </row>
    <row r="191" spans="1:12">
      <c r="A191" s="5">
        <v>13079999</v>
      </c>
      <c r="B191" s="5" t="s">
        <v>1011</v>
      </c>
      <c r="C191" s="6" t="s">
        <v>760</v>
      </c>
      <c r="D191" s="6" t="s">
        <v>1012</v>
      </c>
      <c r="E191" s="6" t="s">
        <v>1013</v>
      </c>
      <c r="F191" s="6" t="s">
        <v>1014</v>
      </c>
      <c r="G191" s="6" t="s">
        <v>1015</v>
      </c>
      <c r="H191" s="6">
        <v>1050127</v>
      </c>
      <c r="I191" s="9" t="s">
        <v>32</v>
      </c>
      <c r="J191" s="9" t="s">
        <v>41</v>
      </c>
      <c r="K191" s="6" t="s">
        <v>25</v>
      </c>
      <c r="L191" s="14" t="s">
        <v>1</v>
      </c>
    </row>
    <row r="192" spans="1:12">
      <c r="A192" s="5">
        <v>12896000</v>
      </c>
      <c r="B192" s="5" t="s">
        <v>1016</v>
      </c>
      <c r="C192" s="6" t="s">
        <v>896</v>
      </c>
      <c r="D192" s="6" t="s">
        <v>1017</v>
      </c>
      <c r="E192" s="6" t="s">
        <v>1018</v>
      </c>
      <c r="F192" s="6" t="s">
        <v>1019</v>
      </c>
      <c r="G192" s="7" t="s">
        <v>1020</v>
      </c>
      <c r="H192" s="6">
        <v>10505616</v>
      </c>
      <c r="I192" s="13" t="s">
        <v>91</v>
      </c>
      <c r="J192" s="13" t="s">
        <v>166</v>
      </c>
      <c r="K192" s="6" t="s">
        <v>25</v>
      </c>
      <c r="L192" s="14" t="s">
        <v>34</v>
      </c>
    </row>
    <row r="193" spans="1:12">
      <c r="A193" s="5">
        <v>12896866</v>
      </c>
      <c r="B193" s="5" t="s">
        <v>1021</v>
      </c>
      <c r="C193" s="6" t="s">
        <v>358</v>
      </c>
      <c r="D193" s="6" t="s">
        <v>358</v>
      </c>
      <c r="E193" s="6" t="s">
        <v>1022</v>
      </c>
      <c r="F193" s="6" t="s">
        <v>1023</v>
      </c>
      <c r="G193" s="6" t="s">
        <v>1024</v>
      </c>
      <c r="H193" s="6">
        <v>1050595</v>
      </c>
      <c r="I193" s="9" t="s">
        <v>904</v>
      </c>
      <c r="J193" s="9" t="s">
        <v>904</v>
      </c>
      <c r="K193" s="6" t="s">
        <v>25</v>
      </c>
      <c r="L193" s="11" t="s">
        <v>0</v>
      </c>
    </row>
    <row r="194" spans="1:12">
      <c r="A194" s="5">
        <v>12392999</v>
      </c>
      <c r="B194" s="5" t="s">
        <v>1025</v>
      </c>
      <c r="C194" s="6" t="s">
        <v>1026</v>
      </c>
      <c r="D194" s="6" t="s">
        <v>1027</v>
      </c>
      <c r="E194" s="6" t="s">
        <v>262</v>
      </c>
      <c r="F194" s="6" t="s">
        <v>1028</v>
      </c>
      <c r="G194" s="6" t="s">
        <v>1029</v>
      </c>
      <c r="H194" s="6">
        <v>1050610</v>
      </c>
      <c r="I194" s="13" t="s">
        <v>69</v>
      </c>
      <c r="J194" s="13" t="s">
        <v>166</v>
      </c>
      <c r="K194" s="6" t="s">
        <v>25</v>
      </c>
      <c r="L194" s="11" t="s">
        <v>0</v>
      </c>
    </row>
    <row r="195" spans="1:12">
      <c r="A195" s="5">
        <v>14193049</v>
      </c>
      <c r="B195" s="5" t="s">
        <v>1030</v>
      </c>
      <c r="C195" s="6" t="s">
        <v>1026</v>
      </c>
      <c r="D195" s="6" t="s">
        <v>1031</v>
      </c>
      <c r="E195" s="6" t="s">
        <v>256</v>
      </c>
      <c r="F195" s="6" t="s">
        <v>1032</v>
      </c>
      <c r="G195" s="6" t="s">
        <v>1033</v>
      </c>
      <c r="H195" s="6">
        <v>1050609</v>
      </c>
      <c r="I195" s="9" t="s">
        <v>69</v>
      </c>
      <c r="J195" s="9" t="s">
        <v>24</v>
      </c>
      <c r="K195" s="6" t="s">
        <v>25</v>
      </c>
      <c r="L195" s="14" t="s">
        <v>1</v>
      </c>
    </row>
    <row r="196" spans="1:12">
      <c r="A196" s="5">
        <v>6467952</v>
      </c>
      <c r="B196" s="5" t="s">
        <v>1034</v>
      </c>
      <c r="C196" s="6" t="s">
        <v>1026</v>
      </c>
      <c r="D196" s="6" t="s">
        <v>723</v>
      </c>
      <c r="E196" s="6" t="s">
        <v>1035</v>
      </c>
      <c r="F196" s="6" t="s">
        <v>1036</v>
      </c>
      <c r="G196" s="6" t="s">
        <v>1037</v>
      </c>
      <c r="H196" s="6">
        <v>1050633</v>
      </c>
      <c r="I196" s="9" t="s">
        <v>32</v>
      </c>
      <c r="J196" s="9" t="s">
        <v>134</v>
      </c>
      <c r="K196" s="6" t="s">
        <v>25</v>
      </c>
      <c r="L196" s="14" t="s">
        <v>0</v>
      </c>
    </row>
    <row r="197" spans="1:12">
      <c r="A197" s="5">
        <v>11840491</v>
      </c>
      <c r="B197" s="5" t="s">
        <v>1038</v>
      </c>
      <c r="C197" s="6" t="s">
        <v>712</v>
      </c>
      <c r="D197" s="6" t="s">
        <v>1039</v>
      </c>
      <c r="E197" s="6" t="s">
        <v>1040</v>
      </c>
      <c r="F197" s="6" t="s">
        <v>1041</v>
      </c>
      <c r="G197" s="7" t="s">
        <v>1042</v>
      </c>
      <c r="H197" s="6">
        <v>1050616</v>
      </c>
      <c r="I197" s="13" t="s">
        <v>91</v>
      </c>
      <c r="J197" s="13" t="s">
        <v>92</v>
      </c>
      <c r="K197" s="6" t="s">
        <v>25</v>
      </c>
      <c r="L197" s="11" t="s">
        <v>1</v>
      </c>
    </row>
    <row r="198" spans="1:12">
      <c r="A198" s="5">
        <v>13839512</v>
      </c>
      <c r="B198" s="5" t="s">
        <v>1043</v>
      </c>
      <c r="C198" s="6" t="s">
        <v>1044</v>
      </c>
      <c r="D198" s="6" t="s">
        <v>1045</v>
      </c>
      <c r="E198" s="6" t="s">
        <v>1046</v>
      </c>
      <c r="F198" s="6" t="s">
        <v>1047</v>
      </c>
      <c r="G198" s="6" t="s">
        <v>1048</v>
      </c>
      <c r="H198" s="6">
        <v>1050554</v>
      </c>
      <c r="I198" s="9" t="s">
        <v>4</v>
      </c>
      <c r="J198" s="9" t="s">
        <v>166</v>
      </c>
      <c r="K198" s="6" t="s">
        <v>25</v>
      </c>
      <c r="L198" s="11" t="s">
        <v>0</v>
      </c>
    </row>
    <row r="199" spans="1:12">
      <c r="A199" s="5">
        <v>21516766</v>
      </c>
      <c r="B199" s="5" t="s">
        <v>1049</v>
      </c>
      <c r="C199" s="6" t="s">
        <v>1050</v>
      </c>
      <c r="D199" s="6" t="s">
        <v>1051</v>
      </c>
      <c r="E199" s="6" t="s">
        <v>345</v>
      </c>
      <c r="F199" s="6" t="s">
        <v>1052</v>
      </c>
      <c r="G199" s="6" t="s">
        <v>1053</v>
      </c>
      <c r="H199" s="6">
        <v>1050556</v>
      </c>
      <c r="I199" s="9" t="s">
        <v>165</v>
      </c>
      <c r="J199" s="9" t="s">
        <v>166</v>
      </c>
      <c r="K199" s="6" t="s">
        <v>25</v>
      </c>
      <c r="L199" s="11" t="s">
        <v>34</v>
      </c>
    </row>
    <row r="200" spans="1:12">
      <c r="A200" s="5">
        <v>15436097</v>
      </c>
      <c r="B200" s="5" t="s">
        <v>1054</v>
      </c>
      <c r="C200" s="6" t="s">
        <v>409</v>
      </c>
      <c r="D200" s="6" t="s">
        <v>183</v>
      </c>
      <c r="E200" s="6" t="s">
        <v>345</v>
      </c>
      <c r="F200" s="6" t="s">
        <v>1055</v>
      </c>
      <c r="G200" s="6" t="s">
        <v>1056</v>
      </c>
      <c r="H200" s="6">
        <v>1050552</v>
      </c>
      <c r="I200" s="9" t="s">
        <v>326</v>
      </c>
      <c r="J200" s="9" t="s">
        <v>70</v>
      </c>
      <c r="K200" s="6" t="s">
        <v>25</v>
      </c>
      <c r="L200" s="11" t="s">
        <v>34</v>
      </c>
    </row>
    <row r="201" spans="1:12">
      <c r="A201" s="5">
        <v>10737908</v>
      </c>
      <c r="B201" s="5" t="s">
        <v>1057</v>
      </c>
      <c r="C201" s="6" t="s">
        <v>1058</v>
      </c>
      <c r="D201" s="6" t="s">
        <v>1059</v>
      </c>
      <c r="E201" s="6" t="s">
        <v>1060</v>
      </c>
      <c r="F201" s="6" t="s">
        <v>1061</v>
      </c>
      <c r="G201" s="6" t="s">
        <v>1062</v>
      </c>
      <c r="H201" s="6">
        <v>1050581</v>
      </c>
      <c r="I201" s="9" t="s">
        <v>32</v>
      </c>
      <c r="J201" s="9" t="s">
        <v>1063</v>
      </c>
      <c r="K201" s="6" t="s">
        <v>25</v>
      </c>
      <c r="L201" s="14" t="s">
        <v>0</v>
      </c>
    </row>
    <row r="202" spans="1:12">
      <c r="A202" s="5">
        <v>11123851</v>
      </c>
      <c r="B202" s="5" t="s">
        <v>1064</v>
      </c>
      <c r="C202" s="6" t="s">
        <v>1065</v>
      </c>
      <c r="D202" s="6" t="s">
        <v>87</v>
      </c>
      <c r="E202" s="6" t="s">
        <v>66</v>
      </c>
      <c r="F202" s="6" t="s">
        <v>1066</v>
      </c>
      <c r="G202" s="6" t="s">
        <v>1067</v>
      </c>
      <c r="H202" s="6">
        <v>1050595</v>
      </c>
      <c r="I202" s="9" t="s">
        <v>904</v>
      </c>
      <c r="J202" s="9" t="s">
        <v>904</v>
      </c>
      <c r="K202" s="6" t="s">
        <v>25</v>
      </c>
      <c r="L202" s="11" t="s">
        <v>1</v>
      </c>
    </row>
    <row r="203" spans="1:12">
      <c r="A203" s="5">
        <v>10572816</v>
      </c>
      <c r="B203" s="5" t="s">
        <v>1068</v>
      </c>
      <c r="C203" s="6" t="s">
        <v>65</v>
      </c>
      <c r="D203" s="6" t="s">
        <v>364</v>
      </c>
      <c r="E203" s="6" t="s">
        <v>169</v>
      </c>
      <c r="F203" s="6" t="s">
        <v>1069</v>
      </c>
      <c r="G203" s="6" t="s">
        <v>1070</v>
      </c>
      <c r="H203" s="6">
        <v>1050633</v>
      </c>
      <c r="I203" s="9" t="s">
        <v>32</v>
      </c>
      <c r="J203" s="9" t="s">
        <v>134</v>
      </c>
      <c r="K203" s="6" t="s">
        <v>25</v>
      </c>
      <c r="L203" s="14" t="s">
        <v>34</v>
      </c>
    </row>
    <row r="204" spans="1:12">
      <c r="A204" s="5">
        <v>15327501</v>
      </c>
      <c r="B204" s="5" t="s">
        <v>1071</v>
      </c>
      <c r="C204" s="6" t="s">
        <v>859</v>
      </c>
      <c r="D204" s="6" t="s">
        <v>1072</v>
      </c>
      <c r="E204" s="6" t="s">
        <v>1073</v>
      </c>
      <c r="F204" s="6" t="s">
        <v>1074</v>
      </c>
      <c r="G204" s="6" t="s">
        <v>1075</v>
      </c>
      <c r="H204" s="6">
        <v>1050632</v>
      </c>
      <c r="I204" s="13" t="s">
        <v>77</v>
      </c>
      <c r="J204" s="13" t="s">
        <v>519</v>
      </c>
      <c r="K204" s="6" t="s">
        <v>25</v>
      </c>
      <c r="L204" s="11" t="s">
        <v>1</v>
      </c>
    </row>
    <row r="205" spans="1:12">
      <c r="A205" s="5">
        <v>8881760</v>
      </c>
      <c r="B205" s="5" t="s">
        <v>1076</v>
      </c>
      <c r="C205" s="6" t="s">
        <v>1017</v>
      </c>
      <c r="D205" s="6" t="s">
        <v>1077</v>
      </c>
      <c r="E205" s="6" t="s">
        <v>1078</v>
      </c>
      <c r="F205" s="6" t="s">
        <v>1079</v>
      </c>
      <c r="G205" s="6" t="s">
        <v>1080</v>
      </c>
      <c r="H205" s="6">
        <v>1050574</v>
      </c>
      <c r="I205" s="13" t="s">
        <v>48</v>
      </c>
      <c r="J205" s="13" t="s">
        <v>49</v>
      </c>
      <c r="K205" s="6" t="s">
        <v>25</v>
      </c>
      <c r="L205" s="14" t="s">
        <v>1</v>
      </c>
    </row>
    <row r="206" spans="1:12">
      <c r="A206" s="5">
        <v>9959939</v>
      </c>
      <c r="B206" s="5" t="s">
        <v>1081</v>
      </c>
      <c r="C206" s="6" t="s">
        <v>754</v>
      </c>
      <c r="D206" s="6" t="s">
        <v>981</v>
      </c>
      <c r="E206" s="6" t="s">
        <v>1082</v>
      </c>
      <c r="F206" s="6" t="s">
        <v>1083</v>
      </c>
      <c r="G206" s="6" t="s">
        <v>1084</v>
      </c>
      <c r="H206" s="6">
        <v>1050556</v>
      </c>
      <c r="I206" s="9" t="s">
        <v>165</v>
      </c>
      <c r="J206" s="9" t="s">
        <v>151</v>
      </c>
      <c r="K206" s="6" t="s">
        <v>25</v>
      </c>
      <c r="L206" s="11" t="s">
        <v>34</v>
      </c>
    </row>
    <row r="207" spans="1:12">
      <c r="A207" s="5">
        <v>14182371</v>
      </c>
      <c r="B207" s="5" t="s">
        <v>1085</v>
      </c>
      <c r="C207" s="6" t="s">
        <v>195</v>
      </c>
      <c r="D207" s="6" t="s">
        <v>1086</v>
      </c>
      <c r="E207" s="6" t="s">
        <v>1087</v>
      </c>
      <c r="F207" s="6" t="s">
        <v>1088</v>
      </c>
      <c r="G207" s="6" t="s">
        <v>1088</v>
      </c>
      <c r="H207" s="6">
        <v>1050632</v>
      </c>
      <c r="I207" s="13" t="s">
        <v>77</v>
      </c>
      <c r="J207" s="13" t="s">
        <v>519</v>
      </c>
      <c r="K207" s="6" t="s">
        <v>25</v>
      </c>
      <c r="L207" s="11" t="s">
        <v>34</v>
      </c>
    </row>
    <row r="208" spans="1:12">
      <c r="A208" s="5">
        <v>16267560</v>
      </c>
      <c r="B208" s="5" t="s">
        <v>1089</v>
      </c>
      <c r="C208" s="17" t="s">
        <v>1090</v>
      </c>
      <c r="D208" s="17" t="s">
        <v>86</v>
      </c>
      <c r="E208" s="17" t="s">
        <v>1091</v>
      </c>
      <c r="F208" s="17" t="s">
        <v>1092</v>
      </c>
      <c r="G208" s="17" t="s">
        <v>1093</v>
      </c>
      <c r="H208" s="6">
        <v>1050554</v>
      </c>
      <c r="I208" s="9" t="s">
        <v>4</v>
      </c>
      <c r="J208" s="9" t="s">
        <v>70</v>
      </c>
      <c r="K208" s="6" t="s">
        <v>25</v>
      </c>
      <c r="L208" s="11" t="s">
        <v>0</v>
      </c>
    </row>
    <row r="209" spans="1:13">
      <c r="A209" s="5">
        <v>10311290</v>
      </c>
      <c r="B209" s="5" t="s">
        <v>1094</v>
      </c>
      <c r="C209" s="6" t="s">
        <v>950</v>
      </c>
      <c r="D209" s="6" t="s">
        <v>1095</v>
      </c>
      <c r="E209" s="6" t="s">
        <v>1096</v>
      </c>
      <c r="F209" s="6" t="s">
        <v>1097</v>
      </c>
      <c r="G209" s="6" t="s">
        <v>1098</v>
      </c>
      <c r="H209" s="8">
        <v>1050574</v>
      </c>
      <c r="I209" s="13" t="s">
        <v>48</v>
      </c>
      <c r="J209" s="13" t="s">
        <v>49</v>
      </c>
      <c r="K209" s="6" t="s">
        <v>25</v>
      </c>
      <c r="L209" s="14" t="s">
        <v>34</v>
      </c>
    </row>
    <row r="210" spans="1:13">
      <c r="A210" s="5">
        <v>7807741</v>
      </c>
      <c r="B210" s="5" t="s">
        <v>1099</v>
      </c>
      <c r="C210" s="6" t="s">
        <v>950</v>
      </c>
      <c r="D210" s="6" t="s">
        <v>189</v>
      </c>
      <c r="E210" s="6" t="s">
        <v>1100</v>
      </c>
      <c r="F210" s="6" t="s">
        <v>1101</v>
      </c>
      <c r="G210" s="6" t="s">
        <v>1102</v>
      </c>
      <c r="H210" s="6">
        <v>1050595</v>
      </c>
      <c r="I210" s="9" t="s">
        <v>904</v>
      </c>
      <c r="J210" s="9" t="s">
        <v>904</v>
      </c>
      <c r="K210" s="6" t="s">
        <v>25</v>
      </c>
      <c r="L210" s="11" t="s">
        <v>0</v>
      </c>
    </row>
    <row r="211" spans="1:13">
      <c r="A211" s="5">
        <v>13835927</v>
      </c>
      <c r="B211" s="5" t="s">
        <v>1103</v>
      </c>
      <c r="C211" s="6" t="s">
        <v>1104</v>
      </c>
      <c r="D211" s="6" t="s">
        <v>1012</v>
      </c>
      <c r="E211" s="6" t="s">
        <v>1105</v>
      </c>
      <c r="F211" s="6" t="s">
        <v>1106</v>
      </c>
      <c r="G211" s="6" t="s">
        <v>1107</v>
      </c>
      <c r="H211" s="6">
        <v>1050556</v>
      </c>
      <c r="I211" s="9" t="s">
        <v>165</v>
      </c>
      <c r="J211" s="23" t="s">
        <v>525</v>
      </c>
      <c r="K211" s="6" t="s">
        <v>25</v>
      </c>
      <c r="L211" s="11" t="s">
        <v>0</v>
      </c>
    </row>
    <row r="212" spans="1:13">
      <c r="A212" s="30">
        <v>12719073</v>
      </c>
      <c r="B212" s="31" t="s">
        <v>1108</v>
      </c>
      <c r="C212" s="32" t="s">
        <v>1109</v>
      </c>
      <c r="D212" s="32" t="s">
        <v>891</v>
      </c>
      <c r="E212" s="32" t="s">
        <v>1110</v>
      </c>
      <c r="F212" s="6" t="s">
        <v>1111</v>
      </c>
      <c r="G212" s="6" t="s">
        <v>1112</v>
      </c>
      <c r="H212" s="10">
        <v>1050603</v>
      </c>
      <c r="I212" s="25" t="s">
        <v>572</v>
      </c>
      <c r="J212" s="25" t="s">
        <v>572</v>
      </c>
      <c r="K212" s="6" t="s">
        <v>25</v>
      </c>
      <c r="L212" s="18" t="s">
        <v>0</v>
      </c>
    </row>
    <row r="213" spans="1:13">
      <c r="A213" s="5">
        <v>12175753</v>
      </c>
      <c r="B213" s="5" t="s">
        <v>1113</v>
      </c>
      <c r="C213" s="8" t="s">
        <v>1114</v>
      </c>
      <c r="D213" s="8" t="s">
        <v>130</v>
      </c>
      <c r="E213" s="8" t="s">
        <v>1115</v>
      </c>
      <c r="F213" s="8" t="s">
        <v>1116</v>
      </c>
      <c r="G213" s="8" t="s">
        <v>1117</v>
      </c>
      <c r="H213" s="6">
        <v>1050632</v>
      </c>
      <c r="I213" s="9" t="s">
        <v>1118</v>
      </c>
      <c r="J213" s="9" t="s">
        <v>1118</v>
      </c>
      <c r="K213" s="6" t="s">
        <v>25</v>
      </c>
      <c r="L213" s="10" t="s">
        <v>0</v>
      </c>
    </row>
    <row r="214" spans="1:13">
      <c r="A214" s="5">
        <v>13045231</v>
      </c>
      <c r="B214" s="5" t="s">
        <v>1119</v>
      </c>
      <c r="C214" s="17" t="s">
        <v>94</v>
      </c>
      <c r="D214" s="6" t="s">
        <v>52</v>
      </c>
      <c r="E214" s="6" t="s">
        <v>1105</v>
      </c>
      <c r="F214" s="6" t="s">
        <v>1120</v>
      </c>
      <c r="G214" s="6" t="s">
        <v>1121</v>
      </c>
      <c r="H214" s="6">
        <v>1050529</v>
      </c>
      <c r="I214" s="9" t="s">
        <v>610</v>
      </c>
      <c r="J214" s="9" t="s">
        <v>610</v>
      </c>
      <c r="K214" s="6" t="s">
        <v>25</v>
      </c>
      <c r="L214" s="18" t="s">
        <v>0</v>
      </c>
      <c r="M214" s="4" t="s">
        <v>1122</v>
      </c>
    </row>
    <row r="215" spans="1:13">
      <c r="A215" s="5">
        <v>14307619</v>
      </c>
      <c r="B215" s="5" t="s">
        <v>1123</v>
      </c>
      <c r="C215" s="17" t="s">
        <v>153</v>
      </c>
      <c r="D215" s="6" t="s">
        <v>154</v>
      </c>
      <c r="E215" s="6" t="s">
        <v>1124</v>
      </c>
      <c r="F215" s="6" t="s">
        <v>1125</v>
      </c>
      <c r="G215" s="6" t="s">
        <v>1126</v>
      </c>
      <c r="H215" s="6">
        <v>1050529</v>
      </c>
      <c r="I215" s="9" t="s">
        <v>610</v>
      </c>
      <c r="J215" s="9" t="s">
        <v>610</v>
      </c>
      <c r="K215" s="6" t="s">
        <v>25</v>
      </c>
      <c r="L215" s="18" t="s">
        <v>0</v>
      </c>
      <c r="M215" s="4" t="s">
        <v>1122</v>
      </c>
    </row>
    <row r="216" spans="1:13">
      <c r="A216" s="5">
        <v>15439409</v>
      </c>
      <c r="B216" s="5" t="s">
        <v>1127</v>
      </c>
      <c r="C216" s="17" t="s">
        <v>1128</v>
      </c>
      <c r="D216" s="6" t="s">
        <v>932</v>
      </c>
      <c r="E216" s="6" t="s">
        <v>1129</v>
      </c>
      <c r="F216" s="6" t="s">
        <v>1130</v>
      </c>
      <c r="G216" s="6" t="s">
        <v>1131</v>
      </c>
      <c r="H216" s="6">
        <v>1050529</v>
      </c>
      <c r="I216" s="9" t="s">
        <v>610</v>
      </c>
      <c r="J216" s="9" t="s">
        <v>610</v>
      </c>
      <c r="K216" s="6" t="s">
        <v>25</v>
      </c>
      <c r="L216" s="18" t="s">
        <v>0</v>
      </c>
      <c r="M216" s="4" t="s">
        <v>342</v>
      </c>
    </row>
    <row r="217" spans="1:13">
      <c r="A217" s="5">
        <v>9774031</v>
      </c>
      <c r="B217" s="5" t="s">
        <v>1132</v>
      </c>
      <c r="C217" s="20" t="s">
        <v>188</v>
      </c>
      <c r="D217" s="20" t="s">
        <v>859</v>
      </c>
      <c r="E217" s="20" t="s">
        <v>887</v>
      </c>
      <c r="F217" s="20" t="s">
        <v>1133</v>
      </c>
      <c r="G217" s="20" t="s">
        <v>1134</v>
      </c>
      <c r="H217" s="8">
        <v>1050529</v>
      </c>
      <c r="I217" s="9" t="s">
        <v>246</v>
      </c>
      <c r="J217" s="9" t="s">
        <v>246</v>
      </c>
      <c r="K217" s="6" t="s">
        <v>25</v>
      </c>
      <c r="L217" s="18" t="s">
        <v>34</v>
      </c>
      <c r="M217" s="4" t="s">
        <v>342</v>
      </c>
    </row>
    <row r="218" spans="1:13">
      <c r="A218" s="5">
        <v>8406841</v>
      </c>
      <c r="B218" s="5" t="s">
        <v>1135</v>
      </c>
      <c r="C218" s="17" t="s">
        <v>1136</v>
      </c>
      <c r="D218" s="6" t="s">
        <v>967</v>
      </c>
      <c r="E218" s="6" t="s">
        <v>1137</v>
      </c>
      <c r="F218" s="6" t="s">
        <v>1138</v>
      </c>
      <c r="G218" s="6" t="s">
        <v>1139</v>
      </c>
      <c r="H218" s="6">
        <v>1050529</v>
      </c>
      <c r="I218" s="9" t="s">
        <v>610</v>
      </c>
      <c r="J218" s="9" t="s">
        <v>610</v>
      </c>
      <c r="K218" s="6" t="s">
        <v>25</v>
      </c>
      <c r="L218" s="18" t="s">
        <v>1</v>
      </c>
      <c r="M218" s="4" t="s">
        <v>247</v>
      </c>
    </row>
    <row r="219" spans="1:13">
      <c r="A219" s="5">
        <v>10042994</v>
      </c>
      <c r="B219" s="5" t="s">
        <v>1140</v>
      </c>
      <c r="C219" s="17" t="s">
        <v>1141</v>
      </c>
      <c r="D219" s="6" t="s">
        <v>1142</v>
      </c>
      <c r="E219" s="6" t="s">
        <v>1143</v>
      </c>
      <c r="F219" s="6" t="s">
        <v>1144</v>
      </c>
      <c r="G219" s="6" t="s">
        <v>1145</v>
      </c>
      <c r="H219" s="6">
        <v>1050529</v>
      </c>
      <c r="I219" s="9" t="s">
        <v>610</v>
      </c>
      <c r="J219" s="9" t="s">
        <v>610</v>
      </c>
      <c r="K219" s="6" t="s">
        <v>25</v>
      </c>
      <c r="L219" s="18" t="s">
        <v>1</v>
      </c>
      <c r="M219" s="4" t="s">
        <v>247</v>
      </c>
    </row>
    <row r="220" spans="1:13">
      <c r="A220" s="5">
        <v>12093149</v>
      </c>
      <c r="B220" s="5" t="s">
        <v>1146</v>
      </c>
      <c r="C220" s="17" t="s">
        <v>73</v>
      </c>
      <c r="D220" s="6" t="s">
        <v>272</v>
      </c>
      <c r="E220" s="6" t="s">
        <v>1147</v>
      </c>
      <c r="F220" s="6" t="s">
        <v>1148</v>
      </c>
      <c r="G220" s="6" t="s">
        <v>1149</v>
      </c>
      <c r="H220" s="6">
        <v>1050529</v>
      </c>
      <c r="I220" s="9" t="s">
        <v>610</v>
      </c>
      <c r="J220" s="9" t="s">
        <v>610</v>
      </c>
      <c r="K220" s="6" t="s">
        <v>25</v>
      </c>
      <c r="L220" s="18" t="s">
        <v>1</v>
      </c>
      <c r="M220" s="4" t="s">
        <v>247</v>
      </c>
    </row>
    <row r="221" spans="1:13">
      <c r="A221" s="5">
        <v>21318186</v>
      </c>
      <c r="B221" s="5" t="s">
        <v>1150</v>
      </c>
      <c r="C221" s="17" t="s">
        <v>337</v>
      </c>
      <c r="D221" s="6" t="s">
        <v>1151</v>
      </c>
      <c r="E221" s="6" t="s">
        <v>1152</v>
      </c>
      <c r="F221" s="6" t="s">
        <v>1153</v>
      </c>
      <c r="G221" s="6" t="s">
        <v>1154</v>
      </c>
      <c r="H221" s="6">
        <v>1050552</v>
      </c>
      <c r="I221" s="9" t="s">
        <v>326</v>
      </c>
      <c r="J221" s="9" t="s">
        <v>166</v>
      </c>
      <c r="K221" s="6" t="s">
        <v>25</v>
      </c>
      <c r="L221" s="11" t="s">
        <v>1</v>
      </c>
    </row>
    <row r="222" spans="1:13">
      <c r="A222" s="5">
        <v>15533689</v>
      </c>
      <c r="B222" s="5" t="s">
        <v>1155</v>
      </c>
      <c r="C222" s="17" t="s">
        <v>349</v>
      </c>
      <c r="D222" s="6" t="s">
        <v>1128</v>
      </c>
      <c r="E222" s="6" t="s">
        <v>808</v>
      </c>
      <c r="F222" s="6" t="s">
        <v>1156</v>
      </c>
      <c r="G222" s="6" t="s">
        <v>1157</v>
      </c>
      <c r="H222" s="6">
        <v>1050529</v>
      </c>
      <c r="I222" s="9" t="s">
        <v>610</v>
      </c>
      <c r="J222" s="9" t="s">
        <v>610</v>
      </c>
      <c r="K222" s="6" t="s">
        <v>25</v>
      </c>
      <c r="L222" s="18" t="s">
        <v>0</v>
      </c>
      <c r="M222" s="4" t="s">
        <v>1122</v>
      </c>
    </row>
    <row r="223" spans="1:13">
      <c r="A223" s="5">
        <v>15449281</v>
      </c>
      <c r="B223" s="5" t="s">
        <v>1158</v>
      </c>
      <c r="C223" s="17" t="s">
        <v>349</v>
      </c>
      <c r="D223" s="6" t="s">
        <v>771</v>
      </c>
      <c r="E223" s="6" t="s">
        <v>1159</v>
      </c>
      <c r="F223" s="6" t="s">
        <v>1160</v>
      </c>
      <c r="G223" s="6" t="s">
        <v>1161</v>
      </c>
      <c r="H223" s="6">
        <v>1050529</v>
      </c>
      <c r="I223" s="9" t="s">
        <v>610</v>
      </c>
      <c r="J223" s="9" t="s">
        <v>610</v>
      </c>
      <c r="K223" s="6" t="s">
        <v>25</v>
      </c>
      <c r="L223" s="18" t="s">
        <v>1</v>
      </c>
      <c r="M223" s="4" t="s">
        <v>247</v>
      </c>
    </row>
    <row r="224" spans="1:13">
      <c r="A224" s="5">
        <v>8247677</v>
      </c>
      <c r="B224" s="5" t="s">
        <v>1162</v>
      </c>
      <c r="C224" s="17" t="s">
        <v>1163</v>
      </c>
      <c r="D224" s="6" t="s">
        <v>1164</v>
      </c>
      <c r="E224" s="6" t="s">
        <v>1165</v>
      </c>
      <c r="F224" s="6" t="s">
        <v>1166</v>
      </c>
      <c r="G224" s="6" t="s">
        <v>1167</v>
      </c>
      <c r="H224" s="6">
        <v>1050529</v>
      </c>
      <c r="I224" s="9" t="s">
        <v>610</v>
      </c>
      <c r="J224" s="9" t="s">
        <v>610</v>
      </c>
      <c r="K224" s="6" t="s">
        <v>25</v>
      </c>
      <c r="L224" s="18" t="s">
        <v>0</v>
      </c>
      <c r="M224" s="4" t="s">
        <v>1122</v>
      </c>
    </row>
    <row r="225" spans="1:13">
      <c r="A225" s="5">
        <v>16413939</v>
      </c>
      <c r="B225" s="5" t="s">
        <v>1168</v>
      </c>
      <c r="C225" s="17" t="s">
        <v>363</v>
      </c>
      <c r="D225" s="6" t="s">
        <v>612</v>
      </c>
      <c r="E225" s="6" t="s">
        <v>1169</v>
      </c>
      <c r="F225" s="6" t="s">
        <v>1170</v>
      </c>
      <c r="G225" s="17" t="s">
        <v>1171</v>
      </c>
      <c r="H225" s="6">
        <v>1050616</v>
      </c>
      <c r="I225" s="9" t="s">
        <v>91</v>
      </c>
      <c r="J225" s="9" t="s">
        <v>166</v>
      </c>
      <c r="K225" s="6" t="s">
        <v>25</v>
      </c>
      <c r="L225" s="10" t="s">
        <v>34</v>
      </c>
    </row>
    <row r="226" spans="1:13">
      <c r="A226" s="5">
        <v>7974375</v>
      </c>
      <c r="B226" s="5" t="s">
        <v>1172</v>
      </c>
      <c r="C226" s="17" t="s">
        <v>1173</v>
      </c>
      <c r="D226" s="6" t="s">
        <v>27</v>
      </c>
      <c r="E226" s="6" t="s">
        <v>1174</v>
      </c>
      <c r="F226" s="6" t="s">
        <v>1175</v>
      </c>
      <c r="G226" s="6" t="s">
        <v>1176</v>
      </c>
      <c r="H226" s="6">
        <v>1050529</v>
      </c>
      <c r="I226" s="9" t="s">
        <v>610</v>
      </c>
      <c r="J226" s="9" t="s">
        <v>610</v>
      </c>
      <c r="K226" s="6" t="s">
        <v>25</v>
      </c>
      <c r="L226" s="18" t="s">
        <v>1</v>
      </c>
      <c r="M226" s="4" t="s">
        <v>247</v>
      </c>
    </row>
    <row r="227" spans="1:13">
      <c r="A227" s="5">
        <v>7815068</v>
      </c>
      <c r="B227" s="5" t="s">
        <v>1177</v>
      </c>
      <c r="C227" s="17" t="s">
        <v>1178</v>
      </c>
      <c r="D227" s="6" t="s">
        <v>349</v>
      </c>
      <c r="E227" s="6" t="s">
        <v>1179</v>
      </c>
      <c r="F227" s="6" t="s">
        <v>1180</v>
      </c>
      <c r="G227" s="6" t="s">
        <v>1181</v>
      </c>
      <c r="H227" s="6">
        <v>1050529</v>
      </c>
      <c r="I227" s="9" t="s">
        <v>610</v>
      </c>
      <c r="J227" s="9" t="s">
        <v>610</v>
      </c>
      <c r="K227" s="6" t="s">
        <v>25</v>
      </c>
      <c r="L227" s="18" t="s">
        <v>34</v>
      </c>
      <c r="M227" s="4" t="s">
        <v>342</v>
      </c>
    </row>
    <row r="228" spans="1:13">
      <c r="A228" s="5">
        <v>15445100</v>
      </c>
      <c r="B228" s="5" t="s">
        <v>1182</v>
      </c>
      <c r="C228" s="17" t="s">
        <v>1183</v>
      </c>
      <c r="D228" s="6" t="s">
        <v>601</v>
      </c>
      <c r="E228" s="6" t="s">
        <v>755</v>
      </c>
      <c r="F228" s="6" t="s">
        <v>1184</v>
      </c>
      <c r="G228" s="6" t="s">
        <v>1185</v>
      </c>
      <c r="H228" s="6">
        <v>1050529</v>
      </c>
      <c r="I228" s="9" t="s">
        <v>610</v>
      </c>
      <c r="J228" s="9" t="s">
        <v>610</v>
      </c>
      <c r="K228" s="6" t="s">
        <v>25</v>
      </c>
      <c r="L228" s="18" t="s">
        <v>34</v>
      </c>
      <c r="M228" s="4" t="s">
        <v>342</v>
      </c>
    </row>
    <row r="229" spans="1:13">
      <c r="A229" s="5">
        <v>15102640</v>
      </c>
      <c r="B229" s="5" t="s">
        <v>1186</v>
      </c>
      <c r="C229" s="17" t="s">
        <v>591</v>
      </c>
      <c r="D229" s="6" t="s">
        <v>854</v>
      </c>
      <c r="E229" s="6" t="s">
        <v>345</v>
      </c>
      <c r="F229" s="6" t="s">
        <v>1187</v>
      </c>
      <c r="G229" s="6" t="s">
        <v>1188</v>
      </c>
      <c r="H229" s="6">
        <v>1050529</v>
      </c>
      <c r="I229" s="9" t="s">
        <v>610</v>
      </c>
      <c r="J229" s="9" t="s">
        <v>610</v>
      </c>
      <c r="K229" s="6" t="s">
        <v>25</v>
      </c>
      <c r="L229" s="18" t="s">
        <v>0</v>
      </c>
      <c r="M229" s="4" t="s">
        <v>1122</v>
      </c>
    </row>
    <row r="230" spans="1:13">
      <c r="A230" s="5">
        <v>16649200</v>
      </c>
      <c r="B230" s="5" t="s">
        <v>1189</v>
      </c>
      <c r="C230" s="17" t="s">
        <v>28</v>
      </c>
      <c r="D230" s="6" t="s">
        <v>706</v>
      </c>
      <c r="E230" s="6" t="s">
        <v>1190</v>
      </c>
      <c r="F230" s="6" t="s">
        <v>1191</v>
      </c>
      <c r="G230" s="6" t="s">
        <v>1192</v>
      </c>
      <c r="H230" s="6">
        <v>1050529</v>
      </c>
      <c r="I230" s="9" t="s">
        <v>610</v>
      </c>
      <c r="J230" s="9" t="s">
        <v>610</v>
      </c>
      <c r="K230" s="6" t="s">
        <v>25</v>
      </c>
      <c r="L230" s="18" t="s">
        <v>0</v>
      </c>
      <c r="M230" s="4" t="s">
        <v>1122</v>
      </c>
    </row>
    <row r="231" spans="1:13">
      <c r="A231" s="5">
        <v>10033627</v>
      </c>
      <c r="B231" s="5" t="s">
        <v>1193</v>
      </c>
      <c r="C231" s="17" t="s">
        <v>1194</v>
      </c>
      <c r="D231" s="6" t="s">
        <v>374</v>
      </c>
      <c r="E231" s="6" t="s">
        <v>202</v>
      </c>
      <c r="F231" s="6" t="s">
        <v>1195</v>
      </c>
      <c r="G231" s="6" t="s">
        <v>1196</v>
      </c>
      <c r="H231" s="6">
        <v>1050529</v>
      </c>
      <c r="I231" s="9" t="s">
        <v>610</v>
      </c>
      <c r="J231" s="9" t="s">
        <v>610</v>
      </c>
      <c r="K231" s="6" t="s">
        <v>25</v>
      </c>
      <c r="L231" s="18" t="s">
        <v>34</v>
      </c>
      <c r="M231" s="4" t="s">
        <v>342</v>
      </c>
    </row>
    <row r="232" spans="1:13">
      <c r="A232" s="5">
        <v>13835073</v>
      </c>
      <c r="B232" s="5" t="s">
        <v>1197</v>
      </c>
      <c r="C232" s="17" t="s">
        <v>1198</v>
      </c>
      <c r="D232" s="6" t="s">
        <v>1199</v>
      </c>
      <c r="E232" s="6" t="s">
        <v>1200</v>
      </c>
      <c r="F232" s="6" t="s">
        <v>1201</v>
      </c>
      <c r="G232" s="6" t="s">
        <v>1202</v>
      </c>
      <c r="H232" s="6">
        <v>1050529</v>
      </c>
      <c r="I232" s="9" t="s">
        <v>610</v>
      </c>
      <c r="J232" s="9" t="s">
        <v>610</v>
      </c>
      <c r="K232" s="6" t="s">
        <v>25</v>
      </c>
      <c r="L232" s="18" t="s">
        <v>34</v>
      </c>
      <c r="M232" s="4" t="s">
        <v>342</v>
      </c>
    </row>
    <row r="233" spans="1:13">
      <c r="A233" s="5">
        <v>16169301</v>
      </c>
      <c r="B233" s="5" t="s">
        <v>1203</v>
      </c>
      <c r="C233" s="17" t="s">
        <v>1204</v>
      </c>
      <c r="D233" s="6" t="s">
        <v>1205</v>
      </c>
      <c r="E233" s="6" t="s">
        <v>1206</v>
      </c>
      <c r="F233" s="6" t="s">
        <v>1207</v>
      </c>
      <c r="G233" s="6" t="s">
        <v>1208</v>
      </c>
      <c r="H233" s="6">
        <v>1050529</v>
      </c>
      <c r="I233" s="9" t="s">
        <v>610</v>
      </c>
      <c r="J233" s="9" t="s">
        <v>610</v>
      </c>
      <c r="K233" s="6" t="s">
        <v>25</v>
      </c>
      <c r="L233" s="18" t="s">
        <v>0</v>
      </c>
      <c r="M233" s="4" t="s">
        <v>1122</v>
      </c>
    </row>
    <row r="234" spans="1:13">
      <c r="A234" s="5">
        <v>13284475</v>
      </c>
      <c r="B234" s="5" t="s">
        <v>1209</v>
      </c>
      <c r="C234" s="17" t="s">
        <v>738</v>
      </c>
      <c r="D234" s="6" t="s">
        <v>430</v>
      </c>
      <c r="E234" s="6" t="s">
        <v>1210</v>
      </c>
      <c r="F234" s="6" t="s">
        <v>1211</v>
      </c>
      <c r="G234" s="6" t="s">
        <v>1212</v>
      </c>
      <c r="H234" s="8">
        <v>1050551</v>
      </c>
      <c r="I234" s="9" t="s">
        <v>326</v>
      </c>
      <c r="J234" s="9" t="s">
        <v>254</v>
      </c>
      <c r="K234" s="6" t="s">
        <v>25</v>
      </c>
      <c r="L234" s="10" t="s">
        <v>1</v>
      </c>
    </row>
    <row r="235" spans="1:13">
      <c r="A235" s="5">
        <v>7816805</v>
      </c>
      <c r="B235" s="5" t="s">
        <v>1213</v>
      </c>
      <c r="C235" s="17" t="s">
        <v>575</v>
      </c>
      <c r="D235" s="6" t="s">
        <v>419</v>
      </c>
      <c r="E235" s="6" t="s">
        <v>1214</v>
      </c>
      <c r="F235" s="6" t="s">
        <v>1215</v>
      </c>
      <c r="G235" s="6" t="s">
        <v>1216</v>
      </c>
      <c r="H235" s="6">
        <v>1050529</v>
      </c>
      <c r="I235" s="9" t="s">
        <v>610</v>
      </c>
      <c r="J235" s="9" t="s">
        <v>610</v>
      </c>
      <c r="K235" s="6" t="s">
        <v>25</v>
      </c>
      <c r="L235" s="18" t="s">
        <v>1</v>
      </c>
      <c r="M235" s="4" t="s">
        <v>247</v>
      </c>
    </row>
    <row r="236" spans="1:13">
      <c r="A236" s="5">
        <v>10042860</v>
      </c>
      <c r="B236" s="5" t="s">
        <v>1217</v>
      </c>
      <c r="C236" s="17" t="s">
        <v>1218</v>
      </c>
      <c r="D236" s="6" t="s">
        <v>450</v>
      </c>
      <c r="E236" s="6" t="s">
        <v>1219</v>
      </c>
      <c r="F236" s="6" t="s">
        <v>1220</v>
      </c>
      <c r="G236" s="6" t="s">
        <v>1221</v>
      </c>
      <c r="H236" s="6">
        <v>1050529</v>
      </c>
      <c r="I236" s="9" t="s">
        <v>610</v>
      </c>
      <c r="J236" s="9" t="s">
        <v>610</v>
      </c>
      <c r="K236" s="6" t="s">
        <v>25</v>
      </c>
      <c r="L236" s="18" t="s">
        <v>0</v>
      </c>
      <c r="M236" s="4" t="s">
        <v>1122</v>
      </c>
    </row>
    <row r="237" spans="1:13">
      <c r="A237" s="5">
        <v>14005587</v>
      </c>
      <c r="B237" s="5" t="s">
        <v>1222</v>
      </c>
      <c r="C237" s="17" t="s">
        <v>212</v>
      </c>
      <c r="D237" s="6" t="s">
        <v>1223</v>
      </c>
      <c r="E237" s="6" t="s">
        <v>1224</v>
      </c>
      <c r="F237" s="6" t="s">
        <v>1225</v>
      </c>
      <c r="G237" s="6" t="s">
        <v>1226</v>
      </c>
      <c r="H237" s="6">
        <v>1050529</v>
      </c>
      <c r="I237" s="9" t="s">
        <v>610</v>
      </c>
      <c r="J237" s="9" t="s">
        <v>610</v>
      </c>
      <c r="K237" s="6" t="s">
        <v>25</v>
      </c>
      <c r="L237" s="18" t="s">
        <v>0</v>
      </c>
      <c r="M237" s="4" t="s">
        <v>1122</v>
      </c>
    </row>
    <row r="238" spans="1:13">
      <c r="A238" s="5">
        <v>13836182</v>
      </c>
      <c r="B238" s="5" t="s">
        <v>1227</v>
      </c>
      <c r="C238" s="17" t="s">
        <v>760</v>
      </c>
      <c r="D238" s="6" t="s">
        <v>1228</v>
      </c>
      <c r="E238" s="6" t="s">
        <v>1229</v>
      </c>
      <c r="F238" s="6" t="s">
        <v>1230</v>
      </c>
      <c r="G238" s="6" t="s">
        <v>1231</v>
      </c>
      <c r="H238" s="6">
        <v>1050529</v>
      </c>
      <c r="I238" s="9" t="s">
        <v>610</v>
      </c>
      <c r="J238" s="9" t="s">
        <v>610</v>
      </c>
      <c r="K238" s="6" t="s">
        <v>25</v>
      </c>
      <c r="L238" s="18" t="s">
        <v>1</v>
      </c>
      <c r="M238" s="4" t="s">
        <v>247</v>
      </c>
    </row>
    <row r="239" spans="1:13">
      <c r="A239" s="5">
        <v>13295279</v>
      </c>
      <c r="B239" s="5" t="s">
        <v>1232</v>
      </c>
      <c r="C239" s="17" t="s">
        <v>1233</v>
      </c>
      <c r="D239" s="6" t="s">
        <v>1234</v>
      </c>
      <c r="E239" s="6" t="s">
        <v>1235</v>
      </c>
      <c r="F239" s="6" t="s">
        <v>1236</v>
      </c>
      <c r="G239" s="6" t="s">
        <v>1237</v>
      </c>
      <c r="H239" s="6">
        <v>1050529</v>
      </c>
      <c r="I239" s="9" t="s">
        <v>610</v>
      </c>
      <c r="J239" s="9" t="s">
        <v>610</v>
      </c>
      <c r="K239" s="6" t="s">
        <v>25</v>
      </c>
      <c r="L239" s="18" t="s">
        <v>1</v>
      </c>
      <c r="M239" s="4" t="s">
        <v>247</v>
      </c>
    </row>
    <row r="240" spans="1:13">
      <c r="A240" s="5">
        <v>10849486</v>
      </c>
      <c r="B240" s="5" t="s">
        <v>1238</v>
      </c>
      <c r="C240" s="17" t="s">
        <v>1239</v>
      </c>
      <c r="D240" s="6" t="s">
        <v>1173</v>
      </c>
      <c r="E240" s="6" t="s">
        <v>1240</v>
      </c>
      <c r="F240" s="6" t="s">
        <v>1241</v>
      </c>
      <c r="G240" s="6" t="s">
        <v>1242</v>
      </c>
      <c r="H240" s="6">
        <v>1050529</v>
      </c>
      <c r="I240" s="9" t="s">
        <v>610</v>
      </c>
      <c r="J240" s="9" t="s">
        <v>610</v>
      </c>
      <c r="K240" s="6" t="s">
        <v>25</v>
      </c>
      <c r="L240" s="18" t="s">
        <v>34</v>
      </c>
      <c r="M240" s="4" t="s">
        <v>342</v>
      </c>
    </row>
    <row r="241" spans="1:13">
      <c r="A241" s="5">
        <v>15441831</v>
      </c>
      <c r="B241" s="5" t="s">
        <v>1243</v>
      </c>
      <c r="C241" s="17" t="s">
        <v>1244</v>
      </c>
      <c r="D241" s="6" t="s">
        <v>1245</v>
      </c>
      <c r="E241" s="6" t="s">
        <v>1246</v>
      </c>
      <c r="F241" s="6" t="s">
        <v>1247</v>
      </c>
      <c r="G241" s="17" t="s">
        <v>1248</v>
      </c>
      <c r="H241" s="6">
        <v>1050529</v>
      </c>
      <c r="I241" s="9" t="s">
        <v>610</v>
      </c>
      <c r="J241" s="9" t="s">
        <v>610</v>
      </c>
      <c r="K241" s="6" t="s">
        <v>25</v>
      </c>
      <c r="L241" s="18" t="s">
        <v>0</v>
      </c>
      <c r="M241" s="4" t="s">
        <v>1122</v>
      </c>
    </row>
    <row r="242" spans="1:13">
      <c r="A242" s="5">
        <v>13688839</v>
      </c>
      <c r="B242" s="5" t="s">
        <v>1249</v>
      </c>
      <c r="C242" s="6" t="s">
        <v>1250</v>
      </c>
      <c r="D242" s="6" t="s">
        <v>508</v>
      </c>
      <c r="E242" s="6" t="s">
        <v>1251</v>
      </c>
      <c r="F242" s="6" t="s">
        <v>1252</v>
      </c>
      <c r="G242" s="6" t="s">
        <v>1252</v>
      </c>
      <c r="H242" s="6">
        <v>1050616</v>
      </c>
      <c r="I242" s="9" t="s">
        <v>69</v>
      </c>
      <c r="J242" s="33" t="s">
        <v>254</v>
      </c>
      <c r="K242" s="6" t="s">
        <v>25</v>
      </c>
      <c r="L242" s="11" t="s">
        <v>0</v>
      </c>
    </row>
    <row r="243" spans="1:13">
      <c r="A243" s="34">
        <v>8110698</v>
      </c>
      <c r="B243" s="34" t="s">
        <v>1253</v>
      </c>
      <c r="C243" s="35" t="s">
        <v>945</v>
      </c>
      <c r="D243" s="35" t="s">
        <v>235</v>
      </c>
      <c r="E243" s="35" t="s">
        <v>1254</v>
      </c>
      <c r="F243" s="6" t="s">
        <v>1255</v>
      </c>
      <c r="G243" s="6" t="s">
        <v>1256</v>
      </c>
      <c r="H243" s="35">
        <v>1050632</v>
      </c>
      <c r="I243" s="13" t="s">
        <v>77</v>
      </c>
      <c r="J243" s="36" t="s">
        <v>519</v>
      </c>
      <c r="K243" s="35" t="s">
        <v>25</v>
      </c>
      <c r="L243" s="11" t="s">
        <v>0</v>
      </c>
    </row>
    <row r="244" spans="1:13">
      <c r="A244" s="5">
        <v>15444116</v>
      </c>
      <c r="B244" s="5" t="s">
        <v>1257</v>
      </c>
      <c r="C244" s="6" t="s">
        <v>1258</v>
      </c>
      <c r="D244" s="6" t="s">
        <v>1164</v>
      </c>
      <c r="E244" s="6" t="s">
        <v>734</v>
      </c>
      <c r="F244" s="6" t="s">
        <v>1259</v>
      </c>
      <c r="G244" s="6" t="s">
        <v>1260</v>
      </c>
      <c r="H244" s="6">
        <v>1050554</v>
      </c>
      <c r="I244" s="9" t="s">
        <v>4</v>
      </c>
      <c r="J244" s="9" t="s">
        <v>70</v>
      </c>
      <c r="K244" s="6" t="s">
        <v>25</v>
      </c>
      <c r="L244" s="18" t="s">
        <v>1</v>
      </c>
    </row>
    <row r="245" spans="1:13">
      <c r="A245" s="30">
        <v>16441596</v>
      </c>
      <c r="B245" s="5" t="s">
        <v>1261</v>
      </c>
      <c r="C245" s="6" t="s">
        <v>950</v>
      </c>
      <c r="D245" s="6" t="s">
        <v>1262</v>
      </c>
      <c r="E245" s="6" t="s">
        <v>1263</v>
      </c>
      <c r="F245" s="6" t="s">
        <v>1264</v>
      </c>
      <c r="G245" s="6" t="s">
        <v>1265</v>
      </c>
      <c r="H245" s="37">
        <v>1050604</v>
      </c>
      <c r="I245" s="9" t="s">
        <v>1266</v>
      </c>
      <c r="J245" s="9" t="s">
        <v>1267</v>
      </c>
      <c r="K245" s="6" t="s">
        <v>25</v>
      </c>
      <c r="L245" s="10" t="s">
        <v>0</v>
      </c>
    </row>
    <row r="246" spans="1:13">
      <c r="A246" s="30">
        <v>12210109</v>
      </c>
      <c r="B246" s="5" t="s">
        <v>1268</v>
      </c>
      <c r="C246" s="6" t="s">
        <v>1163</v>
      </c>
      <c r="D246" s="6" t="s">
        <v>706</v>
      </c>
      <c r="E246" s="6" t="s">
        <v>1269</v>
      </c>
      <c r="F246" s="6" t="s">
        <v>1270</v>
      </c>
      <c r="G246" s="6" t="s">
        <v>1271</v>
      </c>
      <c r="H246" s="37">
        <v>1050529</v>
      </c>
      <c r="I246" s="9" t="s">
        <v>246</v>
      </c>
      <c r="J246" s="9" t="s">
        <v>246</v>
      </c>
      <c r="K246" s="6" t="s">
        <v>25</v>
      </c>
      <c r="L246" s="18" t="s">
        <v>0</v>
      </c>
      <c r="M246" s="4" t="s">
        <v>1122</v>
      </c>
    </row>
    <row r="247" spans="1:13">
      <c r="A247" s="30">
        <v>9004326</v>
      </c>
      <c r="B247" s="30" t="s">
        <v>1272</v>
      </c>
      <c r="C247" s="37" t="s">
        <v>1273</v>
      </c>
      <c r="D247" s="37" t="s">
        <v>1039</v>
      </c>
      <c r="E247" s="37" t="s">
        <v>1274</v>
      </c>
      <c r="F247" s="6" t="s">
        <v>1275</v>
      </c>
      <c r="G247" s="37" t="s">
        <v>1276</v>
      </c>
      <c r="H247" s="37">
        <v>1050604</v>
      </c>
      <c r="I247" s="9" t="s">
        <v>1266</v>
      </c>
      <c r="J247" s="9" t="s">
        <v>1277</v>
      </c>
      <c r="K247" s="6" t="s">
        <v>25</v>
      </c>
      <c r="L247" s="10" t="s">
        <v>0</v>
      </c>
    </row>
    <row r="248" spans="1:13">
      <c r="A248" s="30">
        <v>14277186</v>
      </c>
      <c r="B248" s="38" t="s">
        <v>1278</v>
      </c>
      <c r="C248" s="37" t="s">
        <v>236</v>
      </c>
      <c r="D248" s="39" t="s">
        <v>358</v>
      </c>
      <c r="E248" s="37" t="s">
        <v>1279</v>
      </c>
      <c r="F248" s="6" t="s">
        <v>1280</v>
      </c>
      <c r="G248" s="40" t="s">
        <v>1281</v>
      </c>
      <c r="H248" s="37">
        <v>1050632</v>
      </c>
      <c r="I248" s="41" t="s">
        <v>77</v>
      </c>
      <c r="J248" s="9" t="s">
        <v>519</v>
      </c>
      <c r="K248" s="6" t="s">
        <v>25</v>
      </c>
      <c r="L248" s="11" t="s">
        <v>34</v>
      </c>
    </row>
    <row r="249" spans="1:13">
      <c r="A249" s="30">
        <v>12896236</v>
      </c>
      <c r="B249" s="5" t="s">
        <v>1282</v>
      </c>
      <c r="C249" s="37" t="s">
        <v>1283</v>
      </c>
      <c r="D249" s="37" t="s">
        <v>37</v>
      </c>
      <c r="E249" s="37" t="s">
        <v>1284</v>
      </c>
      <c r="F249" s="6" t="s">
        <v>1285</v>
      </c>
      <c r="G249" s="5" t="s">
        <v>1286</v>
      </c>
      <c r="H249" s="37">
        <v>1050632</v>
      </c>
      <c r="I249" s="41" t="s">
        <v>77</v>
      </c>
      <c r="J249" s="9" t="s">
        <v>519</v>
      </c>
      <c r="K249" s="6" t="s">
        <v>25</v>
      </c>
      <c r="L249" s="11" t="s">
        <v>1</v>
      </c>
    </row>
    <row r="250" spans="1:13">
      <c r="A250" s="30">
        <v>15391242</v>
      </c>
      <c r="B250" s="5" t="s">
        <v>1287</v>
      </c>
      <c r="C250" s="37" t="s">
        <v>475</v>
      </c>
      <c r="D250" s="37" t="s">
        <v>1288</v>
      </c>
      <c r="E250" s="37" t="s">
        <v>125</v>
      </c>
      <c r="F250" s="6" t="s">
        <v>1289</v>
      </c>
      <c r="G250" s="5" t="s">
        <v>1290</v>
      </c>
      <c r="H250" s="37">
        <v>1050632</v>
      </c>
      <c r="I250" s="41" t="s">
        <v>77</v>
      </c>
      <c r="J250" s="9" t="s">
        <v>519</v>
      </c>
      <c r="K250" s="6" t="s">
        <v>25</v>
      </c>
      <c r="L250" s="11" t="s">
        <v>0</v>
      </c>
    </row>
    <row r="251" spans="1:13">
      <c r="A251" s="30">
        <v>16268829</v>
      </c>
      <c r="B251" s="5" t="s">
        <v>1291</v>
      </c>
      <c r="C251" s="37" t="s">
        <v>640</v>
      </c>
      <c r="D251" s="37" t="s">
        <v>183</v>
      </c>
      <c r="E251" s="37" t="s">
        <v>1292</v>
      </c>
      <c r="F251" s="37" t="s">
        <v>1293</v>
      </c>
      <c r="G251" s="5" t="s">
        <v>1294</v>
      </c>
      <c r="H251" s="37">
        <v>1050610</v>
      </c>
      <c r="I251" s="9" t="s">
        <v>69</v>
      </c>
      <c r="J251" s="9" t="s">
        <v>166</v>
      </c>
      <c r="K251" s="6" t="s">
        <v>25</v>
      </c>
      <c r="L251" s="18" t="s">
        <v>34</v>
      </c>
    </row>
    <row r="252" spans="1:13">
      <c r="A252" s="30">
        <v>5738427</v>
      </c>
      <c r="B252" s="5" t="s">
        <v>1295</v>
      </c>
      <c r="C252" s="37" t="s">
        <v>28</v>
      </c>
      <c r="D252" s="37" t="s">
        <v>859</v>
      </c>
      <c r="E252" s="37" t="s">
        <v>1296</v>
      </c>
      <c r="F252" s="37" t="s">
        <v>1297</v>
      </c>
      <c r="G252" s="6" t="s">
        <v>1298</v>
      </c>
      <c r="H252" s="6">
        <v>1050603</v>
      </c>
      <c r="I252" s="9" t="s">
        <v>305</v>
      </c>
      <c r="J252" s="9" t="s">
        <v>305</v>
      </c>
      <c r="K252" s="6" t="s">
        <v>25</v>
      </c>
      <c r="L252" s="10" t="s">
        <v>0</v>
      </c>
    </row>
    <row r="253" spans="1:13">
      <c r="A253" s="30">
        <v>18364293</v>
      </c>
      <c r="B253" s="5" t="s">
        <v>1299</v>
      </c>
      <c r="C253" s="37" t="s">
        <v>1300</v>
      </c>
      <c r="D253" s="37" t="s">
        <v>188</v>
      </c>
      <c r="E253" s="37" t="s">
        <v>1301</v>
      </c>
      <c r="F253" s="37" t="s">
        <v>1302</v>
      </c>
      <c r="G253" s="30" t="s">
        <v>1303</v>
      </c>
      <c r="H253" s="45">
        <v>1050604</v>
      </c>
      <c r="I253" s="45" t="s">
        <v>1266</v>
      </c>
      <c r="J253" s="45" t="s">
        <v>1373</v>
      </c>
      <c r="K253" s="45" t="s">
        <v>25</v>
      </c>
    </row>
    <row r="254" spans="1:13">
      <c r="A254" s="30">
        <v>18045411</v>
      </c>
      <c r="B254" s="5" t="s">
        <v>1304</v>
      </c>
      <c r="C254" s="37" t="s">
        <v>87</v>
      </c>
      <c r="D254" s="37" t="s">
        <v>87</v>
      </c>
      <c r="E254" s="37" t="s">
        <v>1305</v>
      </c>
      <c r="F254" s="37" t="s">
        <v>1306</v>
      </c>
      <c r="G254" s="30" t="s">
        <v>1307</v>
      </c>
      <c r="H254" s="45">
        <v>1050604</v>
      </c>
      <c r="I254" s="45" t="s">
        <v>1266</v>
      </c>
      <c r="J254" s="45" t="s">
        <v>1373</v>
      </c>
      <c r="K254" s="45" t="s">
        <v>25</v>
      </c>
    </row>
    <row r="255" spans="1:13">
      <c r="A255" s="109">
        <v>18187438</v>
      </c>
      <c r="B255" s="45" t="s">
        <v>1308</v>
      </c>
      <c r="C255" s="37" t="s">
        <v>1309</v>
      </c>
      <c r="D255" s="37" t="s">
        <v>1310</v>
      </c>
      <c r="E255" s="37" t="s">
        <v>1311</v>
      </c>
      <c r="F255" s="37" t="s">
        <v>1312</v>
      </c>
      <c r="G255" s="30" t="s">
        <v>1313</v>
      </c>
      <c r="H255" s="45">
        <v>1050604</v>
      </c>
      <c r="I255" s="45" t="s">
        <v>1266</v>
      </c>
      <c r="J255" s="45" t="s">
        <v>1373</v>
      </c>
      <c r="K255" s="45" t="s">
        <v>25</v>
      </c>
    </row>
    <row r="256" spans="1:13">
      <c r="A256" s="109">
        <v>17546614</v>
      </c>
      <c r="B256" s="45" t="s">
        <v>1314</v>
      </c>
      <c r="C256" s="37" t="s">
        <v>28</v>
      </c>
      <c r="D256" s="6" t="s">
        <v>1374</v>
      </c>
      <c r="E256" s="37" t="s">
        <v>1315</v>
      </c>
      <c r="F256" s="37" t="s">
        <v>1316</v>
      </c>
      <c r="G256" s="30" t="s">
        <v>1317</v>
      </c>
      <c r="H256" s="45">
        <v>1050633</v>
      </c>
      <c r="I256" s="45" t="s">
        <v>32</v>
      </c>
      <c r="J256" s="45" t="s">
        <v>1375</v>
      </c>
      <c r="K256" s="45" t="s">
        <v>25</v>
      </c>
    </row>
    <row r="257" spans="1:11">
      <c r="A257" s="109">
        <v>14005685</v>
      </c>
      <c r="B257" s="45" t="s">
        <v>1318</v>
      </c>
      <c r="C257" s="37" t="s">
        <v>693</v>
      </c>
      <c r="D257" s="37" t="s">
        <v>1319</v>
      </c>
      <c r="E257" s="37" t="s">
        <v>1320</v>
      </c>
      <c r="F257" s="37" t="s">
        <v>1321</v>
      </c>
      <c r="G257" s="30" t="s">
        <v>1322</v>
      </c>
      <c r="H257" s="45">
        <v>1050633</v>
      </c>
      <c r="I257" s="45" t="s">
        <v>32</v>
      </c>
      <c r="J257" s="45" t="s">
        <v>1375</v>
      </c>
      <c r="K257" s="45" t="s">
        <v>25</v>
      </c>
    </row>
    <row r="258" spans="1:11">
      <c r="A258" s="109">
        <v>23040236</v>
      </c>
      <c r="B258" s="45" t="s">
        <v>1376</v>
      </c>
      <c r="C258" s="6" t="s">
        <v>791</v>
      </c>
      <c r="D258" s="6" t="s">
        <v>797</v>
      </c>
      <c r="E258" s="6" t="s">
        <v>1323</v>
      </c>
      <c r="F258" s="6" t="s">
        <v>1324</v>
      </c>
      <c r="G258" s="6" t="s">
        <v>1325</v>
      </c>
      <c r="H258" s="45">
        <v>1050506</v>
      </c>
      <c r="I258" s="45" t="s">
        <v>32</v>
      </c>
      <c r="J258" s="45" t="s">
        <v>1375</v>
      </c>
      <c r="K258" s="45" t="s">
        <v>25</v>
      </c>
    </row>
    <row r="259" spans="1:11">
      <c r="A259" s="109">
        <v>11267622</v>
      </c>
      <c r="B259" s="109" t="s">
        <v>1377</v>
      </c>
      <c r="C259" s="37" t="s">
        <v>612</v>
      </c>
      <c r="D259" s="37" t="s">
        <v>901</v>
      </c>
      <c r="E259" s="37" t="s">
        <v>1378</v>
      </c>
      <c r="F259" s="37" t="s">
        <v>1379</v>
      </c>
      <c r="G259" s="30" t="s">
        <v>1380</v>
      </c>
      <c r="H259" s="45">
        <v>1050633</v>
      </c>
      <c r="I259" s="45" t="s">
        <v>32</v>
      </c>
      <c r="J259" s="45" t="s">
        <v>1375</v>
      </c>
      <c r="K259" s="45" t="s">
        <v>25</v>
      </c>
    </row>
    <row r="260" spans="1:11">
      <c r="A260" s="45">
        <v>16558908</v>
      </c>
      <c r="B260" s="45" t="s">
        <v>1381</v>
      </c>
      <c r="C260" s="37" t="s">
        <v>1382</v>
      </c>
      <c r="D260" s="37" t="s">
        <v>37</v>
      </c>
      <c r="E260" s="37" t="s">
        <v>421</v>
      </c>
      <c r="F260" s="37" t="s">
        <v>1383</v>
      </c>
      <c r="G260" s="30" t="s">
        <v>1384</v>
      </c>
      <c r="H260" s="45">
        <v>1050529</v>
      </c>
      <c r="I260" s="62" t="s">
        <v>246</v>
      </c>
      <c r="J260" s="110" t="s">
        <v>246</v>
      </c>
      <c r="K260" s="45" t="s">
        <v>25</v>
      </c>
    </row>
  </sheetData>
  <autoFilter ref="A1:E260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AV700"/>
  <sheetViews>
    <sheetView tabSelected="1" topLeftCell="I1" zoomScale="85" zoomScaleNormal="85" workbookViewId="0">
      <selection activeCell="Q55" sqref="Q55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  <col min="37" max="37" width="12.28515625" bestFit="1" customWidth="1"/>
    <col min="38" max="38" width="14.28515625" customWidth="1"/>
    <col min="39" max="39" width="12.28515625" bestFit="1" customWidth="1"/>
    <col min="40" max="40" width="14.28515625" customWidth="1"/>
    <col min="41" max="43" width="12.28515625" bestFit="1" customWidth="1"/>
    <col min="44" max="46" width="12.42578125" customWidth="1"/>
  </cols>
  <sheetData>
    <row r="3" spans="1:48">
      <c r="A3" s="43" t="s">
        <v>1326</v>
      </c>
      <c r="B3" s="43" t="s">
        <v>13</v>
      </c>
      <c r="C3" s="43" t="s">
        <v>1327</v>
      </c>
      <c r="D3" s="43" t="s">
        <v>1328</v>
      </c>
      <c r="E3" s="43" t="s">
        <v>1329</v>
      </c>
      <c r="H3" s="44" t="s">
        <v>6</v>
      </c>
    </row>
    <row r="4" spans="1:48" ht="18.75">
      <c r="A4" s="45" t="str">
        <f>IF(Base!B2="","",Base!B2)</f>
        <v>06.434.911-2</v>
      </c>
      <c r="B4" s="45" t="str">
        <f>IF(Base!F2="","",Base!F2)</f>
        <v>EDUARDO   ABARCA  JARA</v>
      </c>
      <c r="C4" s="45" t="str">
        <f>IF(Base!I2="","",Base!I2)</f>
        <v>Linea 2</v>
      </c>
      <c r="D4" s="46" t="str">
        <f>IF(Base!J2="","",Base!J2)</f>
        <v>Despalletizador</v>
      </c>
      <c r="E4" s="45">
        <f>IF(Base!H2="","",Base!H2)</f>
        <v>1050553</v>
      </c>
      <c r="H4" s="44" t="s">
        <v>1330</v>
      </c>
      <c r="K4" s="47" t="s">
        <v>1331</v>
      </c>
      <c r="L4" s="72">
        <f>(WEEKNUM(Q9))-1</f>
        <v>15</v>
      </c>
    </row>
    <row r="5" spans="1:48" ht="18.75">
      <c r="A5" s="45" t="str">
        <f>IF(Base!B3="","",Base!B3)</f>
        <v>08.224.093-4</v>
      </c>
      <c r="B5" s="45" t="str">
        <f>IF(Base!F3="","",Base!F3)</f>
        <v>MARIO DEL TRANSITO  ACEVEDO  MARTINEZ</v>
      </c>
      <c r="C5" s="45" t="str">
        <f>IF(Base!I3="","",Base!I3)</f>
        <v>Abastecimiento</v>
      </c>
      <c r="D5" s="46" t="str">
        <f>IF(Base!J3="","",Base!J3)</f>
        <v>Control Ingresos Cen</v>
      </c>
      <c r="E5" s="45">
        <f>IF(Base!H3="","",Base!H3)</f>
        <v>1050126</v>
      </c>
      <c r="H5" s="44" t="s">
        <v>1332</v>
      </c>
      <c r="K5" s="47" t="s">
        <v>1333</v>
      </c>
      <c r="L5" s="73">
        <f>Q9</f>
        <v>40644</v>
      </c>
      <c r="P5" s="69"/>
    </row>
    <row r="6" spans="1:48">
      <c r="A6" s="45" t="str">
        <f>IF(Base!B4="","",Base!B4)</f>
        <v>12.677.439-7</v>
      </c>
      <c r="B6" s="45" t="str">
        <f>IF(Base!F4="","",Base!F4)</f>
        <v>ANDRES RAUL  AEDO  MUÑOZ</v>
      </c>
      <c r="C6" s="45" t="str">
        <f>IF(Base!I4="","",Base!I4)</f>
        <v>Abastecimiento</v>
      </c>
      <c r="D6" s="46" t="str">
        <f>IF(Base!J4="","",Base!J4)</f>
        <v>Preparación de Insum</v>
      </c>
      <c r="E6" s="45">
        <f>IF(Base!H4="","",Base!H4)</f>
        <v>1050127</v>
      </c>
      <c r="H6" s="44" t="s">
        <v>1353</v>
      </c>
    </row>
    <row r="7" spans="1:48">
      <c r="A7" s="45" t="str">
        <f>IF(Base!B5="","",Base!B5)</f>
        <v>08.809.784-K</v>
      </c>
      <c r="B7" s="45" t="str">
        <f>IF(Base!F5="","",Base!F5)</f>
        <v>CARLOS ANTONIO  AGUILERA  LABRIN</v>
      </c>
      <c r="C7" s="45" t="str">
        <f>IF(Base!I5="","",Base!I5)</f>
        <v>Sala filtros</v>
      </c>
      <c r="D7" s="46" t="str">
        <f>IF(Base!J5="","",Base!J5)</f>
        <v>Operador sala de filtros</v>
      </c>
      <c r="E7" s="45">
        <f>IF(Base!H5="","",Base!H5)</f>
        <v>1050574</v>
      </c>
    </row>
    <row r="8" spans="1:48">
      <c r="A8" s="45" t="str">
        <f>IF(Base!B6="","",Base!B6)</f>
        <v>16.191.666-8</v>
      </c>
      <c r="B8" s="45" t="str">
        <f>IF(Base!F6="","",Base!F6)</f>
        <v>KAREN FABIOLA  ALARCON  SILVA</v>
      </c>
      <c r="C8" s="45" t="str">
        <f>IF(Base!I6="","",Base!I6)</f>
        <v>Abastecimiento</v>
      </c>
      <c r="D8" s="46" t="str">
        <f>IF(Base!J6="","",Base!J6)</f>
        <v>Reimpresión</v>
      </c>
      <c r="E8" s="45">
        <f>IF(Base!H6="","",Base!H6)</f>
        <v>1050506</v>
      </c>
    </row>
    <row r="9" spans="1:48" ht="14.25">
      <c r="A9" s="45" t="str">
        <f>IF(Base!B7="","",Base!B7)</f>
        <v>07.760.886-9</v>
      </c>
      <c r="B9" s="45" t="str">
        <f>IF(Base!F7="","",Base!F7)</f>
        <v>OSCAR ALFREDO  ALBORNOZ  ROA</v>
      </c>
      <c r="C9" s="45" t="str">
        <f>IF(Base!I7="","",Base!I7)</f>
        <v>Abastecimiento</v>
      </c>
      <c r="D9" s="46" t="str">
        <f>IF(Base!J7="","",Base!J7)</f>
        <v>Preparación de Insum</v>
      </c>
      <c r="E9" s="45">
        <f>IF(Base!H7="","",Base!H7)</f>
        <v>1050127</v>
      </c>
      <c r="J9" s="48"/>
      <c r="K9" s="48"/>
      <c r="L9" s="48"/>
      <c r="M9" s="49"/>
      <c r="N9" s="49"/>
      <c r="O9" s="49"/>
      <c r="P9" s="49"/>
      <c r="Q9" s="115">
        <v>40644</v>
      </c>
      <c r="R9" s="116"/>
      <c r="S9" s="115">
        <f>Q9+1</f>
        <v>40645</v>
      </c>
      <c r="T9" s="116"/>
      <c r="U9" s="115">
        <f t="shared" ref="U9" si="0">S9+1</f>
        <v>40646</v>
      </c>
      <c r="V9" s="116"/>
      <c r="W9" s="115">
        <f t="shared" ref="W9" si="1">U9+1</f>
        <v>40647</v>
      </c>
      <c r="X9" s="116"/>
      <c r="Y9" s="115">
        <f t="shared" ref="Y9" si="2">W9+1</f>
        <v>40648</v>
      </c>
      <c r="Z9" s="116"/>
      <c r="AA9" s="115">
        <f t="shared" ref="AA9" si="3">Y9+1</f>
        <v>40649</v>
      </c>
      <c r="AB9" s="116"/>
      <c r="AC9" s="115">
        <f t="shared" ref="AC9" si="4">AA9+1</f>
        <v>40650</v>
      </c>
      <c r="AD9" s="117"/>
      <c r="AE9" s="111"/>
      <c r="AF9" s="112"/>
      <c r="AG9" s="113" t="s">
        <v>5</v>
      </c>
      <c r="AR9" s="86"/>
      <c r="AS9" s="86"/>
      <c r="AT9" s="86"/>
      <c r="AU9" s="86"/>
      <c r="AV9" s="86"/>
    </row>
    <row r="10" spans="1:48" ht="14.25">
      <c r="A10" s="45" t="str">
        <f>IF(Base!B8="","",Base!B8)</f>
        <v>13.838.747-K</v>
      </c>
      <c r="B10" s="45" t="str">
        <f>IF(Base!F8="","",Base!F8)</f>
        <v>MAURICIO  ALLENDES  VARGAS</v>
      </c>
      <c r="C10" s="45" t="str">
        <f>IF(Base!I8="","",Base!I8)</f>
        <v>Linea 6</v>
      </c>
      <c r="D10" s="46" t="str">
        <f>IF(Base!J8="","",Base!J8)</f>
        <v>Embalador</v>
      </c>
      <c r="E10" s="45">
        <f>IF(Base!H8="","",Base!H8)</f>
        <v>1050610</v>
      </c>
      <c r="J10" s="50" t="s">
        <v>1334</v>
      </c>
      <c r="K10" s="50" t="s">
        <v>1326</v>
      </c>
      <c r="L10" s="50" t="s">
        <v>1335</v>
      </c>
      <c r="M10" s="51" t="s">
        <v>1336</v>
      </c>
      <c r="N10" s="51" t="s">
        <v>1337</v>
      </c>
      <c r="O10" s="51" t="s">
        <v>1338</v>
      </c>
      <c r="P10" s="51" t="s">
        <v>2</v>
      </c>
      <c r="Q10" s="52">
        <v>0.5</v>
      </c>
      <c r="R10" s="52">
        <v>1</v>
      </c>
      <c r="S10" s="52">
        <v>0.5</v>
      </c>
      <c r="T10" s="52">
        <v>1</v>
      </c>
      <c r="U10" s="52">
        <v>0.5</v>
      </c>
      <c r="V10" s="52">
        <v>1</v>
      </c>
      <c r="W10" s="52">
        <v>0.5</v>
      </c>
      <c r="X10" s="52">
        <v>1</v>
      </c>
      <c r="Y10" s="52">
        <v>0.5</v>
      </c>
      <c r="Z10" s="52">
        <v>1</v>
      </c>
      <c r="AA10" s="52">
        <v>0.5</v>
      </c>
      <c r="AB10" s="52">
        <v>1</v>
      </c>
      <c r="AC10" s="52">
        <v>0.5</v>
      </c>
      <c r="AD10" s="52">
        <v>1</v>
      </c>
      <c r="AE10" s="52">
        <v>0.5</v>
      </c>
      <c r="AF10" s="52">
        <v>1</v>
      </c>
      <c r="AG10" s="114"/>
      <c r="AN10" s="87">
        <f>Q9</f>
        <v>40644</v>
      </c>
      <c r="AO10" s="87">
        <f>S9</f>
        <v>40645</v>
      </c>
      <c r="AP10" s="87">
        <f>U9</f>
        <v>40646</v>
      </c>
      <c r="AQ10" s="87">
        <f>W9</f>
        <v>40647</v>
      </c>
      <c r="AR10" s="87">
        <f>Y9</f>
        <v>40648</v>
      </c>
      <c r="AS10" s="87">
        <f>AA9</f>
        <v>40649</v>
      </c>
      <c r="AT10" s="87">
        <f>AC9</f>
        <v>40650</v>
      </c>
      <c r="AU10" s="52" t="s">
        <v>1339</v>
      </c>
    </row>
    <row r="11" spans="1:48" ht="13.5">
      <c r="A11" s="45" t="str">
        <f>IF(Base!B9="","",Base!B9)</f>
        <v>22.637.242-3</v>
      </c>
      <c r="B11" s="45" t="str">
        <f>IF(Base!F9="","",Base!F9)</f>
        <v>MARISOL  ALVAREZ  CONTRERAS</v>
      </c>
      <c r="C11" s="45" t="str">
        <f>IF(Base!I9="","",Base!I9)</f>
        <v>Control y Gestión</v>
      </c>
      <c r="D11" s="46" t="str">
        <f>IF(Base!J9="","",Base!J9)</f>
        <v>Analista  control</v>
      </c>
      <c r="E11" s="45">
        <f>IF(Base!H9="","",Base!H9)</f>
        <v>1050632</v>
      </c>
      <c r="J11" s="53">
        <v>1</v>
      </c>
      <c r="K11" s="74" t="s">
        <v>732</v>
      </c>
      <c r="L11" s="55" t="str">
        <f>IF(K11="","",VLOOKUP($K11,A:D,2,FALSE))</f>
        <v>MANUEL  ORTIZ  CONTRERAS</v>
      </c>
      <c r="M11" s="55">
        <f>IF(K11="","",VLOOKUP(K11,A:E,5,FALSE))</f>
        <v>1050557</v>
      </c>
      <c r="N11" s="56" t="str">
        <f>IF(K11="","",VLOOKUP(K11,A:C,3,FALSE))</f>
        <v>Linea 4</v>
      </c>
      <c r="O11" s="56" t="str">
        <f>IF(K11="","",VLOOKUP(K11,A:D,4,FALSE))</f>
        <v>Llenador</v>
      </c>
      <c r="P11" s="57" t="s">
        <v>6</v>
      </c>
      <c r="Q11" s="58">
        <v>2.5</v>
      </c>
      <c r="R11" s="59"/>
      <c r="S11" s="58"/>
      <c r="T11" s="59"/>
      <c r="U11" s="58">
        <v>2.5</v>
      </c>
      <c r="V11" s="59"/>
      <c r="W11" s="58"/>
      <c r="X11" s="59"/>
      <c r="Y11" s="58"/>
      <c r="Z11" s="59"/>
      <c r="AA11" s="58"/>
      <c r="AB11" s="59"/>
      <c r="AC11" s="58"/>
      <c r="AD11" s="59"/>
      <c r="AE11" s="60">
        <f>SUM(Q11,S11,U11,W11,Y11,AA11,AC11)</f>
        <v>5</v>
      </c>
      <c r="AF11" s="60">
        <f>SUM(R11,T11,V11,X11,Z11,AB11,AD11)</f>
        <v>0</v>
      </c>
      <c r="AG11" s="61"/>
      <c r="AL11" s="45" t="str">
        <f>IF(K11="","",K11)</f>
        <v>09.503.712-7</v>
      </c>
      <c r="AM11" s="45">
        <v>2</v>
      </c>
      <c r="AN11" s="45">
        <f t="shared" ref="AN11:AN24" si="5">SUM(Q11:R11)</f>
        <v>2.5</v>
      </c>
      <c r="AO11" s="45">
        <f t="shared" ref="AO11:AO24" si="6">SUM(S11:T11)</f>
        <v>0</v>
      </c>
      <c r="AP11" s="45">
        <f t="shared" ref="AP11:AP24" si="7">SUM(U11:V11)</f>
        <v>2.5</v>
      </c>
      <c r="AQ11" s="45">
        <f t="shared" ref="AQ11:AQ24" si="8">SUM(W11:X11)</f>
        <v>0</v>
      </c>
      <c r="AR11" s="45">
        <f t="shared" ref="AR11:AR24" si="9">SUM(Y11:Z11)</f>
        <v>0</v>
      </c>
      <c r="AS11" s="45">
        <f t="shared" ref="AS11:AS24" si="10">SUM(AA11:AB11)</f>
        <v>0</v>
      </c>
      <c r="AT11" s="45">
        <f t="shared" ref="AT11:AT24" si="11">SUM(AC11:AD11)</f>
        <v>0</v>
      </c>
      <c r="AU11" s="62">
        <f t="shared" ref="AU11:AU74" si="12">IF(SUM(AE11:AF11)=0,"",SUM(AE11:AF11))</f>
        <v>5</v>
      </c>
    </row>
    <row r="12" spans="1:48" ht="13.5">
      <c r="A12" s="45" t="str">
        <f>IF(Base!B10="","",Base!B10)</f>
        <v>17.609.782-5</v>
      </c>
      <c r="B12" s="45" t="str">
        <f>IF(Base!F10="","",Base!F10)</f>
        <v>CRISTIAN DANIEL  ALVAREZ  REYES</v>
      </c>
      <c r="C12" s="45" t="str">
        <f>IF(Base!I10="","",Base!I10)</f>
        <v>Abastecimiento</v>
      </c>
      <c r="D12" s="46" t="str">
        <f>IF(Base!J10="","",Base!J10)</f>
        <v>Almacen Envases Pirq</v>
      </c>
      <c r="E12" s="45">
        <f>IF(Base!H10="","",Base!H10)</f>
        <v>1050162</v>
      </c>
      <c r="J12" s="53">
        <v>2</v>
      </c>
      <c r="K12" s="74" t="s">
        <v>974</v>
      </c>
      <c r="L12" s="55" t="str">
        <f t="shared" ref="L12:L75" si="13">IF(K12="","",VLOOKUP($K12,A:D,2,FALSE))</f>
        <v>LUIS ALBERTO  SALINAS  SALDIAS</v>
      </c>
      <c r="M12" s="55">
        <f t="shared" ref="M12:M75" si="14">IF(K12="","",VLOOKUP(K12,A:E,5,FALSE))</f>
        <v>1050565</v>
      </c>
      <c r="N12" s="56" t="str">
        <f t="shared" ref="N12:N75" si="15">IF(K12="","",VLOOKUP(K12,A:C,3,FALSE))</f>
        <v>Reprocesos</v>
      </c>
      <c r="O12" s="56" t="str">
        <f t="shared" ref="O12:O75" si="16">IF(K12="","",VLOOKUP(K12,A:D,4,FALSE))</f>
        <v>Encargado</v>
      </c>
      <c r="P12" s="57" t="s">
        <v>6</v>
      </c>
      <c r="Q12" s="63"/>
      <c r="R12" s="53"/>
      <c r="S12" s="63">
        <v>2.5</v>
      </c>
      <c r="T12" s="53"/>
      <c r="U12" s="63">
        <v>2.5</v>
      </c>
      <c r="V12" s="53"/>
      <c r="W12" s="63"/>
      <c r="X12" s="53"/>
      <c r="Y12" s="63"/>
      <c r="Z12" s="53"/>
      <c r="AA12" s="63"/>
      <c r="AB12" s="53"/>
      <c r="AC12" s="63"/>
      <c r="AD12" s="53"/>
      <c r="AE12" s="60">
        <f t="shared" ref="AE12:AF16" si="17">SUM(Q12,S12,U12,W12,Y12,AA12,AC12)</f>
        <v>5</v>
      </c>
      <c r="AF12" s="60">
        <f t="shared" si="17"/>
        <v>0</v>
      </c>
      <c r="AG12" s="61"/>
      <c r="AL12" s="45" t="str">
        <f t="shared" ref="AL12:AL24" si="18">IF(K12="","",K12)</f>
        <v>15.891.790-4</v>
      </c>
      <c r="AM12" s="45">
        <v>3</v>
      </c>
      <c r="AN12" s="45">
        <f t="shared" si="5"/>
        <v>0</v>
      </c>
      <c r="AO12" s="45">
        <f t="shared" si="6"/>
        <v>2.5</v>
      </c>
      <c r="AP12" s="45">
        <f t="shared" si="7"/>
        <v>2.5</v>
      </c>
      <c r="AQ12" s="45">
        <f t="shared" si="8"/>
        <v>0</v>
      </c>
      <c r="AR12" s="45">
        <f t="shared" si="9"/>
        <v>0</v>
      </c>
      <c r="AS12" s="45">
        <f t="shared" si="10"/>
        <v>0</v>
      </c>
      <c r="AT12" s="45">
        <f t="shared" si="11"/>
        <v>0</v>
      </c>
      <c r="AU12" s="62">
        <f t="shared" si="12"/>
        <v>5</v>
      </c>
    </row>
    <row r="13" spans="1:48" ht="13.5">
      <c r="A13" s="45" t="str">
        <f>IF(Base!B11="","",Base!B11)</f>
        <v>10.846.598-0</v>
      </c>
      <c r="B13" s="45" t="str">
        <f>IF(Base!F11="","",Base!F11)</f>
        <v>RODOLFO ALBERTO  ALVEAR  GONZALEZ</v>
      </c>
      <c r="C13" s="45" t="str">
        <f>IF(Base!I11="","",Base!I11)</f>
        <v>Linea 7</v>
      </c>
      <c r="D13" s="46" t="str">
        <f>IF(Base!J11="","",Base!J11)</f>
        <v>Palletizador</v>
      </c>
      <c r="E13" s="45">
        <f>IF(Base!H11="","",Base!H11)</f>
        <v>1050616</v>
      </c>
      <c r="J13" s="53">
        <v>3</v>
      </c>
      <c r="K13" s="74" t="s">
        <v>234</v>
      </c>
      <c r="L13" s="55" t="str">
        <f t="shared" si="13"/>
        <v>JUAN A  CASTAÑEDA  SANHUEZA</v>
      </c>
      <c r="M13" s="55">
        <f t="shared" si="14"/>
        <v>1050574</v>
      </c>
      <c r="N13" s="56" t="str">
        <f t="shared" si="15"/>
        <v>Sala filtros</v>
      </c>
      <c r="O13" s="56" t="str">
        <f t="shared" si="16"/>
        <v>Operador sala de filtros</v>
      </c>
      <c r="P13" s="57" t="s">
        <v>1332</v>
      </c>
      <c r="Q13" s="63"/>
      <c r="R13" s="53">
        <v>7.5</v>
      </c>
      <c r="S13" s="63"/>
      <c r="T13" s="53"/>
      <c r="U13" s="63"/>
      <c r="V13" s="53"/>
      <c r="W13" s="63"/>
      <c r="X13" s="53"/>
      <c r="Y13" s="63"/>
      <c r="Z13" s="53"/>
      <c r="AA13" s="63"/>
      <c r="AB13" s="53"/>
      <c r="AC13" s="63"/>
      <c r="AD13" s="53"/>
      <c r="AE13" s="60">
        <f t="shared" si="17"/>
        <v>0</v>
      </c>
      <c r="AF13" s="60">
        <f t="shared" si="17"/>
        <v>7.5</v>
      </c>
      <c r="AG13" s="61"/>
      <c r="AL13" s="45" t="str">
        <f t="shared" si="18"/>
        <v>08.465.592-9</v>
      </c>
      <c r="AM13" s="45">
        <v>4</v>
      </c>
      <c r="AN13" s="45">
        <f t="shared" si="5"/>
        <v>7.5</v>
      </c>
      <c r="AO13" s="45">
        <f t="shared" si="6"/>
        <v>0</v>
      </c>
      <c r="AP13" s="45">
        <f t="shared" si="7"/>
        <v>0</v>
      </c>
      <c r="AQ13" s="45">
        <f t="shared" si="8"/>
        <v>0</v>
      </c>
      <c r="AR13" s="45">
        <f t="shared" si="9"/>
        <v>0</v>
      </c>
      <c r="AS13" s="45">
        <f t="shared" si="10"/>
        <v>0</v>
      </c>
      <c r="AT13" s="45">
        <f t="shared" si="11"/>
        <v>0</v>
      </c>
      <c r="AU13" s="62">
        <f t="shared" si="12"/>
        <v>7.5</v>
      </c>
    </row>
    <row r="14" spans="1:48" ht="13.5">
      <c r="A14" s="45" t="str">
        <f>IF(Base!B12="","",Base!B12)</f>
        <v>12.093.228-4</v>
      </c>
      <c r="B14" s="45" t="str">
        <f>IF(Base!F12="","",Base!F12)</f>
        <v>CRISTIAN  ARANCIBIA  NIETO</v>
      </c>
      <c r="C14" s="45" t="str">
        <f>IF(Base!I12="","",Base!I12)</f>
        <v>Abastecimiento</v>
      </c>
      <c r="D14" s="46" t="str">
        <f>IF(Base!J12="","",Base!J12)</f>
        <v>Preparación de Insum</v>
      </c>
      <c r="E14" s="45">
        <f>IF(Base!H12="","",Base!H12)</f>
        <v>1050127</v>
      </c>
      <c r="J14" s="53">
        <v>4</v>
      </c>
      <c r="K14" s="74" t="s">
        <v>1076</v>
      </c>
      <c r="L14" s="55" t="str">
        <f t="shared" si="13"/>
        <v>MANUEL ORLANDO  VEGA  LEYTON</v>
      </c>
      <c r="M14" s="55">
        <f t="shared" si="14"/>
        <v>1050574</v>
      </c>
      <c r="N14" s="56" t="str">
        <f t="shared" si="15"/>
        <v>Sala filtros</v>
      </c>
      <c r="O14" s="56" t="str">
        <f t="shared" si="16"/>
        <v>Operador sala de filtros</v>
      </c>
      <c r="P14" s="57" t="s">
        <v>1332</v>
      </c>
      <c r="Q14" s="63"/>
      <c r="R14" s="63">
        <v>7.5</v>
      </c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0">
        <f t="shared" si="17"/>
        <v>0</v>
      </c>
      <c r="AF14" s="60">
        <f t="shared" si="17"/>
        <v>7.5</v>
      </c>
      <c r="AG14" s="61"/>
      <c r="AL14" s="45" t="str">
        <f t="shared" si="18"/>
        <v>08.881.760-5</v>
      </c>
      <c r="AM14" s="45">
        <v>5</v>
      </c>
      <c r="AN14" s="45">
        <f t="shared" si="5"/>
        <v>7.5</v>
      </c>
      <c r="AO14" s="45">
        <f t="shared" si="6"/>
        <v>0</v>
      </c>
      <c r="AP14" s="45">
        <f t="shared" si="7"/>
        <v>0</v>
      </c>
      <c r="AQ14" s="45">
        <f t="shared" si="8"/>
        <v>0</v>
      </c>
      <c r="AR14" s="45">
        <f t="shared" si="9"/>
        <v>0</v>
      </c>
      <c r="AS14" s="45">
        <f t="shared" si="10"/>
        <v>0</v>
      </c>
      <c r="AT14" s="45">
        <f t="shared" si="11"/>
        <v>0</v>
      </c>
      <c r="AU14" s="62">
        <f t="shared" si="12"/>
        <v>7.5</v>
      </c>
    </row>
    <row r="15" spans="1:48" ht="13.5">
      <c r="A15" s="45" t="str">
        <f>IF(Base!B13="","",Base!B13)</f>
        <v>09.960.185-K</v>
      </c>
      <c r="B15" s="45" t="str">
        <f>IF(Base!F13="","",Base!F13)</f>
        <v>ERIC PATRICIO  ARANCIBIA  QUINTANA</v>
      </c>
      <c r="C15" s="45" t="str">
        <f>IF(Base!I13="","",Base!I13)</f>
        <v>Ingeniero Proceso</v>
      </c>
      <c r="D15" s="46" t="str">
        <f>IF(Base!J13="","",Base!J13)</f>
        <v>Ingeniero Proceso</v>
      </c>
      <c r="E15" s="45">
        <f>IF(Base!H13="","",Base!H13)</f>
        <v>1050502</v>
      </c>
      <c r="J15" s="53">
        <v>5</v>
      </c>
      <c r="K15" s="74" t="s">
        <v>685</v>
      </c>
      <c r="L15" s="55" t="str">
        <f t="shared" si="13"/>
        <v>JULIO  NADEAU  JOFRE</v>
      </c>
      <c r="M15" s="55">
        <f t="shared" si="14"/>
        <v>1050574</v>
      </c>
      <c r="N15" s="56" t="str">
        <f t="shared" si="15"/>
        <v>Control y Gestión</v>
      </c>
      <c r="O15" s="56" t="str">
        <f t="shared" si="16"/>
        <v>Analista  almacén</v>
      </c>
      <c r="P15" s="57" t="s">
        <v>1353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>
        <v>6</v>
      </c>
      <c r="AB15" s="63"/>
      <c r="AC15" s="63"/>
      <c r="AD15" s="63"/>
      <c r="AE15" s="60">
        <f t="shared" si="17"/>
        <v>6</v>
      </c>
      <c r="AF15" s="60">
        <f t="shared" si="17"/>
        <v>0</v>
      </c>
      <c r="AG15" s="61"/>
      <c r="AL15" s="45" t="str">
        <f t="shared" si="18"/>
        <v>15.437.429-9</v>
      </c>
      <c r="AM15" s="45">
        <v>6</v>
      </c>
      <c r="AN15" s="45">
        <f t="shared" si="5"/>
        <v>0</v>
      </c>
      <c r="AO15" s="45">
        <f t="shared" si="6"/>
        <v>0</v>
      </c>
      <c r="AP15" s="45">
        <f t="shared" si="7"/>
        <v>0</v>
      </c>
      <c r="AQ15" s="45">
        <f t="shared" si="8"/>
        <v>0</v>
      </c>
      <c r="AR15" s="45">
        <f t="shared" si="9"/>
        <v>0</v>
      </c>
      <c r="AS15" s="45">
        <f t="shared" si="10"/>
        <v>6</v>
      </c>
      <c r="AT15" s="45">
        <f t="shared" si="11"/>
        <v>0</v>
      </c>
      <c r="AU15" s="62">
        <f t="shared" si="12"/>
        <v>6</v>
      </c>
    </row>
    <row r="16" spans="1:48" ht="13.5">
      <c r="A16" s="45" t="str">
        <f>IF(Base!B14="","",Base!B14)</f>
        <v>08.283.277-7</v>
      </c>
      <c r="B16" s="45" t="str">
        <f>IF(Base!F14="","",Base!F14)</f>
        <v>LEONARDO ALFREDO  ARANCIBIA  VILLARROEL</v>
      </c>
      <c r="C16" s="45" t="str">
        <f>IF(Base!I14="","",Base!I14)</f>
        <v>Abastecimiento</v>
      </c>
      <c r="D16" s="46" t="str">
        <f>IF(Base!J14="","",Base!J14)</f>
        <v>Preparación de Insum</v>
      </c>
      <c r="E16" s="45">
        <f>IF(Base!H14="","",Base!H14)</f>
        <v>1050127</v>
      </c>
      <c r="J16" s="53">
        <v>6</v>
      </c>
      <c r="K16" s="74" t="s">
        <v>1119</v>
      </c>
      <c r="L16" s="55" t="str">
        <f t="shared" si="13"/>
        <v>FELIPE  ARANCIBIA  SILVA</v>
      </c>
      <c r="M16" s="55">
        <f t="shared" si="14"/>
        <v>1050529</v>
      </c>
      <c r="N16" s="56" t="str">
        <f t="shared" si="15"/>
        <v xml:space="preserve">Setup </v>
      </c>
      <c r="O16" s="56" t="str">
        <f t="shared" si="16"/>
        <v xml:space="preserve">Setup </v>
      </c>
      <c r="P16" s="57" t="s">
        <v>6</v>
      </c>
      <c r="Q16" s="63"/>
      <c r="R16" s="53"/>
      <c r="S16" s="63"/>
      <c r="T16" s="53"/>
      <c r="U16" s="63"/>
      <c r="V16" s="53"/>
      <c r="W16" s="63"/>
      <c r="X16" s="53"/>
      <c r="Y16" s="63">
        <v>1</v>
      </c>
      <c r="Z16" s="53"/>
      <c r="AA16" s="63"/>
      <c r="AB16" s="53"/>
      <c r="AC16" s="63"/>
      <c r="AD16" s="53"/>
      <c r="AE16" s="60">
        <f t="shared" si="17"/>
        <v>1</v>
      </c>
      <c r="AF16" s="60">
        <f t="shared" si="17"/>
        <v>0</v>
      </c>
      <c r="AG16" s="61"/>
      <c r="AL16" s="45" t="str">
        <f t="shared" si="18"/>
        <v>13.045.231-0</v>
      </c>
      <c r="AM16" s="45">
        <v>7</v>
      </c>
      <c r="AN16" s="45">
        <f t="shared" si="5"/>
        <v>0</v>
      </c>
      <c r="AO16" s="45">
        <f t="shared" si="6"/>
        <v>0</v>
      </c>
      <c r="AP16" s="45">
        <f t="shared" si="7"/>
        <v>0</v>
      </c>
      <c r="AQ16" s="45">
        <f t="shared" si="8"/>
        <v>0</v>
      </c>
      <c r="AR16" s="45">
        <f t="shared" si="9"/>
        <v>1</v>
      </c>
      <c r="AS16" s="45">
        <f t="shared" si="10"/>
        <v>0</v>
      </c>
      <c r="AT16" s="45">
        <f t="shared" si="11"/>
        <v>0</v>
      </c>
      <c r="AU16" s="62">
        <f t="shared" si="12"/>
        <v>1</v>
      </c>
    </row>
    <row r="17" spans="1:47" ht="13.5">
      <c r="A17" s="45" t="str">
        <f>IF(Base!B15="","",Base!B15)</f>
        <v>09.471.557-1</v>
      </c>
      <c r="B17" s="45" t="str">
        <f>IF(Base!F15="","",Base!F15)</f>
        <v>SANDRA  ARANGUIZ  ALIAGA</v>
      </c>
      <c r="C17" s="45" t="str">
        <f>IF(Base!I15="","",Base!I15)</f>
        <v>Linea 7</v>
      </c>
      <c r="D17" s="46" t="str">
        <f>IF(Base!J15="","",Base!J15)</f>
        <v>Armado cajas</v>
      </c>
      <c r="E17" s="45">
        <f>IF(Base!H15="","",Base!H15)</f>
        <v>1050616</v>
      </c>
      <c r="J17" s="53">
        <v>7</v>
      </c>
      <c r="K17" s="74" t="s">
        <v>152</v>
      </c>
      <c r="L17" s="55" t="str">
        <f t="shared" si="13"/>
        <v>OSCAR MAURICIO  BERRIOS  LOPEZ</v>
      </c>
      <c r="M17" s="55">
        <f t="shared" si="14"/>
        <v>1050604</v>
      </c>
      <c r="N17" s="56" t="str">
        <f t="shared" si="15"/>
        <v>Monitor Despalletizado</v>
      </c>
      <c r="O17" s="56" t="str">
        <f t="shared" si="16"/>
        <v>Monitor Despalletizado</v>
      </c>
      <c r="P17" s="57" t="s">
        <v>1353</v>
      </c>
      <c r="Q17" s="58"/>
      <c r="R17" s="59">
        <v>7.5</v>
      </c>
      <c r="S17" s="58"/>
      <c r="T17" s="59"/>
      <c r="U17" s="58"/>
      <c r="V17" s="59"/>
      <c r="W17" s="58"/>
      <c r="X17" s="59"/>
      <c r="Y17" s="58"/>
      <c r="Z17" s="59"/>
      <c r="AA17" s="58"/>
      <c r="AB17" s="59"/>
      <c r="AC17" s="58"/>
      <c r="AD17" s="59"/>
      <c r="AE17" s="60">
        <f>SUM(Q17,S17,U17,W17,Y17,AA17,AC17)</f>
        <v>0</v>
      </c>
      <c r="AF17" s="60">
        <f>SUM(R17,T17,V17,X17,Z17,AB17,AD17)</f>
        <v>7.5</v>
      </c>
      <c r="AG17" s="61"/>
      <c r="AL17" s="45" t="str">
        <f t="shared" si="18"/>
        <v>13.557.248-9</v>
      </c>
      <c r="AM17" s="45">
        <v>8</v>
      </c>
      <c r="AN17" s="45">
        <f t="shared" si="5"/>
        <v>7.5</v>
      </c>
      <c r="AO17" s="45">
        <f t="shared" si="6"/>
        <v>0</v>
      </c>
      <c r="AP17" s="45">
        <f t="shared" si="7"/>
        <v>0</v>
      </c>
      <c r="AQ17" s="45">
        <f t="shared" si="8"/>
        <v>0</v>
      </c>
      <c r="AR17" s="45">
        <f t="shared" si="9"/>
        <v>0</v>
      </c>
      <c r="AS17" s="45">
        <f t="shared" si="10"/>
        <v>0</v>
      </c>
      <c r="AT17" s="45">
        <f t="shared" si="11"/>
        <v>0</v>
      </c>
      <c r="AU17" s="62">
        <f t="shared" si="12"/>
        <v>7.5</v>
      </c>
    </row>
    <row r="18" spans="1:47" ht="13.5">
      <c r="A18" s="45" t="str">
        <f>IF(Base!B16="","",Base!B16)</f>
        <v>12.501.307-4</v>
      </c>
      <c r="B18" s="45" t="str">
        <f>IF(Base!F16="","",Base!F16)</f>
        <v>MARCELO ANTONIO  ARAYA  FUENTES</v>
      </c>
      <c r="C18" s="45" t="str">
        <f>IF(Base!I16="","",Base!I16)</f>
        <v>Linea 7</v>
      </c>
      <c r="D18" s="46" t="str">
        <f>IF(Base!J16="","",Base!J16)</f>
        <v>Embalador</v>
      </c>
      <c r="E18" s="45">
        <f>IF(Base!H16="","",Base!H16)</f>
        <v>1050616</v>
      </c>
      <c r="J18" s="53">
        <v>8</v>
      </c>
      <c r="K18" s="74" t="s">
        <v>494</v>
      </c>
      <c r="L18" s="55" t="str">
        <f t="shared" si="13"/>
        <v>ARIEL A.  HERRERA  PALMA</v>
      </c>
      <c r="M18" s="55">
        <f t="shared" si="14"/>
        <v>1050604</v>
      </c>
      <c r="N18" s="56" t="str">
        <f t="shared" si="15"/>
        <v>Monitor Etiquetado</v>
      </c>
      <c r="O18" s="56" t="str">
        <f t="shared" si="16"/>
        <v>Monitor Etiquetado</v>
      </c>
      <c r="P18" s="57" t="s">
        <v>1332</v>
      </c>
      <c r="Q18" s="63"/>
      <c r="R18" s="53">
        <v>7.5</v>
      </c>
      <c r="S18" s="63"/>
      <c r="T18" s="53"/>
      <c r="U18" s="63"/>
      <c r="V18" s="53"/>
      <c r="W18" s="63"/>
      <c r="X18" s="53"/>
      <c r="Y18" s="63"/>
      <c r="Z18" s="53"/>
      <c r="AA18" s="63"/>
      <c r="AB18" s="53"/>
      <c r="AC18" s="63"/>
      <c r="AD18" s="53"/>
      <c r="AE18" s="60">
        <f t="shared" ref="AE18:AF22" si="19">SUM(Q18,S18,U18,W18,Y18,AA18,AC18)</f>
        <v>0</v>
      </c>
      <c r="AF18" s="60">
        <f t="shared" si="19"/>
        <v>7.5</v>
      </c>
      <c r="AG18" s="61"/>
      <c r="AL18" s="45" t="str">
        <f t="shared" si="18"/>
        <v>14.336.364-3</v>
      </c>
      <c r="AM18" s="45">
        <v>9</v>
      </c>
      <c r="AN18" s="45">
        <f t="shared" si="5"/>
        <v>7.5</v>
      </c>
      <c r="AO18" s="45">
        <f t="shared" si="6"/>
        <v>0</v>
      </c>
      <c r="AP18" s="45">
        <f t="shared" si="7"/>
        <v>0</v>
      </c>
      <c r="AQ18" s="45">
        <f t="shared" si="8"/>
        <v>0</v>
      </c>
      <c r="AR18" s="45">
        <f t="shared" si="9"/>
        <v>0</v>
      </c>
      <c r="AS18" s="45">
        <f t="shared" si="10"/>
        <v>0</v>
      </c>
      <c r="AT18" s="45">
        <f t="shared" si="11"/>
        <v>0</v>
      </c>
      <c r="AU18" s="62">
        <f t="shared" si="12"/>
        <v>7.5</v>
      </c>
    </row>
    <row r="19" spans="1:47" ht="13.5">
      <c r="A19" s="45" t="str">
        <f>IF(Base!B17="","",Base!B17)</f>
        <v>08.332.629-8</v>
      </c>
      <c r="B19" s="45" t="str">
        <f>IF(Base!F17="","",Base!F17)</f>
        <v>JUAN  ARRIAGADA  JARA</v>
      </c>
      <c r="C19" s="45" t="str">
        <f>IF(Base!I17="","",Base!I17)</f>
        <v>Linea 7</v>
      </c>
      <c r="D19" s="46" t="str">
        <f>IF(Base!J17="","",Base!J17)</f>
        <v>Palletizador</v>
      </c>
      <c r="E19" s="45">
        <f>IF(Base!H17="","",Base!H17)</f>
        <v>1050616</v>
      </c>
      <c r="J19" s="53">
        <v>9</v>
      </c>
      <c r="K19" s="74" t="s">
        <v>939</v>
      </c>
      <c r="L19" s="55" t="str">
        <f t="shared" si="13"/>
        <v>MARCOS A  RUBIO  CASTRO</v>
      </c>
      <c r="M19" s="55">
        <f t="shared" si="14"/>
        <v>1050604</v>
      </c>
      <c r="N19" s="56" t="str">
        <f t="shared" si="15"/>
        <v>Monitor Llenado</v>
      </c>
      <c r="O19" s="56" t="str">
        <f t="shared" si="16"/>
        <v>Monitor Llenado</v>
      </c>
      <c r="P19" s="57" t="s">
        <v>1353</v>
      </c>
      <c r="Q19" s="63"/>
      <c r="R19" s="53">
        <v>7.5</v>
      </c>
      <c r="S19" s="63"/>
      <c r="T19" s="53"/>
      <c r="U19" s="63"/>
      <c r="V19" s="53"/>
      <c r="W19" s="63"/>
      <c r="X19" s="53"/>
      <c r="Y19" s="63"/>
      <c r="Z19" s="53"/>
      <c r="AA19" s="63"/>
      <c r="AB19" s="53"/>
      <c r="AC19" s="63"/>
      <c r="AD19" s="53"/>
      <c r="AE19" s="60">
        <f t="shared" si="19"/>
        <v>0</v>
      </c>
      <c r="AF19" s="60">
        <f t="shared" si="19"/>
        <v>7.5</v>
      </c>
      <c r="AG19" s="61"/>
      <c r="AL19" s="45" t="str">
        <f t="shared" si="18"/>
        <v>07.916.907-2</v>
      </c>
      <c r="AM19" s="45">
        <v>10</v>
      </c>
      <c r="AN19" s="45">
        <f t="shared" si="5"/>
        <v>7.5</v>
      </c>
      <c r="AO19" s="45">
        <f t="shared" si="6"/>
        <v>0</v>
      </c>
      <c r="AP19" s="45">
        <f t="shared" si="7"/>
        <v>0</v>
      </c>
      <c r="AQ19" s="45">
        <f t="shared" si="8"/>
        <v>0</v>
      </c>
      <c r="AR19" s="45">
        <f t="shared" si="9"/>
        <v>0</v>
      </c>
      <c r="AS19" s="45">
        <f t="shared" si="10"/>
        <v>0</v>
      </c>
      <c r="AT19" s="45">
        <f t="shared" si="11"/>
        <v>0</v>
      </c>
      <c r="AU19" s="62">
        <f t="shared" si="12"/>
        <v>7.5</v>
      </c>
    </row>
    <row r="20" spans="1:47" ht="13.5">
      <c r="A20" s="45" t="str">
        <f>IF(Base!B18="","",Base!B18)</f>
        <v>10.173.910-4</v>
      </c>
      <c r="B20" s="45" t="str">
        <f>IF(Base!F18="","",Base!F18)</f>
        <v>FELIX  EXEQUIEL  ARSENDIGA  PALMA</v>
      </c>
      <c r="C20" s="45" t="str">
        <f>IF(Base!I18="","",Base!I18)</f>
        <v>Abastecimiento</v>
      </c>
      <c r="D20" s="46" t="str">
        <f>IF(Base!J18="","",Base!J18)</f>
        <v>Suministro de Líneas</v>
      </c>
      <c r="E20" s="45">
        <f>IF(Base!H18="","",Base!H18)</f>
        <v>1050633</v>
      </c>
      <c r="J20" s="53">
        <v>10</v>
      </c>
      <c r="K20" s="74" t="s">
        <v>1132</v>
      </c>
      <c r="L20" s="55" t="str">
        <f t="shared" si="13"/>
        <v>VICTOR  CACERES  VASQUEZ</v>
      </c>
      <c r="M20" s="55">
        <f t="shared" si="14"/>
        <v>1050529</v>
      </c>
      <c r="N20" s="56" t="str">
        <f t="shared" si="15"/>
        <v>Setup</v>
      </c>
      <c r="O20" s="56" t="str">
        <f t="shared" si="16"/>
        <v>Setup</v>
      </c>
      <c r="P20" s="57" t="s">
        <v>1330</v>
      </c>
      <c r="Q20" s="63"/>
      <c r="R20" s="63">
        <v>7.5</v>
      </c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0">
        <f t="shared" si="19"/>
        <v>0</v>
      </c>
      <c r="AF20" s="60">
        <f t="shared" si="19"/>
        <v>7.5</v>
      </c>
      <c r="AG20" s="61"/>
      <c r="AL20" s="45" t="str">
        <f t="shared" si="18"/>
        <v>09.774.031-3</v>
      </c>
      <c r="AM20" s="45">
        <v>11</v>
      </c>
      <c r="AN20" s="45">
        <f t="shared" si="5"/>
        <v>7.5</v>
      </c>
      <c r="AO20" s="45">
        <f t="shared" si="6"/>
        <v>0</v>
      </c>
      <c r="AP20" s="45">
        <f t="shared" si="7"/>
        <v>0</v>
      </c>
      <c r="AQ20" s="45">
        <f t="shared" si="8"/>
        <v>0</v>
      </c>
      <c r="AR20" s="45">
        <f t="shared" si="9"/>
        <v>0</v>
      </c>
      <c r="AS20" s="45">
        <f t="shared" si="10"/>
        <v>0</v>
      </c>
      <c r="AT20" s="45">
        <f t="shared" si="11"/>
        <v>0</v>
      </c>
      <c r="AU20" s="62">
        <f t="shared" si="12"/>
        <v>7.5</v>
      </c>
    </row>
    <row r="21" spans="1:47" ht="13.5">
      <c r="A21" s="45" t="str">
        <f>IF(Base!B19="","",Base!B19)</f>
        <v>11.325.204-9</v>
      </c>
      <c r="B21" s="45" t="str">
        <f>IF(Base!F19="","",Base!F19)</f>
        <v>LUIS ALBERTO  ALVARADO  MARTINEZ</v>
      </c>
      <c r="C21" s="45" t="str">
        <f>IF(Base!I19="","",Base!I19)</f>
        <v>Abastecimiento</v>
      </c>
      <c r="D21" s="46" t="str">
        <f>IF(Base!J19="","",Base!J19)</f>
        <v>Suministro de Líneas</v>
      </c>
      <c r="E21" s="45">
        <f>IF(Base!H19="","",Base!H19)</f>
        <v>1050633</v>
      </c>
      <c r="J21" s="53">
        <v>11</v>
      </c>
      <c r="K21" s="74" t="s">
        <v>240</v>
      </c>
      <c r="L21" s="55" t="str">
        <f t="shared" si="13"/>
        <v>FRANCISCO JAVIER  CASTILLO  AHUMADA</v>
      </c>
      <c r="M21" s="55">
        <f t="shared" si="14"/>
        <v>1050529</v>
      </c>
      <c r="N21" s="56" t="str">
        <f t="shared" si="15"/>
        <v>Setup</v>
      </c>
      <c r="O21" s="56" t="str">
        <f t="shared" si="16"/>
        <v>Setup</v>
      </c>
      <c r="P21" s="57" t="s">
        <v>1332</v>
      </c>
      <c r="Q21" s="63"/>
      <c r="R21" s="63">
        <v>7.5</v>
      </c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0">
        <f t="shared" si="19"/>
        <v>0</v>
      </c>
      <c r="AF21" s="60">
        <f t="shared" si="19"/>
        <v>7.5</v>
      </c>
      <c r="AG21" s="61"/>
      <c r="AL21" s="45" t="str">
        <f t="shared" si="18"/>
        <v>17.542.884-4</v>
      </c>
      <c r="AM21" s="45">
        <v>12</v>
      </c>
      <c r="AN21" s="45">
        <f t="shared" si="5"/>
        <v>7.5</v>
      </c>
      <c r="AO21" s="45">
        <f t="shared" si="6"/>
        <v>0</v>
      </c>
      <c r="AP21" s="45">
        <f t="shared" si="7"/>
        <v>0</v>
      </c>
      <c r="AQ21" s="45">
        <f t="shared" si="8"/>
        <v>0</v>
      </c>
      <c r="AR21" s="45">
        <f t="shared" si="9"/>
        <v>0</v>
      </c>
      <c r="AS21" s="45">
        <f t="shared" si="10"/>
        <v>0</v>
      </c>
      <c r="AT21" s="45">
        <f t="shared" si="11"/>
        <v>0</v>
      </c>
      <c r="AU21" s="62">
        <f t="shared" si="12"/>
        <v>7.5</v>
      </c>
    </row>
    <row r="22" spans="1:47" ht="13.5">
      <c r="A22" s="45" t="str">
        <f>IF(Base!B20="","",Base!B20)</f>
        <v>09.148.214-2</v>
      </c>
      <c r="B22" s="45" t="str">
        <f>IF(Base!F20="","",Base!F20)</f>
        <v>JORGE  BAEZA  REYES</v>
      </c>
      <c r="C22" s="45" t="str">
        <f>IF(Base!I20="","",Base!I20)</f>
        <v>Abastecimiento</v>
      </c>
      <c r="D22" s="46" t="str">
        <f>IF(Base!J20="","",Base!J20)</f>
        <v>Suministro de Líneas</v>
      </c>
      <c r="E22" s="45">
        <f>IF(Base!H20="","",Base!H20)</f>
        <v>1050127</v>
      </c>
      <c r="J22" s="53">
        <v>12</v>
      </c>
      <c r="K22" s="74" t="s">
        <v>1232</v>
      </c>
      <c r="L22" s="55" t="str">
        <f t="shared" si="13"/>
        <v>JUAN OSVALDO  TOLEDO  YEVENES</v>
      </c>
      <c r="M22" s="55">
        <f t="shared" si="14"/>
        <v>1050529</v>
      </c>
      <c r="N22" s="56" t="str">
        <f t="shared" si="15"/>
        <v xml:space="preserve">Setup </v>
      </c>
      <c r="O22" s="56" t="str">
        <f t="shared" si="16"/>
        <v xml:space="preserve">Setup </v>
      </c>
      <c r="P22" s="57" t="s">
        <v>1332</v>
      </c>
      <c r="Q22" s="63"/>
      <c r="R22" s="53">
        <v>7.5</v>
      </c>
      <c r="S22" s="63"/>
      <c r="T22" s="53"/>
      <c r="U22" s="63"/>
      <c r="V22" s="53"/>
      <c r="W22" s="63"/>
      <c r="X22" s="53"/>
      <c r="Y22" s="63"/>
      <c r="Z22" s="53"/>
      <c r="AA22" s="63"/>
      <c r="AB22" s="53"/>
      <c r="AC22" s="63"/>
      <c r="AD22" s="53"/>
      <c r="AE22" s="60">
        <f t="shared" si="19"/>
        <v>0</v>
      </c>
      <c r="AF22" s="60">
        <f t="shared" si="19"/>
        <v>7.5</v>
      </c>
      <c r="AG22" s="61"/>
      <c r="AL22" s="45" t="str">
        <f t="shared" si="18"/>
        <v>13.295.279-5</v>
      </c>
      <c r="AM22" s="45">
        <v>13</v>
      </c>
      <c r="AN22" s="45">
        <f t="shared" si="5"/>
        <v>7.5</v>
      </c>
      <c r="AO22" s="45">
        <f t="shared" si="6"/>
        <v>0</v>
      </c>
      <c r="AP22" s="45">
        <f t="shared" si="7"/>
        <v>0</v>
      </c>
      <c r="AQ22" s="45">
        <f t="shared" si="8"/>
        <v>0</v>
      </c>
      <c r="AR22" s="45">
        <f t="shared" si="9"/>
        <v>0</v>
      </c>
      <c r="AS22" s="45">
        <f t="shared" si="10"/>
        <v>0</v>
      </c>
      <c r="AT22" s="45">
        <f t="shared" si="11"/>
        <v>0</v>
      </c>
      <c r="AU22" s="62">
        <f t="shared" si="12"/>
        <v>7.5</v>
      </c>
    </row>
    <row r="23" spans="1:47" ht="13.5">
      <c r="A23" s="45" t="str">
        <f>IF(Base!B21="","",Base!B21)</f>
        <v>12.897.839-9</v>
      </c>
      <c r="B23" s="45" t="str">
        <f>IF(Base!F21="","",Base!F21)</f>
        <v>SOLEDAD ALEJANDRA  BECERRA  QUEZADA</v>
      </c>
      <c r="C23" s="45" t="str">
        <f>IF(Base!I21="","",Base!I21)</f>
        <v>Linea 6</v>
      </c>
      <c r="D23" s="46" t="str">
        <f>IF(Base!J21="","",Base!J21)</f>
        <v>Inspector etiqueta</v>
      </c>
      <c r="E23" s="45">
        <f>IF(Base!H21="","",Base!H21)</f>
        <v>1050610</v>
      </c>
      <c r="J23" s="53">
        <v>13</v>
      </c>
      <c r="K23" s="74" t="s">
        <v>26</v>
      </c>
      <c r="L23" s="55" t="str">
        <f t="shared" si="13"/>
        <v>MARIO DEL TRANSITO  ACEVEDO  MARTINEZ</v>
      </c>
      <c r="M23" s="55">
        <f t="shared" si="14"/>
        <v>1050126</v>
      </c>
      <c r="N23" s="56" t="str">
        <f t="shared" si="15"/>
        <v>Abastecimiento</v>
      </c>
      <c r="O23" s="56" t="str">
        <f t="shared" si="16"/>
        <v>Control Ingresos Cen</v>
      </c>
      <c r="P23" s="57" t="s">
        <v>6</v>
      </c>
      <c r="Q23" s="58"/>
      <c r="R23" s="59"/>
      <c r="S23" s="58"/>
      <c r="T23" s="59"/>
      <c r="U23" s="58"/>
      <c r="V23" s="59"/>
      <c r="W23" s="58"/>
      <c r="X23" s="59"/>
      <c r="Y23" s="58"/>
      <c r="Z23" s="59"/>
      <c r="AA23" s="58"/>
      <c r="AB23" s="59"/>
      <c r="AC23" s="58"/>
      <c r="AD23" s="59"/>
      <c r="AE23" s="60">
        <f>SUM(Q23,S23,U23,W23,Y23,AA23,AC23)</f>
        <v>0</v>
      </c>
      <c r="AF23" s="60">
        <f>SUM(R23,T23,V23,X23,Z23,AB23,AD23)</f>
        <v>0</v>
      </c>
      <c r="AG23" s="61"/>
      <c r="AL23" s="45" t="str">
        <f t="shared" si="18"/>
        <v>08.224.093-4</v>
      </c>
      <c r="AM23" s="45">
        <v>14</v>
      </c>
      <c r="AN23" s="45">
        <f t="shared" si="5"/>
        <v>0</v>
      </c>
      <c r="AO23" s="45">
        <f t="shared" si="6"/>
        <v>0</v>
      </c>
      <c r="AP23" s="45">
        <f t="shared" si="7"/>
        <v>0</v>
      </c>
      <c r="AQ23" s="45">
        <f t="shared" si="8"/>
        <v>0</v>
      </c>
      <c r="AR23" s="45">
        <f t="shared" si="9"/>
        <v>0</v>
      </c>
      <c r="AS23" s="45">
        <f t="shared" si="10"/>
        <v>0</v>
      </c>
      <c r="AT23" s="45">
        <f t="shared" si="11"/>
        <v>0</v>
      </c>
      <c r="AU23" s="62" t="str">
        <f t="shared" si="12"/>
        <v/>
      </c>
    </row>
    <row r="24" spans="1:47" ht="13.5">
      <c r="A24" s="45" t="str">
        <f>IF(Base!B22="","",Base!B22)</f>
        <v>13.557.248-9</v>
      </c>
      <c r="B24" s="45" t="str">
        <f>IF(Base!F22="","",Base!F22)</f>
        <v>OSCAR MAURICIO  BERRIOS  LOPEZ</v>
      </c>
      <c r="C24" s="45" t="str">
        <f>IF(Base!I22="","",Base!I22)</f>
        <v>Monitor Despalletizado</v>
      </c>
      <c r="D24" s="46" t="str">
        <f>IF(Base!J22="","",Base!J22)</f>
        <v>Monitor Despalletizado</v>
      </c>
      <c r="E24" s="45">
        <f>IF(Base!H22="","",Base!H22)</f>
        <v>1050604</v>
      </c>
      <c r="J24" s="53">
        <v>14</v>
      </c>
      <c r="K24" s="74" t="s">
        <v>35</v>
      </c>
      <c r="L24" s="55" t="str">
        <f t="shared" si="13"/>
        <v>ANDRES RAUL  AEDO  MUÑOZ</v>
      </c>
      <c r="M24" s="55">
        <f t="shared" si="14"/>
        <v>1050127</v>
      </c>
      <c r="N24" s="56" t="str">
        <f t="shared" si="15"/>
        <v>Abastecimiento</v>
      </c>
      <c r="O24" s="56" t="str">
        <f t="shared" si="16"/>
        <v>Preparación de Insum</v>
      </c>
      <c r="P24" s="57" t="s">
        <v>6</v>
      </c>
      <c r="Q24" s="63"/>
      <c r="R24" s="53"/>
      <c r="S24" s="63"/>
      <c r="T24" s="53"/>
      <c r="U24" s="63"/>
      <c r="V24" s="53"/>
      <c r="W24" s="63"/>
      <c r="X24" s="53"/>
      <c r="Y24" s="63"/>
      <c r="Z24" s="53"/>
      <c r="AA24" s="63"/>
      <c r="AB24" s="53"/>
      <c r="AC24" s="63"/>
      <c r="AD24" s="53"/>
      <c r="AE24" s="60">
        <f t="shared" ref="AE24:AF39" si="20">SUM(Q24,S24,U24,W24,Y24,AA24,AC24)</f>
        <v>0</v>
      </c>
      <c r="AF24" s="60">
        <f t="shared" si="20"/>
        <v>0</v>
      </c>
      <c r="AG24" s="61"/>
      <c r="AL24" s="45" t="str">
        <f t="shared" si="18"/>
        <v>12.677.439-7</v>
      </c>
      <c r="AM24" s="45">
        <v>15</v>
      </c>
      <c r="AN24" s="45">
        <f t="shared" si="5"/>
        <v>0</v>
      </c>
      <c r="AO24" s="45">
        <f t="shared" si="6"/>
        <v>0</v>
      </c>
      <c r="AP24" s="45">
        <f t="shared" si="7"/>
        <v>0</v>
      </c>
      <c r="AQ24" s="45">
        <f t="shared" si="8"/>
        <v>0</v>
      </c>
      <c r="AR24" s="45">
        <f t="shared" si="9"/>
        <v>0</v>
      </c>
      <c r="AS24" s="45">
        <f t="shared" si="10"/>
        <v>0</v>
      </c>
      <c r="AT24" s="45">
        <f t="shared" si="11"/>
        <v>0</v>
      </c>
      <c r="AU24" s="62" t="str">
        <f t="shared" si="12"/>
        <v/>
      </c>
    </row>
    <row r="25" spans="1:47" ht="13.5">
      <c r="A25" s="45" t="str">
        <f>IF(Base!B23="","",Base!B23)</f>
        <v>16.907.382-1</v>
      </c>
      <c r="B25" s="45" t="str">
        <f>IF(Base!F23="","",Base!F23)</f>
        <v>OLIVER HANS  BUGUEÑO  MEDEL</v>
      </c>
      <c r="C25" s="45" t="str">
        <f>IF(Base!I23="","",Base!I23)</f>
        <v>Linea 3</v>
      </c>
      <c r="D25" s="46" t="str">
        <f>IF(Base!J23="","",Base!J23)</f>
        <v>Etiquetador</v>
      </c>
      <c r="E25" s="45">
        <f>IF(Base!H23="","",Base!H23)</f>
        <v>1050556</v>
      </c>
      <c r="J25" s="53">
        <v>15</v>
      </c>
      <c r="K25" s="74" t="s">
        <v>50</v>
      </c>
      <c r="L25" s="55" t="str">
        <f t="shared" si="13"/>
        <v>KAREN FABIOLA  ALARCON  SILVA</v>
      </c>
      <c r="M25" s="55">
        <f t="shared" si="14"/>
        <v>1050506</v>
      </c>
      <c r="N25" s="56" t="str">
        <f t="shared" si="15"/>
        <v>Abastecimiento</v>
      </c>
      <c r="O25" s="56" t="str">
        <f t="shared" si="16"/>
        <v>Reimpresión</v>
      </c>
      <c r="P25" s="57" t="s">
        <v>1353</v>
      </c>
      <c r="Q25" s="63"/>
      <c r="R25" s="53"/>
      <c r="S25" s="63"/>
      <c r="T25" s="53"/>
      <c r="U25" s="63"/>
      <c r="V25" s="53"/>
      <c r="W25" s="63"/>
      <c r="X25" s="53"/>
      <c r="Y25" s="63"/>
      <c r="Z25" s="53"/>
      <c r="AA25" s="63"/>
      <c r="AB25" s="53"/>
      <c r="AC25" s="63"/>
      <c r="AD25" s="53"/>
      <c r="AE25" s="60">
        <f t="shared" si="20"/>
        <v>0</v>
      </c>
      <c r="AF25" s="60">
        <f t="shared" si="20"/>
        <v>0</v>
      </c>
      <c r="AG25" s="61"/>
      <c r="AL25" s="45" t="str">
        <f t="shared" ref="AL25:AL88" si="21">IF(K25="","",K25)</f>
        <v>16.191.666-8</v>
      </c>
      <c r="AM25" s="45">
        <v>16</v>
      </c>
      <c r="AN25" s="45">
        <f t="shared" ref="AN25:AN88" si="22">SUM(Q25:R25)</f>
        <v>0</v>
      </c>
      <c r="AO25" s="45">
        <f t="shared" ref="AO25:AO88" si="23">SUM(S25:T25)</f>
        <v>0</v>
      </c>
      <c r="AP25" s="45">
        <f t="shared" ref="AP25:AP88" si="24">SUM(U25:V25)</f>
        <v>0</v>
      </c>
      <c r="AQ25" s="45">
        <f t="shared" ref="AQ25:AQ88" si="25">SUM(W25:X25)</f>
        <v>0</v>
      </c>
      <c r="AR25" s="45">
        <f t="shared" ref="AR25:AR88" si="26">SUM(Y25:Z25)</f>
        <v>0</v>
      </c>
      <c r="AS25" s="45">
        <f t="shared" ref="AS25:AS88" si="27">SUM(AA25:AB25)</f>
        <v>0</v>
      </c>
      <c r="AT25" s="45">
        <f t="shared" ref="AT25:AT88" si="28">SUM(AC25:AD25)</f>
        <v>0</v>
      </c>
      <c r="AU25" s="62" t="str">
        <f t="shared" si="12"/>
        <v/>
      </c>
    </row>
    <row r="26" spans="1:47" ht="13.5">
      <c r="A26" s="45" t="str">
        <f>IF(Base!B24="","",Base!B24)</f>
        <v>13.236.100-2</v>
      </c>
      <c r="B26" s="45" t="str">
        <f>IF(Base!F24="","",Base!F24)</f>
        <v>MARCO ANTONIO  BUSTAMANTE  GONZALEZ</v>
      </c>
      <c r="C26" s="45" t="str">
        <f>IF(Base!I24="","",Base!I24)</f>
        <v>Abastecimiento</v>
      </c>
      <c r="D26" s="46" t="str">
        <f>IF(Base!J24="","",Base!J24)</f>
        <v>Suministro de Líneas</v>
      </c>
      <c r="E26" s="45">
        <f>IF(Base!H24="","",Base!H24)</f>
        <v>1050581</v>
      </c>
      <c r="J26" s="53">
        <v>16</v>
      </c>
      <c r="K26" s="74" t="s">
        <v>135</v>
      </c>
      <c r="L26" s="55" t="str">
        <f t="shared" si="13"/>
        <v>LUIS ALBERTO  ALVARADO  MARTINEZ</v>
      </c>
      <c r="M26" s="55">
        <f t="shared" si="14"/>
        <v>1050633</v>
      </c>
      <c r="N26" s="56" t="str">
        <f t="shared" si="15"/>
        <v>Abastecimiento</v>
      </c>
      <c r="O26" s="56" t="str">
        <f t="shared" si="16"/>
        <v>Suministro de Líneas</v>
      </c>
      <c r="P26" s="57" t="s">
        <v>1332</v>
      </c>
      <c r="Q26" s="63"/>
      <c r="R26" s="63">
        <v>7.5</v>
      </c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0">
        <f t="shared" si="20"/>
        <v>0</v>
      </c>
      <c r="AF26" s="60">
        <f t="shared" si="20"/>
        <v>7.5</v>
      </c>
      <c r="AG26" s="61"/>
      <c r="AL26" s="45" t="str">
        <f t="shared" si="21"/>
        <v>11.325.204-9</v>
      </c>
      <c r="AM26" s="45">
        <v>17</v>
      </c>
      <c r="AN26" s="45">
        <f t="shared" si="22"/>
        <v>7.5</v>
      </c>
      <c r="AO26" s="45">
        <f t="shared" si="23"/>
        <v>0</v>
      </c>
      <c r="AP26" s="45">
        <f t="shared" si="24"/>
        <v>0</v>
      </c>
      <c r="AQ26" s="45">
        <f t="shared" si="25"/>
        <v>0</v>
      </c>
      <c r="AR26" s="45">
        <f t="shared" si="26"/>
        <v>0</v>
      </c>
      <c r="AS26" s="45">
        <f t="shared" si="27"/>
        <v>0</v>
      </c>
      <c r="AT26" s="45">
        <f t="shared" si="28"/>
        <v>0</v>
      </c>
      <c r="AU26" s="62">
        <f t="shared" si="12"/>
        <v>7.5</v>
      </c>
    </row>
    <row r="27" spans="1:47" ht="13.5">
      <c r="A27" s="45" t="str">
        <f>IF(Base!B25="","",Base!B25)</f>
        <v>13.899.407-4</v>
      </c>
      <c r="B27" s="45" t="str">
        <f>IF(Base!F25="","",Base!F25)</f>
        <v>MAURICIO ANDRES  BUSTAMANTE  GONZALEZ</v>
      </c>
      <c r="C27" s="45" t="str">
        <f>IF(Base!I25="","",Base!I25)</f>
        <v>Abastecimiento</v>
      </c>
      <c r="D27" s="46" t="str">
        <f>IF(Base!J25="","",Base!J25)</f>
        <v>Suministro de Líneas</v>
      </c>
      <c r="E27" s="45">
        <f>IF(Base!H25="","",Base!H25)</f>
        <v>1050127</v>
      </c>
      <c r="J27" s="53">
        <v>17</v>
      </c>
      <c r="K27" s="74" t="s">
        <v>79</v>
      </c>
      <c r="L27" s="55" t="str">
        <f t="shared" si="13"/>
        <v>CRISTIAN DANIEL  ALVAREZ  REYES</v>
      </c>
      <c r="M27" s="55">
        <f t="shared" si="14"/>
        <v>1050162</v>
      </c>
      <c r="N27" s="56" t="str">
        <f t="shared" si="15"/>
        <v>Abastecimiento</v>
      </c>
      <c r="O27" s="56" t="str">
        <f t="shared" si="16"/>
        <v>Almacen Envases Pirq</v>
      </c>
      <c r="P27" s="57" t="s">
        <v>1353</v>
      </c>
      <c r="Q27" s="63"/>
      <c r="R27" s="63"/>
      <c r="S27" s="63"/>
      <c r="T27" s="63"/>
      <c r="U27" s="63">
        <v>2</v>
      </c>
      <c r="V27" s="63"/>
      <c r="W27" s="63"/>
      <c r="X27" s="63"/>
      <c r="Y27" s="63"/>
      <c r="Z27" s="63"/>
      <c r="AA27" s="63"/>
      <c r="AB27" s="63"/>
      <c r="AC27" s="63"/>
      <c r="AD27" s="63"/>
      <c r="AE27" s="60">
        <f t="shared" si="20"/>
        <v>2</v>
      </c>
      <c r="AF27" s="60">
        <f t="shared" si="20"/>
        <v>0</v>
      </c>
      <c r="AG27" s="61"/>
      <c r="AL27" s="45" t="str">
        <f t="shared" si="21"/>
        <v>17.609.782-5</v>
      </c>
      <c r="AM27" s="45">
        <v>18</v>
      </c>
      <c r="AN27" s="45">
        <f t="shared" si="22"/>
        <v>0</v>
      </c>
      <c r="AO27" s="45">
        <f t="shared" si="23"/>
        <v>0</v>
      </c>
      <c r="AP27" s="45">
        <f t="shared" si="24"/>
        <v>2</v>
      </c>
      <c r="AQ27" s="45">
        <f t="shared" si="25"/>
        <v>0</v>
      </c>
      <c r="AR27" s="45">
        <f t="shared" si="26"/>
        <v>0</v>
      </c>
      <c r="AS27" s="45">
        <f t="shared" si="27"/>
        <v>0</v>
      </c>
      <c r="AT27" s="45">
        <f t="shared" si="28"/>
        <v>0</v>
      </c>
      <c r="AU27" s="62">
        <f t="shared" si="12"/>
        <v>2</v>
      </c>
    </row>
    <row r="28" spans="1:47" ht="13.5">
      <c r="A28" s="45" t="str">
        <f>IF(Base!B26="","",Base!B26)</f>
        <v>10.116.815-8</v>
      </c>
      <c r="B28" s="45" t="str">
        <f>IF(Base!F26="","",Base!F26)</f>
        <v>TERESA DE LAS NIEVES  BUSTOS  JARA</v>
      </c>
      <c r="C28" s="45" t="str">
        <f>IF(Base!I26="","",Base!I26)</f>
        <v>Abastecimiento</v>
      </c>
      <c r="D28" s="46" t="str">
        <f>IF(Base!J26="","",Base!J26)</f>
        <v>Suministro de Líneas</v>
      </c>
      <c r="E28" s="45">
        <f>IF(Base!H26="","",Base!H26)</f>
        <v>1050127</v>
      </c>
      <c r="J28" s="53">
        <v>18</v>
      </c>
      <c r="K28" s="74" t="s">
        <v>57</v>
      </c>
      <c r="L28" s="55" t="str">
        <f t="shared" si="13"/>
        <v>OSCAR ALFREDO  ALBORNOZ  ROA</v>
      </c>
      <c r="M28" s="55">
        <f t="shared" si="14"/>
        <v>1050127</v>
      </c>
      <c r="N28" s="56" t="str">
        <f t="shared" si="15"/>
        <v>Abastecimiento</v>
      </c>
      <c r="O28" s="56" t="str">
        <f t="shared" si="16"/>
        <v>Preparación de Insum</v>
      </c>
      <c r="P28" s="57" t="s">
        <v>1353</v>
      </c>
      <c r="Q28" s="63">
        <v>2</v>
      </c>
      <c r="R28" s="53"/>
      <c r="S28" s="63">
        <v>2</v>
      </c>
      <c r="T28" s="53"/>
      <c r="U28" s="63">
        <v>2</v>
      </c>
      <c r="V28" s="53"/>
      <c r="W28" s="63">
        <v>2</v>
      </c>
      <c r="X28" s="53"/>
      <c r="Y28" s="63">
        <v>2</v>
      </c>
      <c r="Z28" s="53"/>
      <c r="AA28" s="63"/>
      <c r="AB28" s="53"/>
      <c r="AC28" s="63"/>
      <c r="AD28" s="53"/>
      <c r="AE28" s="60">
        <f t="shared" si="20"/>
        <v>10</v>
      </c>
      <c r="AF28" s="60">
        <f t="shared" si="20"/>
        <v>0</v>
      </c>
      <c r="AG28" s="61"/>
      <c r="AL28" s="45" t="str">
        <f t="shared" si="21"/>
        <v>07.760.886-9</v>
      </c>
      <c r="AM28" s="45">
        <v>19</v>
      </c>
      <c r="AN28" s="45">
        <f t="shared" si="22"/>
        <v>2</v>
      </c>
      <c r="AO28" s="45">
        <f t="shared" si="23"/>
        <v>2</v>
      </c>
      <c r="AP28" s="45">
        <f t="shared" si="24"/>
        <v>2</v>
      </c>
      <c r="AQ28" s="45">
        <f t="shared" si="25"/>
        <v>2</v>
      </c>
      <c r="AR28" s="45">
        <f t="shared" si="26"/>
        <v>2</v>
      </c>
      <c r="AS28" s="45">
        <f t="shared" si="27"/>
        <v>0</v>
      </c>
      <c r="AT28" s="45">
        <f t="shared" si="28"/>
        <v>0</v>
      </c>
      <c r="AU28" s="62">
        <f t="shared" si="12"/>
        <v>10</v>
      </c>
    </row>
    <row r="29" spans="1:47" ht="13.5">
      <c r="A29" s="45" t="str">
        <f>IF(Base!B27="","",Base!B27)</f>
        <v>06.933.508-K</v>
      </c>
      <c r="B29" s="45" t="str">
        <f>IF(Base!F27="","",Base!F27)</f>
        <v>JUAN RAMON  CABELLO  DIAZ</v>
      </c>
      <c r="C29" s="45" t="str">
        <f>IF(Base!I27="","",Base!I27)</f>
        <v>Linea 7</v>
      </c>
      <c r="D29" s="46" t="str">
        <f>IF(Base!J27="","",Base!J27)</f>
        <v>Embalador</v>
      </c>
      <c r="E29" s="45">
        <f>IF(Base!H27="","",Base!H27)</f>
        <v>1050616</v>
      </c>
      <c r="J29" s="53">
        <v>19</v>
      </c>
      <c r="K29" s="74" t="s">
        <v>93</v>
      </c>
      <c r="L29" s="55" t="str">
        <f t="shared" si="13"/>
        <v>CRISTIAN  ARANCIBIA  NIETO</v>
      </c>
      <c r="M29" s="55">
        <f t="shared" si="14"/>
        <v>1050127</v>
      </c>
      <c r="N29" s="56" t="str">
        <f t="shared" si="15"/>
        <v>Abastecimiento</v>
      </c>
      <c r="O29" s="56" t="str">
        <f t="shared" si="16"/>
        <v>Preparación de Insum</v>
      </c>
      <c r="P29" s="57" t="s">
        <v>1353</v>
      </c>
      <c r="Q29" s="63">
        <v>2</v>
      </c>
      <c r="R29" s="53"/>
      <c r="S29" s="63">
        <v>2</v>
      </c>
      <c r="T29" s="53"/>
      <c r="U29" s="63">
        <v>2</v>
      </c>
      <c r="V29" s="53"/>
      <c r="W29" s="63">
        <v>2</v>
      </c>
      <c r="X29" s="53"/>
      <c r="Y29" s="63">
        <v>1</v>
      </c>
      <c r="Z29" s="53"/>
      <c r="AA29" s="63"/>
      <c r="AB29" s="53"/>
      <c r="AC29" s="63"/>
      <c r="AD29" s="53"/>
      <c r="AE29" s="60">
        <f t="shared" si="20"/>
        <v>9</v>
      </c>
      <c r="AF29" s="60">
        <f t="shared" si="20"/>
        <v>0</v>
      </c>
      <c r="AG29" s="61"/>
      <c r="AL29" s="45" t="str">
        <f t="shared" si="21"/>
        <v>12.093.228-4</v>
      </c>
      <c r="AM29" s="45">
        <v>20</v>
      </c>
      <c r="AN29" s="45">
        <f t="shared" si="22"/>
        <v>2</v>
      </c>
      <c r="AO29" s="45">
        <f t="shared" si="23"/>
        <v>2</v>
      </c>
      <c r="AP29" s="45">
        <f t="shared" si="24"/>
        <v>2</v>
      </c>
      <c r="AQ29" s="45">
        <f t="shared" si="25"/>
        <v>2</v>
      </c>
      <c r="AR29" s="45">
        <f t="shared" si="26"/>
        <v>1</v>
      </c>
      <c r="AS29" s="45">
        <f t="shared" si="27"/>
        <v>0</v>
      </c>
      <c r="AT29" s="45">
        <f t="shared" si="28"/>
        <v>0</v>
      </c>
      <c r="AU29" s="62">
        <f t="shared" si="12"/>
        <v>9</v>
      </c>
    </row>
    <row r="30" spans="1:47" ht="13.5">
      <c r="A30" s="45" t="str">
        <f>IF(Base!B28="","",Base!B28)</f>
        <v>16.441.340-3</v>
      </c>
      <c r="B30" s="45" t="str">
        <f>IF(Base!F28="","",Base!F28)</f>
        <v>LUIS HERNAN  CACERES  ORMAZABAL</v>
      </c>
      <c r="C30" s="45" t="str">
        <f>IF(Base!I28="","",Base!I28)</f>
        <v>Abastecimiento</v>
      </c>
      <c r="D30" s="46" t="str">
        <f>IF(Base!J28="","",Base!J28)</f>
        <v>Suministro de Líneas</v>
      </c>
      <c r="E30" s="45">
        <f>IF(Base!H28="","",Base!H28)</f>
        <v>1050633</v>
      </c>
      <c r="J30" s="53">
        <v>20</v>
      </c>
      <c r="K30" s="74" t="s">
        <v>105</v>
      </c>
      <c r="L30" s="55" t="str">
        <f t="shared" si="13"/>
        <v>LEONARDO ALFREDO  ARANCIBIA  VILLARROEL</v>
      </c>
      <c r="M30" s="55">
        <f t="shared" si="14"/>
        <v>1050127</v>
      </c>
      <c r="N30" s="56" t="str">
        <f t="shared" si="15"/>
        <v>Abastecimiento</v>
      </c>
      <c r="O30" s="56" t="str">
        <f t="shared" si="16"/>
        <v>Preparación de Insum</v>
      </c>
      <c r="P30" s="57" t="s">
        <v>1353</v>
      </c>
      <c r="Q30" s="63"/>
      <c r="R30" s="53"/>
      <c r="S30" s="63">
        <v>2</v>
      </c>
      <c r="T30" s="53"/>
      <c r="U30" s="63">
        <v>2</v>
      </c>
      <c r="V30" s="53"/>
      <c r="W30" s="63">
        <v>2</v>
      </c>
      <c r="X30" s="53"/>
      <c r="Y30" s="63">
        <v>2</v>
      </c>
      <c r="Z30" s="53"/>
      <c r="AA30" s="63"/>
      <c r="AB30" s="53"/>
      <c r="AC30" s="63"/>
      <c r="AD30" s="53"/>
      <c r="AE30" s="60">
        <f t="shared" si="20"/>
        <v>8</v>
      </c>
      <c r="AF30" s="60">
        <f t="shared" si="20"/>
        <v>0</v>
      </c>
      <c r="AG30" s="61"/>
      <c r="AL30" s="45" t="str">
        <f t="shared" si="21"/>
        <v>08.283.277-7</v>
      </c>
      <c r="AM30" s="45">
        <v>21</v>
      </c>
      <c r="AN30" s="45">
        <f t="shared" si="22"/>
        <v>0</v>
      </c>
      <c r="AO30" s="45">
        <f t="shared" si="23"/>
        <v>2</v>
      </c>
      <c r="AP30" s="45">
        <f t="shared" si="24"/>
        <v>2</v>
      </c>
      <c r="AQ30" s="45">
        <f t="shared" si="25"/>
        <v>2</v>
      </c>
      <c r="AR30" s="45">
        <f t="shared" si="26"/>
        <v>2</v>
      </c>
      <c r="AS30" s="45">
        <f t="shared" si="27"/>
        <v>0</v>
      </c>
      <c r="AT30" s="45">
        <f t="shared" si="28"/>
        <v>0</v>
      </c>
      <c r="AU30" s="62">
        <f t="shared" si="12"/>
        <v>8</v>
      </c>
    </row>
    <row r="31" spans="1:47" ht="13.5">
      <c r="A31" s="45" t="str">
        <f>IF(Base!B29="","",Base!B29)</f>
        <v>14.095.347-4</v>
      </c>
      <c r="B31" s="45" t="str">
        <f>IF(Base!F29="","",Base!F29)</f>
        <v>ANDRES NICOLAS  CAÑOLES  VERA</v>
      </c>
      <c r="C31" s="45" t="str">
        <f>IF(Base!I29="","",Base!I29)</f>
        <v>Sala filtros</v>
      </c>
      <c r="D31" s="46" t="str">
        <f>IF(Base!J29="","",Base!J29)</f>
        <v>Operador sala de filtros</v>
      </c>
      <c r="E31" s="45">
        <f>IF(Base!H29="","",Base!H29)</f>
        <v>1050574</v>
      </c>
      <c r="J31" s="53">
        <v>21</v>
      </c>
      <c r="K31" s="74" t="s">
        <v>128</v>
      </c>
      <c r="L31" s="55" t="str">
        <f t="shared" si="13"/>
        <v>FELIX  EXEQUIEL  ARSENDIGA  PALMA</v>
      </c>
      <c r="M31" s="55">
        <f t="shared" si="14"/>
        <v>1050633</v>
      </c>
      <c r="N31" s="56" t="str">
        <f t="shared" si="15"/>
        <v>Abastecimiento</v>
      </c>
      <c r="O31" s="56" t="str">
        <f t="shared" si="16"/>
        <v>Suministro de Líneas</v>
      </c>
      <c r="P31" s="57" t="s">
        <v>1330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0">
        <f t="shared" si="20"/>
        <v>0</v>
      </c>
      <c r="AF31" s="60">
        <f t="shared" si="20"/>
        <v>0</v>
      </c>
      <c r="AG31" s="61"/>
      <c r="AL31" s="45" t="str">
        <f t="shared" si="21"/>
        <v>10.173.910-4</v>
      </c>
      <c r="AM31" s="45">
        <v>22</v>
      </c>
      <c r="AN31" s="45">
        <f t="shared" si="22"/>
        <v>0</v>
      </c>
      <c r="AO31" s="45">
        <f t="shared" si="23"/>
        <v>0</v>
      </c>
      <c r="AP31" s="45">
        <f t="shared" si="24"/>
        <v>0</v>
      </c>
      <c r="AQ31" s="45">
        <f t="shared" si="25"/>
        <v>0</v>
      </c>
      <c r="AR31" s="45">
        <f t="shared" si="26"/>
        <v>0</v>
      </c>
      <c r="AS31" s="45">
        <f t="shared" si="27"/>
        <v>0</v>
      </c>
      <c r="AT31" s="45">
        <f t="shared" si="28"/>
        <v>0</v>
      </c>
      <c r="AU31" s="62" t="str">
        <f t="shared" si="12"/>
        <v/>
      </c>
    </row>
    <row r="32" spans="1:47" ht="13.5">
      <c r="A32" s="45" t="str">
        <f>IF(Base!B30="","",Base!B30)</f>
        <v>12.674.806-K</v>
      </c>
      <c r="B32" s="45" t="str">
        <f>IF(Base!F30="","",Base!F30)</f>
        <v>MARCO  CARDENAS  ULLOA</v>
      </c>
      <c r="C32" s="45" t="str">
        <f>IF(Base!I30="","",Base!I30)</f>
        <v>Linea 3</v>
      </c>
      <c r="D32" s="46" t="str">
        <f>IF(Base!J30="","",Base!J30)</f>
        <v>Etiquetador</v>
      </c>
      <c r="E32" s="45">
        <f>IF(Base!H30="","",Base!H30)</f>
        <v>1050556</v>
      </c>
      <c r="J32" s="53">
        <v>22</v>
      </c>
      <c r="K32" s="74" t="s">
        <v>140</v>
      </c>
      <c r="L32" s="55" t="str">
        <f t="shared" si="13"/>
        <v>JORGE  BAEZA  REYES</v>
      </c>
      <c r="M32" s="55">
        <f t="shared" si="14"/>
        <v>1050127</v>
      </c>
      <c r="N32" s="56" t="str">
        <f t="shared" si="15"/>
        <v>Abastecimiento</v>
      </c>
      <c r="O32" s="56" t="str">
        <f t="shared" si="16"/>
        <v>Suministro de Líneas</v>
      </c>
      <c r="P32" s="57" t="s">
        <v>1330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0">
        <f t="shared" si="20"/>
        <v>0</v>
      </c>
      <c r="AF32" s="60">
        <f t="shared" si="20"/>
        <v>0</v>
      </c>
      <c r="AG32" s="61"/>
      <c r="AL32" s="45" t="str">
        <f t="shared" si="21"/>
        <v>09.148.214-2</v>
      </c>
      <c r="AM32" s="45">
        <v>23</v>
      </c>
      <c r="AN32" s="45">
        <f t="shared" si="22"/>
        <v>0</v>
      </c>
      <c r="AO32" s="45">
        <f t="shared" si="23"/>
        <v>0</v>
      </c>
      <c r="AP32" s="45">
        <f t="shared" si="24"/>
        <v>0</v>
      </c>
      <c r="AQ32" s="45">
        <f t="shared" si="25"/>
        <v>0</v>
      </c>
      <c r="AR32" s="45">
        <f t="shared" si="26"/>
        <v>0</v>
      </c>
      <c r="AS32" s="45">
        <f t="shared" si="27"/>
        <v>0</v>
      </c>
      <c r="AT32" s="45">
        <f t="shared" si="28"/>
        <v>0</v>
      </c>
      <c r="AU32" s="62" t="str">
        <f t="shared" si="12"/>
        <v/>
      </c>
    </row>
    <row r="33" spans="1:47" ht="13.5">
      <c r="A33" s="45" t="str">
        <f>IF(Base!B31="","",Base!B31)</f>
        <v>08.454.836-7</v>
      </c>
      <c r="B33" s="45" t="str">
        <f>IF(Base!F31="","",Base!F31)</f>
        <v>BRIGIDA DEL CARMEN  CARES  LOPEZ</v>
      </c>
      <c r="C33" s="45" t="str">
        <f>IF(Base!I31="","",Base!I31)</f>
        <v>Abastecimiento</v>
      </c>
      <c r="D33" s="46" t="str">
        <f>IF(Base!J31="","",Base!J31)</f>
        <v>Suministro de Líneas</v>
      </c>
      <c r="E33" s="45">
        <f>IF(Base!H31="","",Base!H31)</f>
        <v>1050127</v>
      </c>
      <c r="J33" s="53">
        <v>23</v>
      </c>
      <c r="K33" s="74" t="s">
        <v>167</v>
      </c>
      <c r="L33" s="55" t="str">
        <f t="shared" si="13"/>
        <v>MARCO ANTONIO  BUSTAMANTE  GONZALEZ</v>
      </c>
      <c r="M33" s="55">
        <f t="shared" si="14"/>
        <v>1050581</v>
      </c>
      <c r="N33" s="56" t="str">
        <f t="shared" si="15"/>
        <v>Abastecimiento</v>
      </c>
      <c r="O33" s="56" t="str">
        <f t="shared" si="16"/>
        <v>Suministro de Líneas</v>
      </c>
      <c r="P33" s="57" t="s">
        <v>1353</v>
      </c>
      <c r="Q33" s="63">
        <v>1</v>
      </c>
      <c r="R33" s="53"/>
      <c r="S33" s="63">
        <v>1</v>
      </c>
      <c r="T33" s="53"/>
      <c r="U33" s="63">
        <v>1</v>
      </c>
      <c r="V33" s="53"/>
      <c r="W33" s="63">
        <v>1</v>
      </c>
      <c r="X33" s="53"/>
      <c r="Y33" s="63">
        <v>1</v>
      </c>
      <c r="Z33" s="53"/>
      <c r="AA33" s="63"/>
      <c r="AB33" s="53"/>
      <c r="AC33" s="63"/>
      <c r="AD33" s="53"/>
      <c r="AE33" s="60">
        <f t="shared" si="20"/>
        <v>5</v>
      </c>
      <c r="AF33" s="60">
        <f t="shared" si="20"/>
        <v>0</v>
      </c>
      <c r="AG33" s="61"/>
      <c r="AL33" s="45" t="str">
        <f t="shared" si="21"/>
        <v>13.236.100-2</v>
      </c>
      <c r="AM33" s="45">
        <v>24</v>
      </c>
      <c r="AN33" s="45">
        <f t="shared" si="22"/>
        <v>1</v>
      </c>
      <c r="AO33" s="45">
        <f t="shared" si="23"/>
        <v>1</v>
      </c>
      <c r="AP33" s="45">
        <f t="shared" si="24"/>
        <v>1</v>
      </c>
      <c r="AQ33" s="45">
        <f t="shared" si="25"/>
        <v>1</v>
      </c>
      <c r="AR33" s="45">
        <f t="shared" si="26"/>
        <v>1</v>
      </c>
      <c r="AS33" s="45">
        <f t="shared" si="27"/>
        <v>0</v>
      </c>
      <c r="AT33" s="45">
        <f t="shared" si="28"/>
        <v>0</v>
      </c>
      <c r="AU33" s="62">
        <f t="shared" si="12"/>
        <v>5</v>
      </c>
    </row>
    <row r="34" spans="1:47" ht="13.5">
      <c r="A34" s="45" t="str">
        <f>IF(Base!B32="","",Base!B32)</f>
        <v>09.832.710-K</v>
      </c>
      <c r="B34" s="45" t="str">
        <f>IF(Base!F32="","",Base!F32)</f>
        <v>OMAR FCO.  CARO  RODRIGUEZ</v>
      </c>
      <c r="C34" s="45" t="str">
        <f>IF(Base!I32="","",Base!I32)</f>
        <v>Abastecimiento</v>
      </c>
      <c r="D34" s="46" t="str">
        <f>IF(Base!J32="","",Base!J32)</f>
        <v>Suministro de Líneas</v>
      </c>
      <c r="E34" s="45">
        <f>IF(Base!H32="","",Base!H32)</f>
        <v>1050127</v>
      </c>
      <c r="J34" s="53">
        <v>24</v>
      </c>
      <c r="K34" s="74" t="s">
        <v>172</v>
      </c>
      <c r="L34" s="55" t="str">
        <f t="shared" si="13"/>
        <v>MAURICIO ANDRES  BUSTAMANTE  GONZALEZ</v>
      </c>
      <c r="M34" s="55">
        <f t="shared" si="14"/>
        <v>1050127</v>
      </c>
      <c r="N34" s="56" t="str">
        <f t="shared" si="15"/>
        <v>Abastecimiento</v>
      </c>
      <c r="O34" s="56" t="str">
        <f t="shared" si="16"/>
        <v>Suministro de Líneas</v>
      </c>
      <c r="P34" s="57" t="s">
        <v>1332</v>
      </c>
      <c r="Q34" s="63"/>
      <c r="R34" s="53">
        <v>7.5</v>
      </c>
      <c r="S34" s="63"/>
      <c r="T34" s="53"/>
      <c r="U34" s="63"/>
      <c r="V34" s="53"/>
      <c r="W34" s="63"/>
      <c r="X34" s="53"/>
      <c r="Y34" s="63"/>
      <c r="Z34" s="53"/>
      <c r="AA34" s="63"/>
      <c r="AB34" s="53"/>
      <c r="AC34" s="63"/>
      <c r="AD34" s="53"/>
      <c r="AE34" s="60">
        <f t="shared" si="20"/>
        <v>0</v>
      </c>
      <c r="AF34" s="60">
        <f t="shared" si="20"/>
        <v>7.5</v>
      </c>
      <c r="AG34" s="61"/>
      <c r="AL34" s="45" t="str">
        <f t="shared" si="21"/>
        <v>13.899.407-4</v>
      </c>
      <c r="AM34" s="45">
        <v>25</v>
      </c>
      <c r="AN34" s="45">
        <f t="shared" si="22"/>
        <v>7.5</v>
      </c>
      <c r="AO34" s="45">
        <f t="shared" si="23"/>
        <v>0</v>
      </c>
      <c r="AP34" s="45">
        <f t="shared" si="24"/>
        <v>0</v>
      </c>
      <c r="AQ34" s="45">
        <f t="shared" si="25"/>
        <v>0</v>
      </c>
      <c r="AR34" s="45">
        <f t="shared" si="26"/>
        <v>0</v>
      </c>
      <c r="AS34" s="45">
        <f t="shared" si="27"/>
        <v>0</v>
      </c>
      <c r="AT34" s="45">
        <f t="shared" si="28"/>
        <v>0</v>
      </c>
      <c r="AU34" s="62">
        <f t="shared" si="12"/>
        <v>7.5</v>
      </c>
    </row>
    <row r="35" spans="1:47" ht="13.5">
      <c r="A35" s="45" t="str">
        <f>IF(Base!B33="","",Base!B33)</f>
        <v>12.410.690-7</v>
      </c>
      <c r="B35" s="45" t="str">
        <f>IF(Base!F33="","",Base!F33)</f>
        <v>SIMON ANDRES  CARRASCO  CID</v>
      </c>
      <c r="C35" s="45" t="str">
        <f>IF(Base!I33="","",Base!I33)</f>
        <v>Linea 2</v>
      </c>
      <c r="D35" s="46" t="str">
        <f>IF(Base!J33="","",Base!J33)</f>
        <v>Embalador</v>
      </c>
      <c r="E35" s="45">
        <f>IF(Base!H33="","",Base!H33)</f>
        <v>1050554</v>
      </c>
      <c r="J35" s="53">
        <v>25</v>
      </c>
      <c r="K35" s="74" t="s">
        <v>176</v>
      </c>
      <c r="L35" s="55" t="str">
        <f t="shared" si="13"/>
        <v>TERESA DE LAS NIEVES  BUSTOS  JARA</v>
      </c>
      <c r="M35" s="55">
        <f t="shared" si="14"/>
        <v>1050127</v>
      </c>
      <c r="N35" s="56" t="str">
        <f t="shared" si="15"/>
        <v>Abastecimiento</v>
      </c>
      <c r="O35" s="56" t="str">
        <f t="shared" si="16"/>
        <v>Suministro de Líneas</v>
      </c>
      <c r="P35" s="57" t="s">
        <v>6</v>
      </c>
      <c r="Q35" s="63"/>
      <c r="R35" s="53"/>
      <c r="S35" s="63"/>
      <c r="T35" s="53"/>
      <c r="U35" s="63"/>
      <c r="V35" s="53"/>
      <c r="W35" s="63"/>
      <c r="X35" s="53"/>
      <c r="Y35" s="63"/>
      <c r="Z35" s="53"/>
      <c r="AA35" s="63"/>
      <c r="AB35" s="53"/>
      <c r="AC35" s="63"/>
      <c r="AD35" s="53"/>
      <c r="AE35" s="60">
        <f t="shared" si="20"/>
        <v>0</v>
      </c>
      <c r="AF35" s="60">
        <f t="shared" si="20"/>
        <v>0</v>
      </c>
      <c r="AG35" s="61"/>
      <c r="AL35" s="45" t="str">
        <f t="shared" si="21"/>
        <v>10.116.815-8</v>
      </c>
      <c r="AM35" s="45">
        <v>26</v>
      </c>
      <c r="AN35" s="45">
        <f t="shared" si="22"/>
        <v>0</v>
      </c>
      <c r="AO35" s="45">
        <f t="shared" si="23"/>
        <v>0</v>
      </c>
      <c r="AP35" s="45">
        <f t="shared" si="24"/>
        <v>0</v>
      </c>
      <c r="AQ35" s="45">
        <f t="shared" si="25"/>
        <v>0</v>
      </c>
      <c r="AR35" s="45">
        <f t="shared" si="26"/>
        <v>0</v>
      </c>
      <c r="AS35" s="45">
        <f t="shared" si="27"/>
        <v>0</v>
      </c>
      <c r="AT35" s="45">
        <f t="shared" si="28"/>
        <v>0</v>
      </c>
      <c r="AU35" s="62" t="str">
        <f t="shared" si="12"/>
        <v/>
      </c>
    </row>
    <row r="36" spans="1:47" ht="13.5">
      <c r="A36" s="45" t="str">
        <f>IF(Base!B34="","",Base!B34)</f>
        <v>08.360.971-0</v>
      </c>
      <c r="B36" s="45" t="str">
        <f>IF(Base!F34="","",Base!F34)</f>
        <v>PACIFICO  CARRERA  MAUREIRA</v>
      </c>
      <c r="C36" s="45" t="str">
        <f>IF(Base!I34="","",Base!I34)</f>
        <v>Linea 2</v>
      </c>
      <c r="D36" s="46" t="str">
        <f>IF(Base!J34="","",Base!J34)</f>
        <v>Etiquetador</v>
      </c>
      <c r="E36" s="45">
        <f>IF(Base!H34="","",Base!H34)</f>
        <v>1050554</v>
      </c>
      <c r="J36" s="53">
        <v>26</v>
      </c>
      <c r="K36" s="74" t="s">
        <v>187</v>
      </c>
      <c r="L36" s="55" t="str">
        <f t="shared" si="13"/>
        <v>LUIS HERNAN  CACERES  ORMAZABAL</v>
      </c>
      <c r="M36" s="55">
        <f t="shared" si="14"/>
        <v>1050633</v>
      </c>
      <c r="N36" s="56" t="str">
        <f t="shared" si="15"/>
        <v>Abastecimiento</v>
      </c>
      <c r="O36" s="56" t="str">
        <f t="shared" si="16"/>
        <v>Suministro de Líneas</v>
      </c>
      <c r="P36" s="57" t="s">
        <v>6</v>
      </c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>
        <f t="shared" si="20"/>
        <v>0</v>
      </c>
      <c r="AF36" s="60">
        <f t="shared" si="20"/>
        <v>0</v>
      </c>
      <c r="AG36" s="61"/>
      <c r="AL36" s="45" t="str">
        <f t="shared" si="21"/>
        <v>16.441.340-3</v>
      </c>
      <c r="AM36" s="45">
        <v>27</v>
      </c>
      <c r="AN36" s="45">
        <f t="shared" si="22"/>
        <v>0</v>
      </c>
      <c r="AO36" s="45">
        <f t="shared" si="23"/>
        <v>0</v>
      </c>
      <c r="AP36" s="45">
        <f t="shared" si="24"/>
        <v>0</v>
      </c>
      <c r="AQ36" s="45">
        <f t="shared" si="25"/>
        <v>0</v>
      </c>
      <c r="AR36" s="45">
        <f t="shared" si="26"/>
        <v>0</v>
      </c>
      <c r="AS36" s="45">
        <f t="shared" si="27"/>
        <v>0</v>
      </c>
      <c r="AT36" s="45">
        <f t="shared" si="28"/>
        <v>0</v>
      </c>
      <c r="AU36" s="62" t="str">
        <f t="shared" si="12"/>
        <v/>
      </c>
    </row>
    <row r="37" spans="1:47" ht="13.5">
      <c r="A37" s="45" t="str">
        <f>IF(Base!B35="","",Base!B35)</f>
        <v>16.695.463-0</v>
      </c>
      <c r="B37" s="45" t="str">
        <f>IF(Base!F35="","",Base!F35)</f>
        <v>CAMILO ALEXANDER  CARVAJAL  APPELGREN</v>
      </c>
      <c r="C37" s="45" t="str">
        <f>IF(Base!I35="","",Base!I35)</f>
        <v>Linea 7</v>
      </c>
      <c r="D37" s="46" t="str">
        <f>IF(Base!J35="","",Base!J35)</f>
        <v>Despalletizador</v>
      </c>
      <c r="E37" s="45">
        <f>IF(Base!H35="","",Base!H35)</f>
        <v>1050616</v>
      </c>
      <c r="J37" s="53">
        <v>27</v>
      </c>
      <c r="K37" s="74" t="s">
        <v>205</v>
      </c>
      <c r="L37" s="55" t="str">
        <f t="shared" si="13"/>
        <v>BRIGIDA DEL CARMEN  CARES  LOPEZ</v>
      </c>
      <c r="M37" s="55">
        <f t="shared" si="14"/>
        <v>1050127</v>
      </c>
      <c r="N37" s="56" t="str">
        <f t="shared" si="15"/>
        <v>Abastecimiento</v>
      </c>
      <c r="O37" s="56" t="str">
        <f t="shared" si="16"/>
        <v>Suministro de Líneas</v>
      </c>
      <c r="P37" s="57" t="s">
        <v>1330</v>
      </c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>
        <f t="shared" si="20"/>
        <v>0</v>
      </c>
      <c r="AF37" s="60">
        <f t="shared" si="20"/>
        <v>0</v>
      </c>
      <c r="AG37" s="61"/>
      <c r="AL37" s="45" t="str">
        <f t="shared" si="21"/>
        <v>08.454.836-7</v>
      </c>
      <c r="AM37" s="45">
        <v>28</v>
      </c>
      <c r="AN37" s="45">
        <f t="shared" si="22"/>
        <v>0</v>
      </c>
      <c r="AO37" s="45">
        <f t="shared" si="23"/>
        <v>0</v>
      </c>
      <c r="AP37" s="45">
        <f t="shared" si="24"/>
        <v>0</v>
      </c>
      <c r="AQ37" s="45">
        <f t="shared" si="25"/>
        <v>0</v>
      </c>
      <c r="AR37" s="45">
        <f t="shared" si="26"/>
        <v>0</v>
      </c>
      <c r="AS37" s="45">
        <f t="shared" si="27"/>
        <v>0</v>
      </c>
      <c r="AT37" s="45">
        <f t="shared" si="28"/>
        <v>0</v>
      </c>
      <c r="AU37" s="62" t="str">
        <f t="shared" si="12"/>
        <v/>
      </c>
    </row>
    <row r="38" spans="1:47" ht="13.5">
      <c r="A38" s="45" t="str">
        <f>IF(Base!B36="","",Base!B36)</f>
        <v>08.465.592-9</v>
      </c>
      <c r="B38" s="45" t="str">
        <f>IF(Base!F36="","",Base!F36)</f>
        <v>JUAN A  CASTAÑEDA  SANHUEZA</v>
      </c>
      <c r="C38" s="45" t="str">
        <f>IF(Base!I36="","",Base!I36)</f>
        <v>Sala filtros</v>
      </c>
      <c r="D38" s="46" t="str">
        <f>IF(Base!J36="","",Base!J36)</f>
        <v>Operador sala de filtros</v>
      </c>
      <c r="E38" s="45">
        <f>IF(Base!H36="","",Base!H36)</f>
        <v>1050574</v>
      </c>
      <c r="J38" s="53">
        <v>28</v>
      </c>
      <c r="K38" s="74" t="s">
        <v>210</v>
      </c>
      <c r="L38" s="55" t="str">
        <f t="shared" si="13"/>
        <v>OMAR FCO.  CARO  RODRIGUEZ</v>
      </c>
      <c r="M38" s="55">
        <f t="shared" si="14"/>
        <v>1050127</v>
      </c>
      <c r="N38" s="56" t="str">
        <f t="shared" si="15"/>
        <v>Abastecimiento</v>
      </c>
      <c r="O38" s="56" t="str">
        <f t="shared" si="16"/>
        <v>Suministro de Líneas</v>
      </c>
      <c r="P38" s="57" t="s">
        <v>6</v>
      </c>
      <c r="Q38" s="63"/>
      <c r="R38" s="53"/>
      <c r="S38" s="63"/>
      <c r="T38" s="53"/>
      <c r="U38" s="63"/>
      <c r="V38" s="53"/>
      <c r="W38" s="63"/>
      <c r="X38" s="53"/>
      <c r="Y38" s="63"/>
      <c r="Z38" s="53"/>
      <c r="AA38" s="63"/>
      <c r="AB38" s="53"/>
      <c r="AC38" s="63"/>
      <c r="AD38" s="53"/>
      <c r="AE38" s="60">
        <f t="shared" si="20"/>
        <v>0</v>
      </c>
      <c r="AF38" s="60">
        <f t="shared" si="20"/>
        <v>0</v>
      </c>
      <c r="AG38" s="61"/>
      <c r="AL38" s="45" t="str">
        <f t="shared" si="21"/>
        <v>09.832.710-K</v>
      </c>
      <c r="AM38" s="45">
        <v>29</v>
      </c>
      <c r="AN38" s="45">
        <f t="shared" si="22"/>
        <v>0</v>
      </c>
      <c r="AO38" s="45">
        <f t="shared" si="23"/>
        <v>0</v>
      </c>
      <c r="AP38" s="45">
        <f t="shared" si="24"/>
        <v>0</v>
      </c>
      <c r="AQ38" s="45">
        <f t="shared" si="25"/>
        <v>0</v>
      </c>
      <c r="AR38" s="45">
        <f t="shared" si="26"/>
        <v>0</v>
      </c>
      <c r="AS38" s="45">
        <f t="shared" si="27"/>
        <v>0</v>
      </c>
      <c r="AT38" s="45">
        <f t="shared" si="28"/>
        <v>0</v>
      </c>
      <c r="AU38" s="62" t="str">
        <f t="shared" si="12"/>
        <v/>
      </c>
    </row>
    <row r="39" spans="1:47" ht="13.5">
      <c r="A39" s="45" t="str">
        <f>IF(Base!B37="","",Base!B37)</f>
        <v>17.542.884-4</v>
      </c>
      <c r="B39" s="45" t="str">
        <f>IF(Base!F37="","",Base!F37)</f>
        <v>FRANCISCO JAVIER  CASTILLO  AHUMADA</v>
      </c>
      <c r="C39" s="45" t="str">
        <f>IF(Base!I37="","",Base!I37)</f>
        <v>Setup</v>
      </c>
      <c r="D39" s="46" t="str">
        <f>IF(Base!J37="","",Base!J37)</f>
        <v>Setup</v>
      </c>
      <c r="E39" s="45">
        <f>IF(Base!H37="","",Base!H37)</f>
        <v>1050529</v>
      </c>
      <c r="J39" s="53">
        <v>29</v>
      </c>
      <c r="K39" s="74" t="s">
        <v>271</v>
      </c>
      <c r="L39" s="55" t="str">
        <f t="shared" si="13"/>
        <v>SIXTO PATRICIO  CORTES  HERRERA</v>
      </c>
      <c r="M39" s="55">
        <f t="shared" si="14"/>
        <v>1050581</v>
      </c>
      <c r="N39" s="56" t="str">
        <f t="shared" si="15"/>
        <v>Abastecimiento</v>
      </c>
      <c r="O39" s="56" t="str">
        <f t="shared" si="16"/>
        <v>Almacen Insumos Pque</v>
      </c>
      <c r="P39" s="57" t="s">
        <v>1330</v>
      </c>
      <c r="Q39" s="63"/>
      <c r="R39" s="53"/>
      <c r="S39" s="63"/>
      <c r="T39" s="53"/>
      <c r="U39" s="63"/>
      <c r="V39" s="53"/>
      <c r="W39" s="63"/>
      <c r="X39" s="53"/>
      <c r="Y39" s="63"/>
      <c r="Z39" s="53"/>
      <c r="AA39" s="63"/>
      <c r="AB39" s="53"/>
      <c r="AC39" s="63"/>
      <c r="AD39" s="53"/>
      <c r="AE39" s="60">
        <f t="shared" si="20"/>
        <v>0</v>
      </c>
      <c r="AF39" s="60">
        <f t="shared" si="20"/>
        <v>0</v>
      </c>
      <c r="AG39" s="61"/>
      <c r="AL39" s="45" t="str">
        <f t="shared" si="21"/>
        <v>11.660.411-6</v>
      </c>
      <c r="AM39" s="45">
        <v>30</v>
      </c>
      <c r="AN39" s="45">
        <f t="shared" si="22"/>
        <v>0</v>
      </c>
      <c r="AO39" s="45">
        <f t="shared" si="23"/>
        <v>0</v>
      </c>
      <c r="AP39" s="45">
        <f t="shared" si="24"/>
        <v>0</v>
      </c>
      <c r="AQ39" s="45">
        <f t="shared" si="25"/>
        <v>0</v>
      </c>
      <c r="AR39" s="45">
        <f t="shared" si="26"/>
        <v>0</v>
      </c>
      <c r="AS39" s="45">
        <f t="shared" si="27"/>
        <v>0</v>
      </c>
      <c r="AT39" s="45">
        <f t="shared" si="28"/>
        <v>0</v>
      </c>
      <c r="AU39" s="62" t="str">
        <f t="shared" si="12"/>
        <v/>
      </c>
    </row>
    <row r="40" spans="1:47" ht="13.5">
      <c r="A40" s="45" t="str">
        <f>IF(Base!B38="","",Base!B38)</f>
        <v>07.717.451-6</v>
      </c>
      <c r="B40" s="45" t="str">
        <f>IF(Base!F38="","",Base!F38)</f>
        <v>JUAN FCO.  CERNA  CONTRERAS</v>
      </c>
      <c r="C40" s="45" t="str">
        <f>IF(Base!I38="","",Base!I38)</f>
        <v>Linea 4</v>
      </c>
      <c r="D40" s="46" t="str">
        <f>IF(Base!J38="","",Base!J38)</f>
        <v>Llenador</v>
      </c>
      <c r="E40" s="45">
        <f>IF(Base!H38="","",Base!H38)</f>
        <v>1050557</v>
      </c>
      <c r="J40" s="53">
        <v>30</v>
      </c>
      <c r="K40" s="74" t="s">
        <v>287</v>
      </c>
      <c r="L40" s="55" t="str">
        <f t="shared" si="13"/>
        <v>LUISA ISABEL  CRUZ  ROMERO</v>
      </c>
      <c r="M40" s="55">
        <f t="shared" si="14"/>
        <v>1050506</v>
      </c>
      <c r="N40" s="56" t="str">
        <f t="shared" si="15"/>
        <v>Abastecimiento</v>
      </c>
      <c r="O40" s="56" t="str">
        <f t="shared" si="16"/>
        <v>Reimpresión</v>
      </c>
      <c r="P40" s="57" t="s">
        <v>1330</v>
      </c>
      <c r="Q40" s="63"/>
      <c r="R40" s="53"/>
      <c r="S40" s="63"/>
      <c r="T40" s="53"/>
      <c r="U40" s="63"/>
      <c r="V40" s="53"/>
      <c r="W40" s="63"/>
      <c r="X40" s="53"/>
      <c r="Y40" s="63"/>
      <c r="Z40" s="53"/>
      <c r="AA40" s="63"/>
      <c r="AB40" s="53"/>
      <c r="AC40" s="63"/>
      <c r="AD40" s="53"/>
      <c r="AE40" s="60">
        <f t="shared" ref="AE40:AF103" si="29">SUM(Q40,S40,U40,W40,Y40,AA40,AC40)</f>
        <v>0</v>
      </c>
      <c r="AF40" s="60">
        <f t="shared" si="29"/>
        <v>0</v>
      </c>
      <c r="AG40" s="61"/>
      <c r="AL40" s="45" t="str">
        <f t="shared" si="21"/>
        <v>11.347.053-4</v>
      </c>
      <c r="AM40" s="45">
        <v>31</v>
      </c>
      <c r="AN40" s="45">
        <f t="shared" si="22"/>
        <v>0</v>
      </c>
      <c r="AO40" s="45">
        <f t="shared" si="23"/>
        <v>0</v>
      </c>
      <c r="AP40" s="45">
        <f t="shared" si="24"/>
        <v>0</v>
      </c>
      <c r="AQ40" s="45">
        <f t="shared" si="25"/>
        <v>0</v>
      </c>
      <c r="AR40" s="45">
        <f t="shared" si="26"/>
        <v>0</v>
      </c>
      <c r="AS40" s="45">
        <f t="shared" si="27"/>
        <v>0</v>
      </c>
      <c r="AT40" s="45">
        <f t="shared" si="28"/>
        <v>0</v>
      </c>
      <c r="AU40" s="62" t="str">
        <f t="shared" si="12"/>
        <v/>
      </c>
    </row>
    <row r="41" spans="1:47" ht="13.5">
      <c r="A41" s="45" t="str">
        <f>IF(Base!B39="","",Base!B39)</f>
        <v>15.702.200-8</v>
      </c>
      <c r="B41" s="45" t="str">
        <f>IF(Base!F39="","",Base!F39)</f>
        <v>CESAR  CERNA  VARGAS</v>
      </c>
      <c r="C41" s="45" t="str">
        <f>IF(Base!I39="","",Base!I39)</f>
        <v>Linea 6</v>
      </c>
      <c r="D41" s="46" t="str">
        <f>IF(Base!J39="","",Base!J39)</f>
        <v>Embalador</v>
      </c>
      <c r="E41" s="45">
        <f>IF(Base!H39="","",Base!H39)</f>
        <v>1050610</v>
      </c>
      <c r="J41" s="53">
        <v>31</v>
      </c>
      <c r="K41" s="74" t="s">
        <v>293</v>
      </c>
      <c r="L41" s="55" t="str">
        <f t="shared" si="13"/>
        <v>PATRICIO HERNAN  CUEVAS  ORDENES</v>
      </c>
      <c r="M41" s="55">
        <f t="shared" si="14"/>
        <v>1050633</v>
      </c>
      <c r="N41" s="56" t="str">
        <f t="shared" si="15"/>
        <v>Abastecimiento</v>
      </c>
      <c r="O41" s="56" t="str">
        <f t="shared" si="16"/>
        <v>Suministro de Líneas</v>
      </c>
      <c r="P41" s="57" t="s">
        <v>1330</v>
      </c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>
        <f t="shared" si="29"/>
        <v>0</v>
      </c>
      <c r="AF41" s="60">
        <f t="shared" si="29"/>
        <v>0</v>
      </c>
      <c r="AG41" s="61"/>
      <c r="AL41" s="45" t="str">
        <f t="shared" si="21"/>
        <v>07.815.607-4</v>
      </c>
      <c r="AM41" s="45">
        <v>32</v>
      </c>
      <c r="AN41" s="45">
        <f t="shared" si="22"/>
        <v>0</v>
      </c>
      <c r="AO41" s="45">
        <f t="shared" si="23"/>
        <v>0</v>
      </c>
      <c r="AP41" s="45">
        <f t="shared" si="24"/>
        <v>0</v>
      </c>
      <c r="AQ41" s="45">
        <f t="shared" si="25"/>
        <v>0</v>
      </c>
      <c r="AR41" s="45">
        <f t="shared" si="26"/>
        <v>0</v>
      </c>
      <c r="AS41" s="45">
        <f t="shared" si="27"/>
        <v>0</v>
      </c>
      <c r="AT41" s="45">
        <f t="shared" si="28"/>
        <v>0</v>
      </c>
      <c r="AU41" s="62" t="str">
        <f t="shared" si="12"/>
        <v/>
      </c>
    </row>
    <row r="42" spans="1:47" ht="13.5">
      <c r="A42" s="45" t="str">
        <f>IF(Base!B40="","",Base!B40)</f>
        <v>07.816.535-9</v>
      </c>
      <c r="B42" s="45" t="str">
        <f>IF(Base!F40="","",Base!F40)</f>
        <v>CARLOS  CERONI  PIZARRO</v>
      </c>
      <c r="C42" s="45" t="str">
        <f>IF(Base!I40="","",Base!I40)</f>
        <v>Linea 7</v>
      </c>
      <c r="D42" s="46" t="str">
        <f>IF(Base!J40="","",Base!J40)</f>
        <v>Etiquetador</v>
      </c>
      <c r="E42" s="45">
        <f>IF(Base!H40="","",Base!H40)</f>
        <v>1050529</v>
      </c>
      <c r="J42" s="53">
        <v>32</v>
      </c>
      <c r="K42" s="74" t="s">
        <v>306</v>
      </c>
      <c r="L42" s="55" t="str">
        <f t="shared" si="13"/>
        <v>JORGE ANDRES  DEL RIO  TRONCOSO</v>
      </c>
      <c r="M42" s="55">
        <f t="shared" si="14"/>
        <v>1050127</v>
      </c>
      <c r="N42" s="56" t="str">
        <f t="shared" si="15"/>
        <v>Abastecimiento</v>
      </c>
      <c r="O42" s="56" t="str">
        <f t="shared" si="16"/>
        <v>Preparación de Insum</v>
      </c>
      <c r="P42" s="57" t="s">
        <v>1332</v>
      </c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>
        <f t="shared" si="29"/>
        <v>0</v>
      </c>
      <c r="AF42" s="60">
        <f t="shared" si="29"/>
        <v>0</v>
      </c>
      <c r="AG42" s="61"/>
      <c r="AL42" s="45" t="str">
        <f t="shared" si="21"/>
        <v>14.181.387-0</v>
      </c>
      <c r="AM42" s="45">
        <v>33</v>
      </c>
      <c r="AN42" s="45">
        <f t="shared" si="22"/>
        <v>0</v>
      </c>
      <c r="AO42" s="45">
        <f t="shared" si="23"/>
        <v>0</v>
      </c>
      <c r="AP42" s="45">
        <f t="shared" si="24"/>
        <v>0</v>
      </c>
      <c r="AQ42" s="45">
        <f t="shared" si="25"/>
        <v>0</v>
      </c>
      <c r="AR42" s="45">
        <f t="shared" si="26"/>
        <v>0</v>
      </c>
      <c r="AS42" s="45">
        <f t="shared" si="27"/>
        <v>0</v>
      </c>
      <c r="AT42" s="45">
        <f t="shared" si="28"/>
        <v>0</v>
      </c>
      <c r="AU42" s="62" t="str">
        <f t="shared" si="12"/>
        <v/>
      </c>
    </row>
    <row r="43" spans="1:47" ht="13.5">
      <c r="A43" s="45" t="str">
        <f>IF(Base!B41="","",Base!B41)</f>
        <v>13.486.775-2</v>
      </c>
      <c r="B43" s="45" t="str">
        <f>IF(Base!F41="","",Base!F41)</f>
        <v>RICARDO  CHAVEZ  FARIÑA</v>
      </c>
      <c r="C43" s="45" t="str">
        <f>IF(Base!I41="","",Base!I41)</f>
        <v>Linea 6</v>
      </c>
      <c r="D43" s="46" t="str">
        <f>IF(Base!J41="","",Base!J41)</f>
        <v>Embalador</v>
      </c>
      <c r="E43" s="45">
        <f>IF(Base!H41="","",Base!H41)</f>
        <v>1050610</v>
      </c>
      <c r="J43" s="53">
        <v>33</v>
      </c>
      <c r="K43" s="74" t="s">
        <v>312</v>
      </c>
      <c r="L43" s="55" t="str">
        <f t="shared" si="13"/>
        <v>MIGUEL ANGEL  DIAZ  CASTRO</v>
      </c>
      <c r="M43" s="55">
        <f t="shared" si="14"/>
        <v>1050126</v>
      </c>
      <c r="N43" s="56" t="str">
        <f t="shared" si="15"/>
        <v>Abastecimiento</v>
      </c>
      <c r="O43" s="56" t="str">
        <f t="shared" si="16"/>
        <v>Control Ingresos Cen</v>
      </c>
      <c r="P43" s="57" t="s">
        <v>6</v>
      </c>
      <c r="Q43" s="63"/>
      <c r="R43" s="53"/>
      <c r="S43" s="63"/>
      <c r="T43" s="53"/>
      <c r="U43" s="63"/>
      <c r="V43" s="53"/>
      <c r="W43" s="63"/>
      <c r="X43" s="53"/>
      <c r="Y43" s="63"/>
      <c r="Z43" s="53"/>
      <c r="AA43" s="63"/>
      <c r="AB43" s="53"/>
      <c r="AC43" s="63"/>
      <c r="AD43" s="53"/>
      <c r="AE43" s="60">
        <f t="shared" si="29"/>
        <v>0</v>
      </c>
      <c r="AF43" s="60">
        <f t="shared" si="29"/>
        <v>0</v>
      </c>
      <c r="AG43" s="61"/>
      <c r="AL43" s="45" t="str">
        <f t="shared" si="21"/>
        <v>07.944.613-0</v>
      </c>
      <c r="AM43" s="45">
        <v>34</v>
      </c>
      <c r="AN43" s="45">
        <f t="shared" si="22"/>
        <v>0</v>
      </c>
      <c r="AO43" s="45">
        <f t="shared" si="23"/>
        <v>0</v>
      </c>
      <c r="AP43" s="45">
        <f t="shared" si="24"/>
        <v>0</v>
      </c>
      <c r="AQ43" s="45">
        <f t="shared" si="25"/>
        <v>0</v>
      </c>
      <c r="AR43" s="45">
        <f t="shared" si="26"/>
        <v>0</v>
      </c>
      <c r="AS43" s="45">
        <f t="shared" si="27"/>
        <v>0</v>
      </c>
      <c r="AT43" s="45">
        <f t="shared" si="28"/>
        <v>0</v>
      </c>
      <c r="AU43" s="62" t="str">
        <f t="shared" si="12"/>
        <v/>
      </c>
    </row>
    <row r="44" spans="1:47" ht="13.5">
      <c r="A44" s="45" t="str">
        <f>IF(Base!B42="","",Base!B42)</f>
        <v>11.660.411-6</v>
      </c>
      <c r="B44" s="45" t="str">
        <f>IF(Base!F42="","",Base!F42)</f>
        <v>SIXTO PATRICIO  CORTES  HERRERA</v>
      </c>
      <c r="C44" s="45" t="str">
        <f>IF(Base!I42="","",Base!I42)</f>
        <v>Abastecimiento</v>
      </c>
      <c r="D44" s="46" t="str">
        <f>IF(Base!J42="","",Base!J42)</f>
        <v>Almacen Insumos Pque</v>
      </c>
      <c r="E44" s="45">
        <f>IF(Base!H42="","",Base!H42)</f>
        <v>1050581</v>
      </c>
      <c r="J44" s="53">
        <v>34</v>
      </c>
      <c r="K44" s="74" t="s">
        <v>343</v>
      </c>
      <c r="L44" s="55" t="str">
        <f t="shared" si="13"/>
        <v>LUIS  DUARTE  BECERRA</v>
      </c>
      <c r="M44" s="55">
        <f t="shared" si="14"/>
        <v>1050127</v>
      </c>
      <c r="N44" s="56" t="str">
        <f t="shared" si="15"/>
        <v>Abastecimiento</v>
      </c>
      <c r="O44" s="56" t="str">
        <f t="shared" si="16"/>
        <v>Preparación de Insum</v>
      </c>
      <c r="P44" s="57" t="s">
        <v>1353</v>
      </c>
      <c r="Q44" s="63"/>
      <c r="R44" s="53"/>
      <c r="S44" s="63"/>
      <c r="T44" s="53"/>
      <c r="U44" s="63"/>
      <c r="V44" s="53"/>
      <c r="W44" s="63"/>
      <c r="X44" s="53"/>
      <c r="Y44" s="63">
        <v>3</v>
      </c>
      <c r="Z44" s="53"/>
      <c r="AA44" s="63">
        <v>6</v>
      </c>
      <c r="AB44" s="53"/>
      <c r="AC44" s="63"/>
      <c r="AD44" s="53"/>
      <c r="AE44" s="60">
        <f t="shared" si="29"/>
        <v>9</v>
      </c>
      <c r="AF44" s="60">
        <f t="shared" si="29"/>
        <v>0</v>
      </c>
      <c r="AG44" s="61"/>
      <c r="AL44" s="45" t="str">
        <f t="shared" si="21"/>
        <v>05.267.317-8</v>
      </c>
      <c r="AM44" s="45">
        <v>35</v>
      </c>
      <c r="AN44" s="45">
        <f t="shared" si="22"/>
        <v>0</v>
      </c>
      <c r="AO44" s="45">
        <f t="shared" si="23"/>
        <v>0</v>
      </c>
      <c r="AP44" s="45">
        <f t="shared" si="24"/>
        <v>0</v>
      </c>
      <c r="AQ44" s="45">
        <f t="shared" si="25"/>
        <v>0</v>
      </c>
      <c r="AR44" s="45">
        <f t="shared" si="26"/>
        <v>3</v>
      </c>
      <c r="AS44" s="45">
        <f t="shared" si="27"/>
        <v>6</v>
      </c>
      <c r="AT44" s="45">
        <f t="shared" si="28"/>
        <v>0</v>
      </c>
      <c r="AU44" s="62">
        <f t="shared" si="12"/>
        <v>9</v>
      </c>
    </row>
    <row r="45" spans="1:47" ht="13.5">
      <c r="A45" s="45" t="str">
        <f>IF(Base!B43="","",Base!B43)</f>
        <v>11.523.492-7</v>
      </c>
      <c r="B45" s="45" t="str">
        <f>IF(Base!F43="","",Base!F43)</f>
        <v>CLAUDIO  CORTES  ULLOA</v>
      </c>
      <c r="C45" s="45" t="str">
        <f>IF(Base!I43="","",Base!I43)</f>
        <v>Linea 7</v>
      </c>
      <c r="D45" s="46" t="str">
        <f>IF(Base!J43="","",Base!J43)</f>
        <v>Palletizador</v>
      </c>
      <c r="E45" s="45">
        <f>IF(Base!H43="","",Base!H43)</f>
        <v>1050616</v>
      </c>
      <c r="J45" s="53">
        <v>35</v>
      </c>
      <c r="K45" s="74" t="s">
        <v>362</v>
      </c>
      <c r="L45" s="55" t="str">
        <f t="shared" si="13"/>
        <v>JOAQUIN  ESPINOZA  MORENO</v>
      </c>
      <c r="M45" s="55">
        <f t="shared" si="14"/>
        <v>1050581</v>
      </c>
      <c r="N45" s="56" t="str">
        <f t="shared" si="15"/>
        <v>Abastecimiento</v>
      </c>
      <c r="O45" s="56" t="str">
        <f t="shared" si="16"/>
        <v>Almacen Insumos Pque</v>
      </c>
      <c r="P45" s="57" t="s">
        <v>1353</v>
      </c>
      <c r="Q45" s="63">
        <v>2</v>
      </c>
      <c r="R45" s="53"/>
      <c r="S45" s="63">
        <v>2</v>
      </c>
      <c r="T45" s="53"/>
      <c r="U45" s="63">
        <v>2</v>
      </c>
      <c r="V45" s="53"/>
      <c r="W45" s="63">
        <v>2</v>
      </c>
      <c r="X45" s="53"/>
      <c r="Y45" s="63"/>
      <c r="Z45" s="53"/>
      <c r="AA45" s="63"/>
      <c r="AB45" s="53"/>
      <c r="AC45" s="63"/>
      <c r="AD45" s="53"/>
      <c r="AE45" s="60">
        <f t="shared" si="29"/>
        <v>8</v>
      </c>
      <c r="AF45" s="60">
        <f t="shared" si="29"/>
        <v>0</v>
      </c>
      <c r="AG45" s="61"/>
      <c r="AL45" s="45" t="str">
        <f t="shared" si="21"/>
        <v>11.267.594-9</v>
      </c>
      <c r="AM45" s="45">
        <v>36</v>
      </c>
      <c r="AN45" s="45">
        <f t="shared" si="22"/>
        <v>2</v>
      </c>
      <c r="AO45" s="45">
        <f t="shared" si="23"/>
        <v>2</v>
      </c>
      <c r="AP45" s="45">
        <f t="shared" si="24"/>
        <v>2</v>
      </c>
      <c r="AQ45" s="45">
        <f t="shared" si="25"/>
        <v>2</v>
      </c>
      <c r="AR45" s="45">
        <f t="shared" si="26"/>
        <v>0</v>
      </c>
      <c r="AS45" s="45">
        <f t="shared" si="27"/>
        <v>0</v>
      </c>
      <c r="AT45" s="45">
        <f t="shared" si="28"/>
        <v>0</v>
      </c>
      <c r="AU45" s="62">
        <f t="shared" si="12"/>
        <v>8</v>
      </c>
    </row>
    <row r="46" spans="1:47" ht="13.5">
      <c r="A46" s="45" t="str">
        <f>IF(Base!B44="","",Base!B44)</f>
        <v>11.268.136-1</v>
      </c>
      <c r="B46" s="45" t="str">
        <f>IF(Base!F44="","",Base!F44)</f>
        <v>MARIA ANGELICA  CRUCES  AGUILERA</v>
      </c>
      <c r="C46" s="45" t="str">
        <f>IF(Base!I44="","",Base!I44)</f>
        <v>Linea 6</v>
      </c>
      <c r="D46" s="46" t="str">
        <f>IF(Base!J44="","",Base!J44)</f>
        <v>Inspector etiqueta</v>
      </c>
      <c r="E46" s="45">
        <f>IF(Base!H44="","",Base!H44)</f>
        <v>1050610</v>
      </c>
      <c r="J46" s="53">
        <v>36</v>
      </c>
      <c r="K46" s="74" t="s">
        <v>378</v>
      </c>
      <c r="L46" s="55" t="str">
        <f t="shared" si="13"/>
        <v>JONATHAN  ESPINOZA  MORENO</v>
      </c>
      <c r="M46" s="55">
        <f t="shared" si="14"/>
        <v>1050581</v>
      </c>
      <c r="N46" s="56" t="str">
        <f t="shared" si="15"/>
        <v>Abastecimiento</v>
      </c>
      <c r="O46" s="56" t="str">
        <f t="shared" si="16"/>
        <v>Suministro de Líneas</v>
      </c>
      <c r="P46" s="57" t="s">
        <v>6</v>
      </c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>
        <f t="shared" si="29"/>
        <v>0</v>
      </c>
      <c r="AF46" s="60">
        <f t="shared" si="29"/>
        <v>0</v>
      </c>
      <c r="AG46" s="61"/>
      <c r="AL46" s="45" t="str">
        <f t="shared" si="21"/>
        <v>16.031.949-6</v>
      </c>
      <c r="AM46" s="45">
        <v>37</v>
      </c>
      <c r="AN46" s="45">
        <f t="shared" si="22"/>
        <v>0</v>
      </c>
      <c r="AO46" s="45">
        <f t="shared" si="23"/>
        <v>0</v>
      </c>
      <c r="AP46" s="45">
        <f t="shared" si="24"/>
        <v>0</v>
      </c>
      <c r="AQ46" s="45">
        <f t="shared" si="25"/>
        <v>0</v>
      </c>
      <c r="AR46" s="45">
        <f t="shared" si="26"/>
        <v>0</v>
      </c>
      <c r="AS46" s="45">
        <f t="shared" si="27"/>
        <v>0</v>
      </c>
      <c r="AT46" s="45">
        <f t="shared" si="28"/>
        <v>0</v>
      </c>
      <c r="AU46" s="62" t="str">
        <f t="shared" si="12"/>
        <v/>
      </c>
    </row>
    <row r="47" spans="1:47" ht="13.5">
      <c r="A47" s="45" t="str">
        <f>IF(Base!B45="","",Base!B45)</f>
        <v>11.347.053-4</v>
      </c>
      <c r="B47" s="45" t="str">
        <f>IF(Base!F45="","",Base!F45)</f>
        <v>LUISA ISABEL  CRUZ  ROMERO</v>
      </c>
      <c r="C47" s="45" t="str">
        <f>IF(Base!I45="","",Base!I45)</f>
        <v>Abastecimiento</v>
      </c>
      <c r="D47" s="46" t="str">
        <f>IF(Base!J45="","",Base!J45)</f>
        <v>Reimpresión</v>
      </c>
      <c r="E47" s="45">
        <f>IF(Base!H45="","",Base!H45)</f>
        <v>1050506</v>
      </c>
      <c r="J47" s="53">
        <v>37</v>
      </c>
      <c r="K47" s="74" t="s">
        <v>382</v>
      </c>
      <c r="L47" s="55" t="str">
        <f t="shared" si="13"/>
        <v>CARLOS  FIGUEROA  NILO</v>
      </c>
      <c r="M47" s="55">
        <f t="shared" si="14"/>
        <v>1050126</v>
      </c>
      <c r="N47" s="56" t="str">
        <f t="shared" si="15"/>
        <v>Abastecimiento</v>
      </c>
      <c r="O47" s="56" t="str">
        <f t="shared" si="16"/>
        <v>Control Ingresos Cen</v>
      </c>
      <c r="P47" s="57" t="s">
        <v>1330</v>
      </c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0">
        <f t="shared" si="29"/>
        <v>0</v>
      </c>
      <c r="AF47" s="60">
        <f t="shared" si="29"/>
        <v>0</v>
      </c>
      <c r="AG47" s="61"/>
      <c r="AL47" s="45" t="str">
        <f t="shared" si="21"/>
        <v>05.080.993-5</v>
      </c>
      <c r="AM47" s="45">
        <v>38</v>
      </c>
      <c r="AN47" s="45">
        <f t="shared" si="22"/>
        <v>0</v>
      </c>
      <c r="AO47" s="45">
        <f t="shared" si="23"/>
        <v>0</v>
      </c>
      <c r="AP47" s="45">
        <f t="shared" si="24"/>
        <v>0</v>
      </c>
      <c r="AQ47" s="45">
        <f t="shared" si="25"/>
        <v>0</v>
      </c>
      <c r="AR47" s="45">
        <f t="shared" si="26"/>
        <v>0</v>
      </c>
      <c r="AS47" s="45">
        <f t="shared" si="27"/>
        <v>0</v>
      </c>
      <c r="AT47" s="45">
        <f t="shared" si="28"/>
        <v>0</v>
      </c>
      <c r="AU47" s="62" t="str">
        <f t="shared" si="12"/>
        <v/>
      </c>
    </row>
    <row r="48" spans="1:47" ht="13.5">
      <c r="A48" s="45" t="str">
        <f>IF(Base!B46="","",Base!B46)</f>
        <v>07.815.607-4</v>
      </c>
      <c r="B48" s="45" t="str">
        <f>IF(Base!F46="","",Base!F46)</f>
        <v>PATRICIO HERNAN  CUEVAS  ORDENES</v>
      </c>
      <c r="C48" s="45" t="str">
        <f>IF(Base!I46="","",Base!I46)</f>
        <v>Abastecimiento</v>
      </c>
      <c r="D48" s="46" t="str">
        <f>IF(Base!J46="","",Base!J46)</f>
        <v>Suministro de Líneas</v>
      </c>
      <c r="E48" s="45">
        <f>IF(Base!H46="","",Base!H46)</f>
        <v>1050633</v>
      </c>
      <c r="J48" s="53">
        <v>38</v>
      </c>
      <c r="K48" s="74" t="s">
        <v>387</v>
      </c>
      <c r="L48" s="55" t="str">
        <f t="shared" si="13"/>
        <v>NELLY E.  FIGUEROA  PAVEZ</v>
      </c>
      <c r="M48" s="55">
        <f t="shared" si="14"/>
        <v>1050126</v>
      </c>
      <c r="N48" s="56" t="str">
        <f t="shared" si="15"/>
        <v>Abastecimiento</v>
      </c>
      <c r="O48" s="56" t="str">
        <f t="shared" si="16"/>
        <v>Control Ingresos Cen</v>
      </c>
      <c r="P48" s="57" t="s">
        <v>1330</v>
      </c>
      <c r="Q48" s="63"/>
      <c r="R48" s="53"/>
      <c r="S48" s="63"/>
      <c r="T48" s="53"/>
      <c r="U48" s="63"/>
      <c r="V48" s="53"/>
      <c r="W48" s="63"/>
      <c r="X48" s="53"/>
      <c r="Y48" s="63"/>
      <c r="Z48" s="53"/>
      <c r="AA48" s="63"/>
      <c r="AB48" s="53"/>
      <c r="AC48" s="63"/>
      <c r="AD48" s="53"/>
      <c r="AE48" s="60">
        <f t="shared" si="29"/>
        <v>0</v>
      </c>
      <c r="AF48" s="60">
        <f t="shared" si="29"/>
        <v>0</v>
      </c>
      <c r="AG48" s="61"/>
      <c r="AL48" s="45" t="str">
        <f t="shared" si="21"/>
        <v>05.989.878-7</v>
      </c>
      <c r="AM48" s="45">
        <v>39</v>
      </c>
      <c r="AN48" s="45">
        <f t="shared" si="22"/>
        <v>0</v>
      </c>
      <c r="AO48" s="45">
        <f t="shared" si="23"/>
        <v>0</v>
      </c>
      <c r="AP48" s="45">
        <f t="shared" si="24"/>
        <v>0</v>
      </c>
      <c r="AQ48" s="45">
        <f t="shared" si="25"/>
        <v>0</v>
      </c>
      <c r="AR48" s="45">
        <f t="shared" si="26"/>
        <v>0</v>
      </c>
      <c r="AS48" s="45">
        <f t="shared" si="27"/>
        <v>0</v>
      </c>
      <c r="AT48" s="45">
        <f t="shared" si="28"/>
        <v>0</v>
      </c>
      <c r="AU48" s="62" t="str">
        <f t="shared" si="12"/>
        <v/>
      </c>
    </row>
    <row r="49" spans="1:47" ht="13.5">
      <c r="A49" s="45" t="str">
        <f>IF(Base!B47="","",Base!B47)</f>
        <v>06.143.912-9</v>
      </c>
      <c r="B49" s="45" t="str">
        <f>IF(Base!F47="","",Base!F47)</f>
        <v>ARTURO BERNABE  CURIN  MILLAN</v>
      </c>
      <c r="C49" s="45" t="str">
        <f>IF(Base!I47="","",Base!I47)</f>
        <v>Aseo</v>
      </c>
      <c r="D49" s="46" t="str">
        <f>IF(Base!J47="","",Base!J47)</f>
        <v>Aseo</v>
      </c>
      <c r="E49" s="45">
        <f>IF(Base!H47="","",Base!H47)</f>
        <v>1050632</v>
      </c>
      <c r="J49" s="53">
        <v>39</v>
      </c>
      <c r="K49" s="74" t="s">
        <v>1385</v>
      </c>
      <c r="L49" s="55" t="str">
        <f t="shared" si="13"/>
        <v>MARCELO  FLORES  ARANDA</v>
      </c>
      <c r="M49" s="55">
        <f t="shared" si="14"/>
        <v>1050126</v>
      </c>
      <c r="N49" s="56" t="str">
        <f t="shared" si="15"/>
        <v>Abastecimiento</v>
      </c>
      <c r="O49" s="56" t="str">
        <f t="shared" si="16"/>
        <v>Control Ingresos Cen</v>
      </c>
      <c r="P49" s="57" t="s">
        <v>1330</v>
      </c>
      <c r="Q49" s="63"/>
      <c r="R49" s="53"/>
      <c r="S49" s="63"/>
      <c r="T49" s="53"/>
      <c r="U49" s="63"/>
      <c r="V49" s="53"/>
      <c r="W49" s="63"/>
      <c r="X49" s="53"/>
      <c r="Y49" s="63"/>
      <c r="Z49" s="53"/>
      <c r="AA49" s="63"/>
      <c r="AB49" s="53"/>
      <c r="AC49" s="63"/>
      <c r="AD49" s="53"/>
      <c r="AE49" s="60">
        <f t="shared" si="29"/>
        <v>0</v>
      </c>
      <c r="AF49" s="60">
        <f t="shared" si="29"/>
        <v>0</v>
      </c>
      <c r="AG49" s="61"/>
      <c r="AL49" s="45" t="str">
        <f t="shared" si="21"/>
        <v>16.380.050-0</v>
      </c>
      <c r="AM49" s="45">
        <v>40</v>
      </c>
      <c r="AN49" s="45">
        <f t="shared" si="22"/>
        <v>0</v>
      </c>
      <c r="AO49" s="45">
        <f t="shared" si="23"/>
        <v>0</v>
      </c>
      <c r="AP49" s="45">
        <f t="shared" si="24"/>
        <v>0</v>
      </c>
      <c r="AQ49" s="45">
        <f t="shared" si="25"/>
        <v>0</v>
      </c>
      <c r="AR49" s="45">
        <f t="shared" si="26"/>
        <v>0</v>
      </c>
      <c r="AS49" s="45">
        <f t="shared" si="27"/>
        <v>0</v>
      </c>
      <c r="AT49" s="45">
        <f t="shared" si="28"/>
        <v>0</v>
      </c>
      <c r="AU49" s="62" t="str">
        <f t="shared" si="12"/>
        <v/>
      </c>
    </row>
    <row r="50" spans="1:47" ht="13.5">
      <c r="A50" s="45" t="str">
        <f>IF(Base!B48="","",Base!B48)</f>
        <v>14.181.387-0</v>
      </c>
      <c r="B50" s="45" t="str">
        <f>IF(Base!F48="","",Base!F48)</f>
        <v>JORGE ANDRES  DEL RIO  TRONCOSO</v>
      </c>
      <c r="C50" s="45" t="str">
        <f>IF(Base!I48="","",Base!I48)</f>
        <v>Abastecimiento</v>
      </c>
      <c r="D50" s="46" t="str">
        <f>IF(Base!J48="","",Base!J48)</f>
        <v>Preparación de Insum</v>
      </c>
      <c r="E50" s="45">
        <f>IF(Base!H48="","",Base!H48)</f>
        <v>1050127</v>
      </c>
      <c r="J50" s="53">
        <v>40</v>
      </c>
      <c r="K50" s="74" t="s">
        <v>424</v>
      </c>
      <c r="L50" s="55" t="str">
        <f t="shared" si="13"/>
        <v>MIGUEL FRANCISCO  GALLARDO  CASTRO</v>
      </c>
      <c r="M50" s="55">
        <f t="shared" si="14"/>
        <v>1050126</v>
      </c>
      <c r="N50" s="56" t="str">
        <f t="shared" si="15"/>
        <v>Abastecimiento</v>
      </c>
      <c r="O50" s="56" t="str">
        <f t="shared" si="16"/>
        <v>Control Ingresos Cen</v>
      </c>
      <c r="P50" s="57" t="s">
        <v>6</v>
      </c>
      <c r="Q50" s="63"/>
      <c r="R50" s="53"/>
      <c r="S50" s="63"/>
      <c r="T50" s="53"/>
      <c r="U50" s="63"/>
      <c r="V50" s="53"/>
      <c r="W50" s="63"/>
      <c r="X50" s="53"/>
      <c r="Y50" s="63"/>
      <c r="Z50" s="53"/>
      <c r="AA50" s="63"/>
      <c r="AB50" s="53"/>
      <c r="AC50" s="63"/>
      <c r="AD50" s="53"/>
      <c r="AE50" s="60">
        <f t="shared" si="29"/>
        <v>0</v>
      </c>
      <c r="AF50" s="60">
        <f t="shared" si="29"/>
        <v>0</v>
      </c>
      <c r="AG50" s="61"/>
      <c r="AL50" s="45" t="str">
        <f t="shared" si="21"/>
        <v>09.571.017-4</v>
      </c>
      <c r="AM50" s="45">
        <v>41</v>
      </c>
      <c r="AN50" s="45">
        <f t="shared" si="22"/>
        <v>0</v>
      </c>
      <c r="AO50" s="45">
        <f t="shared" si="23"/>
        <v>0</v>
      </c>
      <c r="AP50" s="45">
        <f t="shared" si="24"/>
        <v>0</v>
      </c>
      <c r="AQ50" s="45">
        <f t="shared" si="25"/>
        <v>0</v>
      </c>
      <c r="AR50" s="45">
        <f t="shared" si="26"/>
        <v>0</v>
      </c>
      <c r="AS50" s="45">
        <f t="shared" si="27"/>
        <v>0</v>
      </c>
      <c r="AT50" s="45">
        <f t="shared" si="28"/>
        <v>0</v>
      </c>
      <c r="AU50" s="62" t="str">
        <f t="shared" si="12"/>
        <v/>
      </c>
    </row>
    <row r="51" spans="1:47" ht="13.5">
      <c r="A51" s="45" t="str">
        <f>IF(Base!B49="","",Base!B49)</f>
        <v>07.944.613-0</v>
      </c>
      <c r="B51" s="45" t="str">
        <f>IF(Base!F49="","",Base!F49)</f>
        <v>MIGUEL ANGEL  DIAZ  CASTRO</v>
      </c>
      <c r="C51" s="45" t="str">
        <f>IF(Base!I49="","",Base!I49)</f>
        <v>Abastecimiento</v>
      </c>
      <c r="D51" s="46" t="str">
        <f>IF(Base!J49="","",Base!J49)</f>
        <v>Control Ingresos Cen</v>
      </c>
      <c r="E51" s="45">
        <f>IF(Base!H49="","",Base!H49)</f>
        <v>1050126</v>
      </c>
      <c r="J51" s="53">
        <v>41</v>
      </c>
      <c r="K51" s="74" t="s">
        <v>439</v>
      </c>
      <c r="L51" s="55" t="str">
        <f t="shared" si="13"/>
        <v>ARIEL ALFREDO  GALVEZ  CERNA</v>
      </c>
      <c r="M51" s="55">
        <f t="shared" si="14"/>
        <v>1050126</v>
      </c>
      <c r="N51" s="56" t="str">
        <f t="shared" si="15"/>
        <v>Abastecimiento</v>
      </c>
      <c r="O51" s="56" t="str">
        <f t="shared" si="16"/>
        <v>Control Ingresos Cen</v>
      </c>
      <c r="P51" s="57" t="s">
        <v>6</v>
      </c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0">
        <f t="shared" si="29"/>
        <v>0</v>
      </c>
      <c r="AF51" s="60">
        <f t="shared" si="29"/>
        <v>0</v>
      </c>
      <c r="AG51" s="61"/>
      <c r="AL51" s="45" t="str">
        <f t="shared" si="21"/>
        <v>17.065.312-2</v>
      </c>
      <c r="AM51" s="45">
        <v>42</v>
      </c>
      <c r="AN51" s="45">
        <f t="shared" si="22"/>
        <v>0</v>
      </c>
      <c r="AO51" s="45">
        <f t="shared" si="23"/>
        <v>0</v>
      </c>
      <c r="AP51" s="45">
        <f t="shared" si="24"/>
        <v>0</v>
      </c>
      <c r="AQ51" s="45">
        <f t="shared" si="25"/>
        <v>0</v>
      </c>
      <c r="AR51" s="45">
        <f t="shared" si="26"/>
        <v>0</v>
      </c>
      <c r="AS51" s="45">
        <f t="shared" si="27"/>
        <v>0</v>
      </c>
      <c r="AT51" s="45">
        <f t="shared" si="28"/>
        <v>0</v>
      </c>
      <c r="AU51" s="62" t="str">
        <f t="shared" si="12"/>
        <v/>
      </c>
    </row>
    <row r="52" spans="1:47" ht="13.5">
      <c r="A52" s="45" t="str">
        <f>IF(Base!B50="","",Base!B50)</f>
        <v>14.595.059-7</v>
      </c>
      <c r="B52" s="45" t="str">
        <f>IF(Base!F50="","",Base!F50)</f>
        <v>YESENIA DE LOURDES  DIAZ  GALVEZ</v>
      </c>
      <c r="C52" s="45" t="str">
        <f>IF(Base!I50="","",Base!I50)</f>
        <v>Linea 7</v>
      </c>
      <c r="D52" s="46" t="str">
        <f>IF(Base!J50="","",Base!J50)</f>
        <v>Inspector etiqueta</v>
      </c>
      <c r="E52" s="45">
        <f>IF(Base!H50="","",Base!H50)</f>
        <v>1050616</v>
      </c>
      <c r="J52" s="53">
        <v>42</v>
      </c>
      <c r="K52" s="74" t="s">
        <v>429</v>
      </c>
      <c r="L52" s="55" t="str">
        <f t="shared" si="13"/>
        <v>EMERSON  GALLARDO  LUCERO</v>
      </c>
      <c r="M52" s="55">
        <f t="shared" si="14"/>
        <v>1050126</v>
      </c>
      <c r="N52" s="56" t="str">
        <f t="shared" si="15"/>
        <v>Abastecimiento</v>
      </c>
      <c r="O52" s="56" t="str">
        <f t="shared" si="16"/>
        <v>Control Ingresos Cen</v>
      </c>
      <c r="P52" s="57" t="s">
        <v>6</v>
      </c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0">
        <f t="shared" si="29"/>
        <v>0</v>
      </c>
      <c r="AF52" s="60">
        <f t="shared" si="29"/>
        <v>0</v>
      </c>
      <c r="AG52" s="61"/>
      <c r="AL52" s="45" t="str">
        <f t="shared" si="21"/>
        <v>16.132.065-K</v>
      </c>
      <c r="AM52" s="45">
        <v>43</v>
      </c>
      <c r="AN52" s="45">
        <f t="shared" si="22"/>
        <v>0</v>
      </c>
      <c r="AO52" s="45">
        <f t="shared" si="23"/>
        <v>0</v>
      </c>
      <c r="AP52" s="45">
        <f t="shared" si="24"/>
        <v>0</v>
      </c>
      <c r="AQ52" s="45">
        <f t="shared" si="25"/>
        <v>0</v>
      </c>
      <c r="AR52" s="45">
        <f t="shared" si="26"/>
        <v>0</v>
      </c>
      <c r="AS52" s="45">
        <f t="shared" si="27"/>
        <v>0</v>
      </c>
      <c r="AT52" s="45">
        <f t="shared" si="28"/>
        <v>0</v>
      </c>
      <c r="AU52" s="62" t="str">
        <f t="shared" si="12"/>
        <v/>
      </c>
    </row>
    <row r="53" spans="1:47" ht="13.5">
      <c r="A53" s="45" t="str">
        <f>IF(Base!B51="","",Base!B51)</f>
        <v>10.874.066-3</v>
      </c>
      <c r="B53" s="45" t="str">
        <f>IF(Base!F51="","",Base!F51)</f>
        <v>CRISTIAN  DIAZ  HENRIQUEZ</v>
      </c>
      <c r="C53" s="45" t="str">
        <f>IF(Base!I51="","",Base!I51)</f>
        <v>Linea 1</v>
      </c>
      <c r="D53" s="46" t="str">
        <f>IF(Base!J51="","",Base!J51)</f>
        <v>Embalador</v>
      </c>
      <c r="E53" s="45">
        <f>IF(Base!H51="","",Base!H51)</f>
        <v>1050552</v>
      </c>
      <c r="J53" s="53">
        <v>43</v>
      </c>
      <c r="K53" s="74" t="s">
        <v>443</v>
      </c>
      <c r="L53" s="55" t="str">
        <f t="shared" si="13"/>
        <v>JUAN DIEGO ALEXIS  GARCES  MUÑOZ</v>
      </c>
      <c r="M53" s="55">
        <f t="shared" si="14"/>
        <v>1050161</v>
      </c>
      <c r="N53" s="56" t="str">
        <f t="shared" si="15"/>
        <v>Abastecimiento</v>
      </c>
      <c r="O53" s="56" t="str">
        <f t="shared" si="16"/>
        <v>Control Inventario I</v>
      </c>
      <c r="P53" s="57" t="s">
        <v>1332</v>
      </c>
      <c r="Q53" s="63"/>
      <c r="R53" s="53"/>
      <c r="S53" s="63"/>
      <c r="T53" s="53"/>
      <c r="U53" s="63"/>
      <c r="V53" s="53"/>
      <c r="W53" s="63"/>
      <c r="X53" s="53"/>
      <c r="Y53" s="63"/>
      <c r="Z53" s="53"/>
      <c r="AA53" s="63"/>
      <c r="AB53" s="53"/>
      <c r="AC53" s="63"/>
      <c r="AD53" s="53"/>
      <c r="AE53" s="60">
        <f t="shared" si="29"/>
        <v>0</v>
      </c>
      <c r="AF53" s="60">
        <f t="shared" si="29"/>
        <v>0</v>
      </c>
      <c r="AG53" s="61"/>
      <c r="AL53" s="45" t="str">
        <f t="shared" si="21"/>
        <v>17.002.272-6</v>
      </c>
      <c r="AM53" s="45">
        <v>44</v>
      </c>
      <c r="AN53" s="45">
        <f t="shared" si="22"/>
        <v>0</v>
      </c>
      <c r="AO53" s="45">
        <f t="shared" si="23"/>
        <v>0</v>
      </c>
      <c r="AP53" s="45">
        <f t="shared" si="24"/>
        <v>0</v>
      </c>
      <c r="AQ53" s="45">
        <f t="shared" si="25"/>
        <v>0</v>
      </c>
      <c r="AR53" s="45">
        <f t="shared" si="26"/>
        <v>0</v>
      </c>
      <c r="AS53" s="45">
        <f t="shared" si="27"/>
        <v>0</v>
      </c>
      <c r="AT53" s="45">
        <f t="shared" si="28"/>
        <v>0</v>
      </c>
      <c r="AU53" s="62" t="str">
        <f t="shared" si="12"/>
        <v/>
      </c>
    </row>
    <row r="54" spans="1:47" ht="13.5">
      <c r="A54" s="45" t="str">
        <f>IF(Base!B52="","",Base!B52)</f>
        <v>11.394.356-4</v>
      </c>
      <c r="B54" s="45" t="str">
        <f>IF(Base!F52="","",Base!F52)</f>
        <v>ANGELICA VICTORIA  DIAZ  MUÑOZ</v>
      </c>
      <c r="C54" s="45" t="str">
        <f>IF(Base!I52="","",Base!I52)</f>
        <v>Linea 7</v>
      </c>
      <c r="D54" s="46" t="str">
        <f>IF(Base!J52="","",Base!J52)</f>
        <v>Inspector etiqueta</v>
      </c>
      <c r="E54" s="45">
        <f>IF(Base!H52="","",Base!H52)</f>
        <v>1050616</v>
      </c>
      <c r="J54" s="53">
        <v>44</v>
      </c>
      <c r="K54" s="74" t="s">
        <v>449</v>
      </c>
      <c r="L54" s="55" t="str">
        <f t="shared" si="13"/>
        <v>PABLO HORACIO  GARCIA  DIAZ</v>
      </c>
      <c r="M54" s="55">
        <f t="shared" si="14"/>
        <v>1050126</v>
      </c>
      <c r="N54" s="56" t="str">
        <f t="shared" si="15"/>
        <v>Abastecimiento</v>
      </c>
      <c r="O54" s="56" t="str">
        <f t="shared" si="16"/>
        <v>Control Inventario I</v>
      </c>
      <c r="P54" s="57" t="s">
        <v>6</v>
      </c>
      <c r="Q54" s="63"/>
      <c r="R54" s="53"/>
      <c r="S54" s="63"/>
      <c r="T54" s="53"/>
      <c r="U54" s="63"/>
      <c r="V54" s="53"/>
      <c r="W54" s="63"/>
      <c r="X54" s="53"/>
      <c r="Y54" s="63"/>
      <c r="Z54" s="53"/>
      <c r="AA54" s="63"/>
      <c r="AB54" s="53"/>
      <c r="AC54" s="63"/>
      <c r="AD54" s="53"/>
      <c r="AE54" s="60">
        <f t="shared" si="29"/>
        <v>0</v>
      </c>
      <c r="AF54" s="60">
        <f t="shared" si="29"/>
        <v>0</v>
      </c>
      <c r="AG54" s="61"/>
      <c r="AL54" s="45" t="str">
        <f t="shared" si="21"/>
        <v>09.048.185-1</v>
      </c>
      <c r="AM54" s="45">
        <v>45</v>
      </c>
      <c r="AN54" s="45">
        <f t="shared" si="22"/>
        <v>0</v>
      </c>
      <c r="AO54" s="45">
        <f t="shared" si="23"/>
        <v>0</v>
      </c>
      <c r="AP54" s="45">
        <f t="shared" si="24"/>
        <v>0</v>
      </c>
      <c r="AQ54" s="45">
        <f t="shared" si="25"/>
        <v>0</v>
      </c>
      <c r="AR54" s="45">
        <f t="shared" si="26"/>
        <v>0</v>
      </c>
      <c r="AS54" s="45">
        <f t="shared" si="27"/>
        <v>0</v>
      </c>
      <c r="AT54" s="45">
        <f t="shared" si="28"/>
        <v>0</v>
      </c>
      <c r="AU54" s="62" t="str">
        <f t="shared" si="12"/>
        <v/>
      </c>
    </row>
    <row r="55" spans="1:47" ht="13.5">
      <c r="A55" s="45" t="str">
        <f>IF(Base!B53="","",Base!B53)</f>
        <v>11.165.105-1</v>
      </c>
      <c r="B55" s="45" t="str">
        <f>IF(Base!F53="","",Base!F53)</f>
        <v>CECILIA  DIAZ  POBLETE</v>
      </c>
      <c r="C55" s="45" t="str">
        <f>IF(Base!I53="","",Base!I53)</f>
        <v>Linea 1</v>
      </c>
      <c r="D55" s="46" t="str">
        <f>IF(Base!J53="","",Base!J53)</f>
        <v>Inspector etiqueta</v>
      </c>
      <c r="E55" s="45">
        <f>IF(Base!H53="","",Base!H53)</f>
        <v>1050552</v>
      </c>
      <c r="J55" s="53">
        <v>45</v>
      </c>
      <c r="K55" s="74" t="s">
        <v>460</v>
      </c>
      <c r="L55" s="55" t="str">
        <f t="shared" si="13"/>
        <v>DARIO RODOLFO  GONZALEZ  DEL VALLE</v>
      </c>
      <c r="M55" s="55">
        <f t="shared" si="14"/>
        <v>1050581</v>
      </c>
      <c r="N55" s="56" t="str">
        <f t="shared" si="15"/>
        <v>Abastecimiento</v>
      </c>
      <c r="O55" s="56" t="str">
        <f t="shared" si="16"/>
        <v>Almacen Insumos Pque</v>
      </c>
      <c r="P55" s="57" t="s">
        <v>6</v>
      </c>
      <c r="Q55" s="63"/>
      <c r="R55" s="53"/>
      <c r="S55" s="63"/>
      <c r="T55" s="53"/>
      <c r="U55" s="63"/>
      <c r="V55" s="53"/>
      <c r="W55" s="63"/>
      <c r="X55" s="53"/>
      <c r="Y55" s="63"/>
      <c r="Z55" s="53"/>
      <c r="AA55" s="63"/>
      <c r="AB55" s="53"/>
      <c r="AC55" s="63"/>
      <c r="AD55" s="53"/>
      <c r="AE55" s="60">
        <f t="shared" si="29"/>
        <v>0</v>
      </c>
      <c r="AF55" s="60">
        <f t="shared" si="29"/>
        <v>0</v>
      </c>
      <c r="AG55" s="61"/>
      <c r="AL55" s="45" t="str">
        <f t="shared" si="21"/>
        <v>09.068.490-6</v>
      </c>
      <c r="AM55" s="45">
        <v>46</v>
      </c>
      <c r="AN55" s="45">
        <f t="shared" si="22"/>
        <v>0</v>
      </c>
      <c r="AO55" s="45">
        <f t="shared" si="23"/>
        <v>0</v>
      </c>
      <c r="AP55" s="45">
        <f t="shared" si="24"/>
        <v>0</v>
      </c>
      <c r="AQ55" s="45">
        <f t="shared" si="25"/>
        <v>0</v>
      </c>
      <c r="AR55" s="45">
        <f t="shared" si="26"/>
        <v>0</v>
      </c>
      <c r="AS55" s="45">
        <f t="shared" si="27"/>
        <v>0</v>
      </c>
      <c r="AT55" s="45">
        <f t="shared" si="28"/>
        <v>0</v>
      </c>
      <c r="AU55" s="62" t="str">
        <f t="shared" si="12"/>
        <v/>
      </c>
    </row>
    <row r="56" spans="1:47" ht="13.5">
      <c r="A56" s="45" t="str">
        <f>IF(Base!B54="","",Base!B54)</f>
        <v>17.929.108-8</v>
      </c>
      <c r="B56" s="45" t="str">
        <f>IF(Base!F54="","",Base!F54)</f>
        <v>CRISTIAN ALFREDO  DONOSO  SANTIBAÑEZ</v>
      </c>
      <c r="C56" s="45" t="str">
        <f>IF(Base!I54="","",Base!I54)</f>
        <v>Setup</v>
      </c>
      <c r="D56" s="46" t="str">
        <f>IF(Base!J54="","",Base!J54)</f>
        <v>Setup</v>
      </c>
      <c r="E56" s="45">
        <f>IF(Base!H54="","",Base!H54)</f>
        <v>1050529</v>
      </c>
      <c r="J56" s="53">
        <v>46</v>
      </c>
      <c r="K56" s="74" t="s">
        <v>480</v>
      </c>
      <c r="L56" s="55" t="str">
        <f t="shared" si="13"/>
        <v>VICTOR MANUEL  HENRIQUEZ  FLORES</v>
      </c>
      <c r="M56" s="55">
        <f t="shared" si="14"/>
        <v>1050161</v>
      </c>
      <c r="N56" s="56" t="str">
        <f t="shared" si="15"/>
        <v>Abastecimiento</v>
      </c>
      <c r="O56" s="56" t="str">
        <f t="shared" si="16"/>
        <v>Control Inventario I</v>
      </c>
      <c r="P56" s="57" t="s">
        <v>1330</v>
      </c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0">
        <f t="shared" si="29"/>
        <v>0</v>
      </c>
      <c r="AF56" s="60">
        <f t="shared" si="29"/>
        <v>0</v>
      </c>
      <c r="AG56" s="61"/>
      <c r="AL56" s="45" t="str">
        <f t="shared" si="21"/>
        <v>09.748.915-7</v>
      </c>
      <c r="AM56" s="45">
        <v>47</v>
      </c>
      <c r="AN56" s="45">
        <f t="shared" si="22"/>
        <v>0</v>
      </c>
      <c r="AO56" s="45">
        <f t="shared" si="23"/>
        <v>0</v>
      </c>
      <c r="AP56" s="45">
        <f t="shared" si="24"/>
        <v>0</v>
      </c>
      <c r="AQ56" s="45">
        <f t="shared" si="25"/>
        <v>0</v>
      </c>
      <c r="AR56" s="45">
        <f t="shared" si="26"/>
        <v>0</v>
      </c>
      <c r="AS56" s="45">
        <f t="shared" si="27"/>
        <v>0</v>
      </c>
      <c r="AT56" s="45">
        <f t="shared" si="28"/>
        <v>0</v>
      </c>
      <c r="AU56" s="62" t="str">
        <f t="shared" si="12"/>
        <v/>
      </c>
    </row>
    <row r="57" spans="1:47" ht="13.5">
      <c r="A57" s="45" t="str">
        <f>IF(Base!B55="","",Base!B55)</f>
        <v>05.267.317-8</v>
      </c>
      <c r="B57" s="45" t="str">
        <f>IF(Base!F55="","",Base!F55)</f>
        <v>LUIS  DUARTE  BECERRA</v>
      </c>
      <c r="C57" s="45" t="str">
        <f>IF(Base!I55="","",Base!I55)</f>
        <v>Abastecimiento</v>
      </c>
      <c r="D57" s="46" t="str">
        <f>IF(Base!J55="","",Base!J55)</f>
        <v>Preparación de Insum</v>
      </c>
      <c r="E57" s="45">
        <f>IF(Base!H55="","",Base!H55)</f>
        <v>1050127</v>
      </c>
      <c r="J57" s="53">
        <v>47</v>
      </c>
      <c r="K57" s="74" t="s">
        <v>484</v>
      </c>
      <c r="L57" s="55" t="str">
        <f t="shared" si="13"/>
        <v>FRANKLIN LEONEL  HERNANDEZ  CESPEDES</v>
      </c>
      <c r="M57" s="55">
        <f t="shared" si="14"/>
        <v>1050126</v>
      </c>
      <c r="N57" s="56" t="str">
        <f t="shared" si="15"/>
        <v>Abastecimiento</v>
      </c>
      <c r="O57" s="56" t="str">
        <f t="shared" si="16"/>
        <v>Control Ingresos Cen</v>
      </c>
      <c r="P57" s="57" t="s">
        <v>6</v>
      </c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0">
        <f t="shared" si="29"/>
        <v>0</v>
      </c>
      <c r="AF57" s="60">
        <f t="shared" si="29"/>
        <v>0</v>
      </c>
      <c r="AG57" s="61"/>
      <c r="AL57" s="45" t="str">
        <f t="shared" si="21"/>
        <v>09.989.723-6</v>
      </c>
      <c r="AM57" s="45">
        <v>48</v>
      </c>
      <c r="AN57" s="45">
        <f t="shared" si="22"/>
        <v>0</v>
      </c>
      <c r="AO57" s="45">
        <f t="shared" si="23"/>
        <v>0</v>
      </c>
      <c r="AP57" s="45">
        <f t="shared" si="24"/>
        <v>0</v>
      </c>
      <c r="AQ57" s="45">
        <f t="shared" si="25"/>
        <v>0</v>
      </c>
      <c r="AR57" s="45">
        <f t="shared" si="26"/>
        <v>0</v>
      </c>
      <c r="AS57" s="45">
        <f t="shared" si="27"/>
        <v>0</v>
      </c>
      <c r="AT57" s="45">
        <f t="shared" si="28"/>
        <v>0</v>
      </c>
      <c r="AU57" s="62" t="str">
        <f t="shared" si="12"/>
        <v/>
      </c>
    </row>
    <row r="58" spans="1:47" ht="13.5">
      <c r="A58" s="45" t="str">
        <f>IF(Base!B56="","",Base!B56)</f>
        <v>14.336.328-7</v>
      </c>
      <c r="B58" s="45" t="str">
        <f>IF(Base!F56="","",Base!F56)</f>
        <v>HECTOR MANUEL  DURAN  HENRIQUEZ</v>
      </c>
      <c r="C58" s="45" t="str">
        <f>IF(Base!I56="","",Base!I56)</f>
        <v>Linea 1</v>
      </c>
      <c r="D58" s="46" t="str">
        <f>IF(Base!J56="","",Base!J56)</f>
        <v>Etiquetador</v>
      </c>
      <c r="E58" s="45">
        <f>IF(Base!H56="","",Base!H56)</f>
        <v>1050552</v>
      </c>
      <c r="J58" s="53">
        <v>48</v>
      </c>
      <c r="K58" s="74" t="s">
        <v>490</v>
      </c>
      <c r="L58" s="55" t="str">
        <f t="shared" si="13"/>
        <v>QUINTIN ROBERTO  HERNANDEZ  GONZALEZ</v>
      </c>
      <c r="M58" s="55">
        <f t="shared" si="14"/>
        <v>1050633</v>
      </c>
      <c r="N58" s="56" t="str">
        <f t="shared" si="15"/>
        <v>Abastecimiento</v>
      </c>
      <c r="O58" s="56" t="str">
        <f t="shared" si="16"/>
        <v>Suministro de Líneas</v>
      </c>
      <c r="P58" s="57" t="s">
        <v>1332</v>
      </c>
      <c r="Q58" s="63"/>
      <c r="R58" s="53"/>
      <c r="S58" s="63"/>
      <c r="T58" s="53"/>
      <c r="U58" s="63"/>
      <c r="V58" s="53"/>
      <c r="W58" s="63"/>
      <c r="X58" s="53"/>
      <c r="Y58" s="63"/>
      <c r="Z58" s="53"/>
      <c r="AA58" s="63"/>
      <c r="AB58" s="53"/>
      <c r="AC58" s="63"/>
      <c r="AD58" s="53"/>
      <c r="AE58" s="60">
        <f t="shared" si="29"/>
        <v>0</v>
      </c>
      <c r="AF58" s="60">
        <f t="shared" si="29"/>
        <v>0</v>
      </c>
      <c r="AG58" s="61"/>
      <c r="AL58" s="45" t="str">
        <f t="shared" si="21"/>
        <v>10.199.755-3</v>
      </c>
      <c r="AM58" s="45">
        <v>49</v>
      </c>
      <c r="AN58" s="45">
        <f t="shared" si="22"/>
        <v>0</v>
      </c>
      <c r="AO58" s="45">
        <f t="shared" si="23"/>
        <v>0</v>
      </c>
      <c r="AP58" s="45">
        <f t="shared" si="24"/>
        <v>0</v>
      </c>
      <c r="AQ58" s="45">
        <f t="shared" si="25"/>
        <v>0</v>
      </c>
      <c r="AR58" s="45">
        <f t="shared" si="26"/>
        <v>0</v>
      </c>
      <c r="AS58" s="45">
        <f t="shared" si="27"/>
        <v>0</v>
      </c>
      <c r="AT58" s="45">
        <f t="shared" si="28"/>
        <v>0</v>
      </c>
      <c r="AU58" s="62" t="str">
        <f t="shared" si="12"/>
        <v/>
      </c>
    </row>
    <row r="59" spans="1:47" ht="13.5">
      <c r="A59" s="45" t="str">
        <f>IF(Base!B57="","",Base!B57)</f>
        <v>09.957.527-1</v>
      </c>
      <c r="B59" s="45" t="str">
        <f>IF(Base!F57="","",Base!F57)</f>
        <v>JUAN LISANDRO  DURAN  MUÑOZ</v>
      </c>
      <c r="C59" s="45" t="str">
        <f>IF(Base!I57="","",Base!I57)</f>
        <v>Linea 7</v>
      </c>
      <c r="D59" s="46" t="str">
        <f>IF(Base!J57="","",Base!J57)</f>
        <v>Embalador</v>
      </c>
      <c r="E59" s="45">
        <f>IF(Base!H57="","",Base!H57)</f>
        <v>1050616</v>
      </c>
      <c r="J59" s="53">
        <v>49</v>
      </c>
      <c r="K59" s="74" t="s">
        <v>507</v>
      </c>
      <c r="L59" s="55" t="str">
        <f t="shared" si="13"/>
        <v>PAOLO CESAR  IBAÑEZ  GRANIFO</v>
      </c>
      <c r="M59" s="55">
        <f t="shared" si="14"/>
        <v>1050127</v>
      </c>
      <c r="N59" s="56" t="str">
        <f t="shared" si="15"/>
        <v>Abastecimiento</v>
      </c>
      <c r="O59" s="56" t="str">
        <f t="shared" si="16"/>
        <v>Preparación de Insum</v>
      </c>
      <c r="P59" s="57" t="s">
        <v>1332</v>
      </c>
      <c r="Q59" s="63"/>
      <c r="R59" s="53"/>
      <c r="S59" s="63"/>
      <c r="T59" s="53"/>
      <c r="U59" s="63"/>
      <c r="V59" s="53"/>
      <c r="W59" s="63"/>
      <c r="X59" s="53"/>
      <c r="Y59" s="63"/>
      <c r="Z59" s="53"/>
      <c r="AA59" s="63"/>
      <c r="AB59" s="53"/>
      <c r="AC59" s="63"/>
      <c r="AD59" s="53"/>
      <c r="AE59" s="60">
        <f t="shared" si="29"/>
        <v>0</v>
      </c>
      <c r="AF59" s="60">
        <f t="shared" si="29"/>
        <v>0</v>
      </c>
      <c r="AG59" s="61"/>
      <c r="AL59" s="45" t="str">
        <f t="shared" si="21"/>
        <v>11.656.057-7</v>
      </c>
      <c r="AM59" s="45">
        <v>50</v>
      </c>
      <c r="AN59" s="45">
        <f t="shared" si="22"/>
        <v>0</v>
      </c>
      <c r="AO59" s="45">
        <f t="shared" si="23"/>
        <v>0</v>
      </c>
      <c r="AP59" s="45">
        <f t="shared" si="24"/>
        <v>0</v>
      </c>
      <c r="AQ59" s="45">
        <f t="shared" si="25"/>
        <v>0</v>
      </c>
      <c r="AR59" s="45">
        <f t="shared" si="26"/>
        <v>0</v>
      </c>
      <c r="AS59" s="45">
        <f t="shared" si="27"/>
        <v>0</v>
      </c>
      <c r="AT59" s="45">
        <f t="shared" si="28"/>
        <v>0</v>
      </c>
      <c r="AU59" s="62" t="str">
        <f t="shared" si="12"/>
        <v/>
      </c>
    </row>
    <row r="60" spans="1:47" ht="13.5">
      <c r="A60" s="45" t="str">
        <f>IF(Base!B58="","",Base!B58)</f>
        <v>06.326.657-4</v>
      </c>
      <c r="B60" s="45" t="str">
        <f>IF(Base!F58="","",Base!F58)</f>
        <v>FERNANDO  DURAN  SOTO</v>
      </c>
      <c r="C60" s="45" t="str">
        <f>IF(Base!I58="","",Base!I58)</f>
        <v>Linea 7</v>
      </c>
      <c r="D60" s="46" t="str">
        <f>IF(Base!J58="","",Base!J58)</f>
        <v>Embalador</v>
      </c>
      <c r="E60" s="45">
        <f>IF(Base!H58="","",Base!H58)</f>
        <v>1050616</v>
      </c>
      <c r="J60" s="53">
        <v>50</v>
      </c>
      <c r="K60" s="74" t="s">
        <v>548</v>
      </c>
      <c r="L60" s="55" t="str">
        <f t="shared" si="13"/>
        <v>JUAN ENRIQUE  LEIVA  MUÑOZ</v>
      </c>
      <c r="M60" s="55">
        <f t="shared" si="14"/>
        <v>1050127</v>
      </c>
      <c r="N60" s="56" t="str">
        <f t="shared" si="15"/>
        <v>Abastecimiento</v>
      </c>
      <c r="O60" s="56" t="str">
        <f t="shared" si="16"/>
        <v>Preparación de Insum</v>
      </c>
      <c r="P60" s="57" t="s">
        <v>1332</v>
      </c>
      <c r="Q60" s="63"/>
      <c r="R60" s="53"/>
      <c r="S60" s="63"/>
      <c r="T60" s="53"/>
      <c r="U60" s="63"/>
      <c r="V60" s="53"/>
      <c r="W60" s="63"/>
      <c r="X60" s="53"/>
      <c r="Y60" s="63"/>
      <c r="Z60" s="53"/>
      <c r="AA60" s="63"/>
      <c r="AB60" s="53"/>
      <c r="AC60" s="63"/>
      <c r="AD60" s="53"/>
      <c r="AE60" s="60">
        <f t="shared" si="29"/>
        <v>0</v>
      </c>
      <c r="AF60" s="60">
        <f t="shared" si="29"/>
        <v>0</v>
      </c>
      <c r="AG60" s="61"/>
      <c r="AL60" s="45" t="str">
        <f t="shared" si="21"/>
        <v>10.970.380-K</v>
      </c>
      <c r="AM60" s="45">
        <v>51</v>
      </c>
      <c r="AN60" s="45">
        <f t="shared" si="22"/>
        <v>0</v>
      </c>
      <c r="AO60" s="45">
        <f t="shared" si="23"/>
        <v>0</v>
      </c>
      <c r="AP60" s="45">
        <f t="shared" si="24"/>
        <v>0</v>
      </c>
      <c r="AQ60" s="45">
        <f t="shared" si="25"/>
        <v>0</v>
      </c>
      <c r="AR60" s="45">
        <f t="shared" si="26"/>
        <v>0</v>
      </c>
      <c r="AS60" s="45">
        <f t="shared" si="27"/>
        <v>0</v>
      </c>
      <c r="AT60" s="45">
        <f t="shared" si="28"/>
        <v>0</v>
      </c>
      <c r="AU60" s="62" t="str">
        <f t="shared" si="12"/>
        <v/>
      </c>
    </row>
    <row r="61" spans="1:47" ht="13.5">
      <c r="A61" s="45" t="str">
        <f>IF(Base!B59="","",Base!B59)</f>
        <v>11.267.594-9</v>
      </c>
      <c r="B61" s="45" t="str">
        <f>IF(Base!F59="","",Base!F59)</f>
        <v>JOAQUIN  ESPINOZA  MORENO</v>
      </c>
      <c r="C61" s="45" t="str">
        <f>IF(Base!I59="","",Base!I59)</f>
        <v>Abastecimiento</v>
      </c>
      <c r="D61" s="46" t="str">
        <f>IF(Base!J59="","",Base!J59)</f>
        <v>Almacen Insumos Pque</v>
      </c>
      <c r="E61" s="45">
        <f>IF(Base!H59="","",Base!H59)</f>
        <v>1050581</v>
      </c>
      <c r="J61" s="53">
        <v>51</v>
      </c>
      <c r="K61" s="74" t="s">
        <v>552</v>
      </c>
      <c r="L61" s="55" t="str">
        <f t="shared" si="13"/>
        <v>CARLOS  LEMUS  VELIZ</v>
      </c>
      <c r="M61" s="55">
        <f t="shared" si="14"/>
        <v>1050127</v>
      </c>
      <c r="N61" s="56" t="str">
        <f t="shared" si="15"/>
        <v>Abastecimiento</v>
      </c>
      <c r="O61" s="56" t="str">
        <f t="shared" si="16"/>
        <v>Preparación de Insum</v>
      </c>
      <c r="P61" s="57" t="s">
        <v>6</v>
      </c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0">
        <f t="shared" si="29"/>
        <v>0</v>
      </c>
      <c r="AF61" s="60">
        <f t="shared" si="29"/>
        <v>0</v>
      </c>
      <c r="AG61" s="61"/>
      <c r="AL61" s="45" t="str">
        <f t="shared" si="21"/>
        <v>11.873.201-4</v>
      </c>
      <c r="AM61" s="45">
        <v>52</v>
      </c>
      <c r="AN61" s="45">
        <f t="shared" si="22"/>
        <v>0</v>
      </c>
      <c r="AO61" s="45">
        <f t="shared" si="23"/>
        <v>0</v>
      </c>
      <c r="AP61" s="45">
        <f t="shared" si="24"/>
        <v>0</v>
      </c>
      <c r="AQ61" s="45">
        <f t="shared" si="25"/>
        <v>0</v>
      </c>
      <c r="AR61" s="45">
        <f t="shared" si="26"/>
        <v>0</v>
      </c>
      <c r="AS61" s="45">
        <f t="shared" si="27"/>
        <v>0</v>
      </c>
      <c r="AT61" s="45">
        <f t="shared" si="28"/>
        <v>0</v>
      </c>
      <c r="AU61" s="62" t="str">
        <f t="shared" si="12"/>
        <v/>
      </c>
    </row>
    <row r="62" spans="1:47" ht="13.5">
      <c r="A62" s="45" t="str">
        <f>IF(Base!B60="","",Base!B60)</f>
        <v>08.161.344-3</v>
      </c>
      <c r="B62" s="45" t="str">
        <f>IF(Base!F60="","",Base!F60)</f>
        <v>ELIANA RITA  ESTRADA  ESTRADA</v>
      </c>
      <c r="C62" s="45" t="str">
        <f>IF(Base!I60="","",Base!I60)</f>
        <v>Linea 1</v>
      </c>
      <c r="D62" s="46" t="str">
        <f>IF(Base!J60="","",Base!J60)</f>
        <v>Inspector etiqueta</v>
      </c>
      <c r="E62" s="45">
        <f>IF(Base!H60="","",Base!H60)</f>
        <v>1050552</v>
      </c>
      <c r="J62" s="53">
        <v>52</v>
      </c>
      <c r="K62" s="74" t="s">
        <v>573</v>
      </c>
      <c r="L62" s="55" t="str">
        <f t="shared" si="13"/>
        <v>MARCO ANTONIO  MADRID  PINTO</v>
      </c>
      <c r="M62" s="55">
        <f t="shared" si="14"/>
        <v>1050127</v>
      </c>
      <c r="N62" s="56" t="str">
        <f t="shared" si="15"/>
        <v>Abastecimiento</v>
      </c>
      <c r="O62" s="56" t="str">
        <f t="shared" si="16"/>
        <v>Preparación de Insum</v>
      </c>
      <c r="P62" s="57" t="s">
        <v>1330</v>
      </c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0">
        <f t="shared" si="29"/>
        <v>0</v>
      </c>
      <c r="AF62" s="60">
        <f t="shared" si="29"/>
        <v>0</v>
      </c>
      <c r="AG62" s="61"/>
      <c r="AL62" s="45" t="str">
        <f t="shared" si="21"/>
        <v>10.869.222-7</v>
      </c>
      <c r="AM62" s="45">
        <v>53</v>
      </c>
      <c r="AN62" s="45">
        <f t="shared" si="22"/>
        <v>0</v>
      </c>
      <c r="AO62" s="45">
        <f t="shared" si="23"/>
        <v>0</v>
      </c>
      <c r="AP62" s="45">
        <f t="shared" si="24"/>
        <v>0</v>
      </c>
      <c r="AQ62" s="45">
        <f t="shared" si="25"/>
        <v>0</v>
      </c>
      <c r="AR62" s="45">
        <f t="shared" si="26"/>
        <v>0</v>
      </c>
      <c r="AS62" s="45">
        <f t="shared" si="27"/>
        <v>0</v>
      </c>
      <c r="AT62" s="45">
        <f t="shared" si="28"/>
        <v>0</v>
      </c>
      <c r="AU62" s="62" t="str">
        <f t="shared" si="12"/>
        <v/>
      </c>
    </row>
    <row r="63" spans="1:47" ht="13.5">
      <c r="A63" s="45" t="str">
        <f>IF(Base!B61="","",Base!B61)</f>
        <v>11.914.799-9</v>
      </c>
      <c r="B63" s="45" t="str">
        <f>IF(Base!F61="","",Base!F61)</f>
        <v>LUIS  FERNANDEZ  MELLA</v>
      </c>
      <c r="C63" s="45" t="str">
        <f>IF(Base!I61="","",Base!I61)</f>
        <v>Linea 6</v>
      </c>
      <c r="D63" s="46" t="str">
        <f>IF(Base!J61="","",Base!J61)</f>
        <v>Embalador</v>
      </c>
      <c r="E63" s="45">
        <f>IF(Base!H61="","",Base!H61)</f>
        <v>1050610</v>
      </c>
      <c r="J63" s="53">
        <v>53</v>
      </c>
      <c r="K63" s="74" t="s">
        <v>454</v>
      </c>
      <c r="L63" s="55" t="str">
        <f t="shared" si="13"/>
        <v>MIGUEL  MALDONADO  DIAZ</v>
      </c>
      <c r="M63" s="55">
        <f t="shared" si="14"/>
        <v>1050161</v>
      </c>
      <c r="N63" s="56" t="str">
        <f t="shared" si="15"/>
        <v>Abastecimiento</v>
      </c>
      <c r="O63" s="56" t="str">
        <f t="shared" si="16"/>
        <v>Control y Gestión (marcado cajas)</v>
      </c>
      <c r="P63" s="57" t="s">
        <v>6</v>
      </c>
      <c r="Q63" s="63"/>
      <c r="R63" s="53"/>
      <c r="S63" s="63"/>
      <c r="T63" s="53"/>
      <c r="U63" s="63"/>
      <c r="V63" s="53"/>
      <c r="W63" s="63"/>
      <c r="X63" s="53"/>
      <c r="Y63" s="63"/>
      <c r="Z63" s="53"/>
      <c r="AA63" s="63"/>
      <c r="AB63" s="53"/>
      <c r="AC63" s="63"/>
      <c r="AD63" s="53"/>
      <c r="AE63" s="60">
        <f t="shared" si="29"/>
        <v>0</v>
      </c>
      <c r="AF63" s="60">
        <f t="shared" si="29"/>
        <v>0</v>
      </c>
      <c r="AG63" s="61"/>
      <c r="AL63" s="45" t="str">
        <f t="shared" si="21"/>
        <v>13.486.907-0</v>
      </c>
      <c r="AM63" s="45">
        <v>54</v>
      </c>
      <c r="AN63" s="45">
        <f t="shared" si="22"/>
        <v>0</v>
      </c>
      <c r="AO63" s="45">
        <f t="shared" si="23"/>
        <v>0</v>
      </c>
      <c r="AP63" s="45">
        <f t="shared" si="24"/>
        <v>0</v>
      </c>
      <c r="AQ63" s="45">
        <f t="shared" si="25"/>
        <v>0</v>
      </c>
      <c r="AR63" s="45">
        <f t="shared" si="26"/>
        <v>0</v>
      </c>
      <c r="AS63" s="45">
        <f t="shared" si="27"/>
        <v>0</v>
      </c>
      <c r="AT63" s="45">
        <f t="shared" si="28"/>
        <v>0</v>
      </c>
      <c r="AU63" s="62" t="str">
        <f t="shared" si="12"/>
        <v/>
      </c>
    </row>
    <row r="64" spans="1:47" ht="13.5">
      <c r="A64" s="45" t="str">
        <f>IF(Base!B62="","",Base!B62)</f>
        <v>16.031.949-6</v>
      </c>
      <c r="B64" s="45" t="str">
        <f>IF(Base!F62="","",Base!F62)</f>
        <v>JONATHAN  ESPINOZA  MORENO</v>
      </c>
      <c r="C64" s="45" t="str">
        <f>IF(Base!I62="","",Base!I62)</f>
        <v>Abastecimiento</v>
      </c>
      <c r="D64" s="46" t="str">
        <f>IF(Base!J62="","",Base!J62)</f>
        <v>Suministro de Líneas</v>
      </c>
      <c r="E64" s="45">
        <f>IF(Base!H62="","",Base!H62)</f>
        <v>1050581</v>
      </c>
      <c r="J64" s="53">
        <v>54</v>
      </c>
      <c r="K64" s="74" t="s">
        <v>578</v>
      </c>
      <c r="L64" s="55" t="str">
        <f t="shared" si="13"/>
        <v>RUBEN MARCO  MANQUIAN  NORIEGA</v>
      </c>
      <c r="M64" s="55">
        <f t="shared" si="14"/>
        <v>1050126</v>
      </c>
      <c r="N64" s="56" t="str">
        <f t="shared" si="15"/>
        <v>Abastecimiento</v>
      </c>
      <c r="O64" s="56" t="str">
        <f t="shared" si="16"/>
        <v>Control Ingresos Cen</v>
      </c>
      <c r="P64" s="57" t="s">
        <v>6</v>
      </c>
      <c r="Q64" s="63"/>
      <c r="R64" s="53"/>
      <c r="S64" s="63"/>
      <c r="T64" s="53"/>
      <c r="U64" s="63"/>
      <c r="V64" s="53"/>
      <c r="W64" s="63"/>
      <c r="X64" s="53"/>
      <c r="Y64" s="63"/>
      <c r="Z64" s="53"/>
      <c r="AA64" s="63"/>
      <c r="AB64" s="53"/>
      <c r="AC64" s="63"/>
      <c r="AD64" s="53"/>
      <c r="AE64" s="60">
        <f t="shared" si="29"/>
        <v>0</v>
      </c>
      <c r="AF64" s="60">
        <f t="shared" si="29"/>
        <v>0</v>
      </c>
      <c r="AG64" s="61"/>
      <c r="AL64" s="45" t="str">
        <f t="shared" si="21"/>
        <v>11.306.351-3</v>
      </c>
      <c r="AM64" s="45">
        <v>55</v>
      </c>
      <c r="AN64" s="45">
        <f t="shared" si="22"/>
        <v>0</v>
      </c>
      <c r="AO64" s="45">
        <f t="shared" si="23"/>
        <v>0</v>
      </c>
      <c r="AP64" s="45">
        <f t="shared" si="24"/>
        <v>0</v>
      </c>
      <c r="AQ64" s="45">
        <f t="shared" si="25"/>
        <v>0</v>
      </c>
      <c r="AR64" s="45">
        <f t="shared" si="26"/>
        <v>0</v>
      </c>
      <c r="AS64" s="45">
        <f t="shared" si="27"/>
        <v>0</v>
      </c>
      <c r="AT64" s="45">
        <f t="shared" si="28"/>
        <v>0</v>
      </c>
      <c r="AU64" s="62" t="str">
        <f t="shared" si="12"/>
        <v/>
      </c>
    </row>
    <row r="65" spans="1:47" ht="13.5">
      <c r="A65" s="45" t="str">
        <f>IF(Base!B63="","",Base!B63)</f>
        <v>05.080.993-5</v>
      </c>
      <c r="B65" s="45" t="str">
        <f>IF(Base!F63="","",Base!F63)</f>
        <v>CARLOS  FIGUEROA  NILO</v>
      </c>
      <c r="C65" s="45" t="str">
        <f>IF(Base!I63="","",Base!I63)</f>
        <v>Abastecimiento</v>
      </c>
      <c r="D65" s="46" t="str">
        <f>IF(Base!J63="","",Base!J63)</f>
        <v>Control Ingresos Cen</v>
      </c>
      <c r="E65" s="45">
        <f>IF(Base!H63="","",Base!H63)</f>
        <v>1050126</v>
      </c>
      <c r="J65" s="53">
        <v>55</v>
      </c>
      <c r="K65" s="74" t="s">
        <v>590</v>
      </c>
      <c r="L65" s="55" t="str">
        <f t="shared" si="13"/>
        <v>LUIS HUMBERTO  MARDONES  ALVARADO</v>
      </c>
      <c r="M65" s="55">
        <f t="shared" si="14"/>
        <v>1050633</v>
      </c>
      <c r="N65" s="56" t="str">
        <f t="shared" si="15"/>
        <v>Abastecimiento</v>
      </c>
      <c r="O65" s="56" t="str">
        <f t="shared" si="16"/>
        <v>Suministro de Líneas</v>
      </c>
      <c r="P65" s="57" t="s">
        <v>1332</v>
      </c>
      <c r="Q65" s="63"/>
      <c r="R65" s="53"/>
      <c r="S65" s="63"/>
      <c r="T65" s="53"/>
      <c r="U65" s="63"/>
      <c r="V65" s="53"/>
      <c r="W65" s="63"/>
      <c r="X65" s="53"/>
      <c r="Y65" s="63"/>
      <c r="Z65" s="53"/>
      <c r="AA65" s="63"/>
      <c r="AB65" s="53"/>
      <c r="AC65" s="63"/>
      <c r="AD65" s="53"/>
      <c r="AE65" s="60">
        <f t="shared" si="29"/>
        <v>0</v>
      </c>
      <c r="AF65" s="60">
        <f t="shared" si="29"/>
        <v>0</v>
      </c>
      <c r="AG65" s="61"/>
      <c r="AL65" s="45" t="str">
        <f t="shared" si="21"/>
        <v>11.370.436-5</v>
      </c>
      <c r="AM65" s="45">
        <v>56</v>
      </c>
      <c r="AN65" s="45">
        <f t="shared" si="22"/>
        <v>0</v>
      </c>
      <c r="AO65" s="45">
        <f t="shared" si="23"/>
        <v>0</v>
      </c>
      <c r="AP65" s="45">
        <f t="shared" si="24"/>
        <v>0</v>
      </c>
      <c r="AQ65" s="45">
        <f t="shared" si="25"/>
        <v>0</v>
      </c>
      <c r="AR65" s="45">
        <f t="shared" si="26"/>
        <v>0</v>
      </c>
      <c r="AS65" s="45">
        <f t="shared" si="27"/>
        <v>0</v>
      </c>
      <c r="AT65" s="45">
        <f t="shared" si="28"/>
        <v>0</v>
      </c>
      <c r="AU65" s="62" t="str">
        <f t="shared" si="12"/>
        <v/>
      </c>
    </row>
    <row r="66" spans="1:47" ht="13.5">
      <c r="A66" s="45" t="str">
        <f>IF(Base!B64="","",Base!B64)</f>
        <v>05.989.878-7</v>
      </c>
      <c r="B66" s="45" t="str">
        <f>IF(Base!F64="","",Base!F64)</f>
        <v>NELLY E.  FIGUEROA  PAVEZ</v>
      </c>
      <c r="C66" s="45" t="str">
        <f>IF(Base!I64="","",Base!I64)</f>
        <v>Abastecimiento</v>
      </c>
      <c r="D66" s="46" t="str">
        <f>IF(Base!J64="","",Base!J64)</f>
        <v>Control Ingresos Cen</v>
      </c>
      <c r="E66" s="45">
        <f>IF(Base!H64="","",Base!H64)</f>
        <v>1050126</v>
      </c>
      <c r="J66" s="53">
        <v>56</v>
      </c>
      <c r="K66" s="74" t="s">
        <v>595</v>
      </c>
      <c r="L66" s="55" t="str">
        <f t="shared" si="13"/>
        <v>SERGIO SEGUNDO  MARDONES  ALVARADO</v>
      </c>
      <c r="M66" s="55">
        <f t="shared" si="14"/>
        <v>1050633</v>
      </c>
      <c r="N66" s="56" t="str">
        <f t="shared" si="15"/>
        <v>Abastecimiento</v>
      </c>
      <c r="O66" s="56" t="str">
        <f t="shared" si="16"/>
        <v>Suministro de Líneas</v>
      </c>
      <c r="P66" s="57" t="s">
        <v>6</v>
      </c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0">
        <f t="shared" si="29"/>
        <v>0</v>
      </c>
      <c r="AF66" s="60">
        <f t="shared" si="29"/>
        <v>0</v>
      </c>
      <c r="AG66" s="61"/>
      <c r="AL66" s="45" t="str">
        <f t="shared" si="21"/>
        <v>09.081.025-1</v>
      </c>
      <c r="AM66" s="45">
        <v>57</v>
      </c>
      <c r="AN66" s="45">
        <f t="shared" si="22"/>
        <v>0</v>
      </c>
      <c r="AO66" s="45">
        <f t="shared" si="23"/>
        <v>0</v>
      </c>
      <c r="AP66" s="45">
        <f t="shared" si="24"/>
        <v>0</v>
      </c>
      <c r="AQ66" s="45">
        <f t="shared" si="25"/>
        <v>0</v>
      </c>
      <c r="AR66" s="45">
        <f t="shared" si="26"/>
        <v>0</v>
      </c>
      <c r="AS66" s="45">
        <f t="shared" si="27"/>
        <v>0</v>
      </c>
      <c r="AT66" s="45">
        <f t="shared" si="28"/>
        <v>0</v>
      </c>
      <c r="AU66" s="62" t="str">
        <f t="shared" si="12"/>
        <v/>
      </c>
    </row>
    <row r="67" spans="1:47" ht="13.5">
      <c r="A67" s="45" t="str">
        <f>IF(Base!B65="","",Base!B65)</f>
        <v>05.281.950-4</v>
      </c>
      <c r="B67" s="45" t="str">
        <f>IF(Base!F65="","",Base!F65)</f>
        <v>BLANCA  FUENTES  YAÑEZ</v>
      </c>
      <c r="C67" s="45" t="str">
        <f>IF(Base!I65="","",Base!I65)</f>
        <v>Linea 7</v>
      </c>
      <c r="D67" s="46" t="str">
        <f>IF(Base!J65="","",Base!J65)</f>
        <v>Capsulado</v>
      </c>
      <c r="E67" s="45">
        <f>IF(Base!H65="","",Base!H65)</f>
        <v>1050616</v>
      </c>
      <c r="J67" s="53">
        <v>57</v>
      </c>
      <c r="K67" s="74" t="s">
        <v>599</v>
      </c>
      <c r="L67" s="55" t="str">
        <f t="shared" si="13"/>
        <v>MARION RAQUEL  MARIN  MOSCOSO</v>
      </c>
      <c r="M67" s="55">
        <f t="shared" si="14"/>
        <v>1050581</v>
      </c>
      <c r="N67" s="56" t="str">
        <f t="shared" si="15"/>
        <v>Abastecimiento</v>
      </c>
      <c r="O67" s="56" t="str">
        <f t="shared" si="16"/>
        <v>Almacen Insumos Pque</v>
      </c>
      <c r="P67" s="57" t="s">
        <v>1330</v>
      </c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0">
        <f t="shared" si="29"/>
        <v>0</v>
      </c>
      <c r="AF67" s="60">
        <f t="shared" si="29"/>
        <v>0</v>
      </c>
      <c r="AG67" s="61"/>
      <c r="AL67" s="45" t="str">
        <f t="shared" si="21"/>
        <v>13.835.848-8</v>
      </c>
      <c r="AM67" s="45">
        <v>58</v>
      </c>
      <c r="AN67" s="45">
        <f t="shared" si="22"/>
        <v>0</v>
      </c>
      <c r="AO67" s="45">
        <f t="shared" si="23"/>
        <v>0</v>
      </c>
      <c r="AP67" s="45">
        <f t="shared" si="24"/>
        <v>0</v>
      </c>
      <c r="AQ67" s="45">
        <f t="shared" si="25"/>
        <v>0</v>
      </c>
      <c r="AR67" s="45">
        <f t="shared" si="26"/>
        <v>0</v>
      </c>
      <c r="AS67" s="45">
        <f t="shared" si="27"/>
        <v>0</v>
      </c>
      <c r="AT67" s="45">
        <f t="shared" si="28"/>
        <v>0</v>
      </c>
      <c r="AU67" s="62" t="str">
        <f t="shared" si="12"/>
        <v/>
      </c>
    </row>
    <row r="68" spans="1:47" ht="13.5">
      <c r="A68" s="45" t="str">
        <f>IF(Base!B66="","",Base!B66)</f>
        <v>06.187.914-5</v>
      </c>
      <c r="B68" s="45" t="str">
        <f>IF(Base!F66="","",Base!F66)</f>
        <v>PATRICIA  FUENTES  YAÑEZ</v>
      </c>
      <c r="C68" s="45" t="str">
        <f>IF(Base!I66="","",Base!I66)</f>
        <v>Linea 7</v>
      </c>
      <c r="D68" s="46" t="str">
        <f>IF(Base!J66="","",Base!J66)</f>
        <v>Capsulado</v>
      </c>
      <c r="E68" s="45">
        <f>IF(Base!H66="","",Base!H66)</f>
        <v>1050616</v>
      </c>
      <c r="J68" s="53">
        <v>58</v>
      </c>
      <c r="K68" s="74" t="s">
        <v>1314</v>
      </c>
      <c r="L68" s="55" t="str">
        <f t="shared" si="13"/>
        <v>ISAAC MARTINEZ</v>
      </c>
      <c r="M68" s="55">
        <f t="shared" si="14"/>
        <v>1050633</v>
      </c>
      <c r="N68" s="56" t="str">
        <f t="shared" si="15"/>
        <v>Abastecimiento</v>
      </c>
      <c r="O68" s="56" t="str">
        <f t="shared" si="16"/>
        <v>Operario Almacenamiento</v>
      </c>
      <c r="P68" s="57" t="s">
        <v>1332</v>
      </c>
      <c r="Q68" s="63"/>
      <c r="R68" s="53"/>
      <c r="S68" s="63"/>
      <c r="T68" s="53"/>
      <c r="U68" s="63"/>
      <c r="V68" s="53"/>
      <c r="W68" s="63"/>
      <c r="X68" s="53"/>
      <c r="Y68" s="63"/>
      <c r="Z68" s="53"/>
      <c r="AA68" s="63"/>
      <c r="AB68" s="53"/>
      <c r="AC68" s="63"/>
      <c r="AD68" s="53"/>
      <c r="AE68" s="60">
        <f t="shared" si="29"/>
        <v>0</v>
      </c>
      <c r="AF68" s="60">
        <f t="shared" si="29"/>
        <v>0</v>
      </c>
      <c r="AG68" s="61"/>
      <c r="AL68" s="45" t="str">
        <f t="shared" si="21"/>
        <v>17.546.614-2</v>
      </c>
      <c r="AM68" s="45">
        <v>59</v>
      </c>
      <c r="AN68" s="45">
        <f t="shared" si="22"/>
        <v>0</v>
      </c>
      <c r="AO68" s="45">
        <f t="shared" si="23"/>
        <v>0</v>
      </c>
      <c r="AP68" s="45">
        <f t="shared" si="24"/>
        <v>0</v>
      </c>
      <c r="AQ68" s="45">
        <f t="shared" si="25"/>
        <v>0</v>
      </c>
      <c r="AR68" s="45">
        <f t="shared" si="26"/>
        <v>0</v>
      </c>
      <c r="AS68" s="45">
        <f t="shared" si="27"/>
        <v>0</v>
      </c>
      <c r="AT68" s="45">
        <f t="shared" si="28"/>
        <v>0</v>
      </c>
      <c r="AU68" s="62" t="str">
        <f t="shared" si="12"/>
        <v/>
      </c>
    </row>
    <row r="69" spans="1:47" ht="13.5">
      <c r="A69" s="45" t="str">
        <f>IF(Base!B67="","",Base!B67)</f>
        <v>07.023.216-2</v>
      </c>
      <c r="B69" s="45" t="str">
        <f>IF(Base!F67="","",Base!F67)</f>
        <v>FIDEL  FUENZALIDA  ADASME</v>
      </c>
      <c r="C69" s="45" t="str">
        <f>IF(Base!I67="","",Base!I67)</f>
        <v>Linea 7</v>
      </c>
      <c r="D69" s="46" t="str">
        <f>IF(Base!J67="","",Base!J67)</f>
        <v>Despalletizador</v>
      </c>
      <c r="E69" s="45">
        <f>IF(Base!H67="","",Base!H67)</f>
        <v>1050615</v>
      </c>
      <c r="J69" s="53">
        <v>59</v>
      </c>
      <c r="K69" s="74" t="s">
        <v>1377</v>
      </c>
      <c r="L69" s="55" t="str">
        <f t="shared" si="13"/>
        <v>JOSE MATURANA RIOS</v>
      </c>
      <c r="M69" s="55">
        <f t="shared" si="14"/>
        <v>1050633</v>
      </c>
      <c r="N69" s="56" t="str">
        <f t="shared" si="15"/>
        <v>Abastecimiento</v>
      </c>
      <c r="O69" s="56" t="str">
        <f t="shared" si="16"/>
        <v>Operario Almacenamiento</v>
      </c>
      <c r="P69" s="57" t="s">
        <v>6</v>
      </c>
      <c r="Q69" s="63"/>
      <c r="R69" s="53"/>
      <c r="S69" s="63"/>
      <c r="T69" s="53"/>
      <c r="U69" s="63"/>
      <c r="V69" s="53"/>
      <c r="W69" s="63"/>
      <c r="X69" s="53"/>
      <c r="Y69" s="63"/>
      <c r="Z69" s="53"/>
      <c r="AA69" s="63"/>
      <c r="AB69" s="53"/>
      <c r="AC69" s="63"/>
      <c r="AD69" s="53"/>
      <c r="AE69" s="60">
        <f t="shared" si="29"/>
        <v>0</v>
      </c>
      <c r="AF69" s="60">
        <f t="shared" si="29"/>
        <v>0</v>
      </c>
      <c r="AG69" s="61"/>
      <c r="AL69" s="45" t="str">
        <f t="shared" si="21"/>
        <v>11.267.622-8</v>
      </c>
      <c r="AM69" s="45">
        <v>60</v>
      </c>
      <c r="AN69" s="45">
        <f t="shared" si="22"/>
        <v>0</v>
      </c>
      <c r="AO69" s="45">
        <f t="shared" si="23"/>
        <v>0</v>
      </c>
      <c r="AP69" s="45">
        <f t="shared" si="24"/>
        <v>0</v>
      </c>
      <c r="AQ69" s="45">
        <f t="shared" si="25"/>
        <v>0</v>
      </c>
      <c r="AR69" s="45">
        <f t="shared" si="26"/>
        <v>0</v>
      </c>
      <c r="AS69" s="45">
        <f t="shared" si="27"/>
        <v>0</v>
      </c>
      <c r="AT69" s="45">
        <f t="shared" si="28"/>
        <v>0</v>
      </c>
      <c r="AU69" s="62" t="str">
        <f t="shared" si="12"/>
        <v/>
      </c>
    </row>
    <row r="70" spans="1:47" ht="13.5">
      <c r="A70" s="45" t="str">
        <f>IF(Base!B68="","",Base!B68)</f>
        <v>08.733.235-7</v>
      </c>
      <c r="B70" s="45" t="str">
        <f>IF(Base!F68="","",Base!F68)</f>
        <v>EXEQUIEL  FUENZALIDA  VALENZUELA</v>
      </c>
      <c r="C70" s="45" t="str">
        <f>IF(Base!I68="","",Base!I68)</f>
        <v>Linea 7</v>
      </c>
      <c r="D70" s="46" t="str">
        <f>IF(Base!J68="","",Base!J68)</f>
        <v>Llenador</v>
      </c>
      <c r="E70" s="45">
        <f>IF(Base!H68="","",Base!H68)</f>
        <v>1050615</v>
      </c>
      <c r="J70" s="53">
        <v>60</v>
      </c>
      <c r="K70" s="74" t="s">
        <v>616</v>
      </c>
      <c r="L70" s="55" t="str">
        <f t="shared" si="13"/>
        <v>MIGUEL ALBERTO  MELLA  FRIAS</v>
      </c>
      <c r="M70" s="55">
        <f t="shared" si="14"/>
        <v>1050126</v>
      </c>
      <c r="N70" s="56" t="str">
        <f t="shared" si="15"/>
        <v>Abastecimiento</v>
      </c>
      <c r="O70" s="56" t="str">
        <f t="shared" si="16"/>
        <v>Control Ingresos Cen</v>
      </c>
      <c r="P70" s="57" t="s">
        <v>1330</v>
      </c>
      <c r="Q70" s="63"/>
      <c r="R70" s="53"/>
      <c r="S70" s="63"/>
      <c r="T70" s="53"/>
      <c r="U70" s="63"/>
      <c r="V70" s="53"/>
      <c r="W70" s="63"/>
      <c r="X70" s="53"/>
      <c r="Y70" s="63"/>
      <c r="Z70" s="53"/>
      <c r="AA70" s="63"/>
      <c r="AB70" s="53"/>
      <c r="AC70" s="63"/>
      <c r="AD70" s="53"/>
      <c r="AE70" s="60">
        <f t="shared" si="29"/>
        <v>0</v>
      </c>
      <c r="AF70" s="60">
        <f t="shared" si="29"/>
        <v>0</v>
      </c>
      <c r="AG70" s="61"/>
      <c r="AL70" s="45" t="str">
        <f t="shared" si="21"/>
        <v>10.157.067-3</v>
      </c>
      <c r="AM70" s="45">
        <v>61</v>
      </c>
      <c r="AN70" s="45">
        <f t="shared" si="22"/>
        <v>0</v>
      </c>
      <c r="AO70" s="45">
        <f t="shared" si="23"/>
        <v>0</v>
      </c>
      <c r="AP70" s="45">
        <f t="shared" si="24"/>
        <v>0</v>
      </c>
      <c r="AQ70" s="45">
        <f t="shared" si="25"/>
        <v>0</v>
      </c>
      <c r="AR70" s="45">
        <f t="shared" si="26"/>
        <v>0</v>
      </c>
      <c r="AS70" s="45">
        <f t="shared" si="27"/>
        <v>0</v>
      </c>
      <c r="AT70" s="45">
        <f t="shared" si="28"/>
        <v>0</v>
      </c>
      <c r="AU70" s="62" t="str">
        <f t="shared" si="12"/>
        <v/>
      </c>
    </row>
    <row r="71" spans="1:47" ht="13.5">
      <c r="A71" s="45" t="str">
        <f>IF(Base!B69="","",Base!B69)</f>
        <v>05.428.350-4</v>
      </c>
      <c r="B71" s="45" t="str">
        <f>IF(Base!F69="","",Base!F69)</f>
        <v>NELSON  GALAZ  DEL PINO</v>
      </c>
      <c r="C71" s="45" t="str">
        <f>IF(Base!I69="","",Base!I69)</f>
        <v>Linea 7</v>
      </c>
      <c r="D71" s="46" t="str">
        <f>IF(Base!J69="","",Base!J69)</f>
        <v>Embalador</v>
      </c>
      <c r="E71" s="45">
        <f>IF(Base!H69="","",Base!H69)</f>
        <v>1050616</v>
      </c>
      <c r="J71" s="53">
        <v>61</v>
      </c>
      <c r="K71" s="74" t="s">
        <v>626</v>
      </c>
      <c r="L71" s="55" t="str">
        <f t="shared" si="13"/>
        <v>MARIA ELIANA  MILLAN  HERRERA</v>
      </c>
      <c r="M71" s="55">
        <f t="shared" si="14"/>
        <v>1050633</v>
      </c>
      <c r="N71" s="56" t="str">
        <f t="shared" si="15"/>
        <v>Abastecimiento</v>
      </c>
      <c r="O71" s="56" t="str">
        <f t="shared" si="16"/>
        <v>Suministro de Líneas</v>
      </c>
      <c r="P71" s="57" t="s">
        <v>6</v>
      </c>
      <c r="Q71" s="63">
        <v>2</v>
      </c>
      <c r="R71" s="63"/>
      <c r="S71" s="63">
        <v>2</v>
      </c>
      <c r="T71" s="63"/>
      <c r="U71" s="63">
        <v>2</v>
      </c>
      <c r="V71" s="63"/>
      <c r="W71" s="63">
        <v>2</v>
      </c>
      <c r="X71" s="63"/>
      <c r="Y71" s="63">
        <v>2</v>
      </c>
      <c r="Z71" s="63"/>
      <c r="AA71" s="63"/>
      <c r="AB71" s="63"/>
      <c r="AC71" s="63"/>
      <c r="AD71" s="63"/>
      <c r="AE71" s="60">
        <f t="shared" si="29"/>
        <v>10</v>
      </c>
      <c r="AF71" s="60">
        <f t="shared" si="29"/>
        <v>0</v>
      </c>
      <c r="AG71" s="61"/>
      <c r="AL71" s="45" t="str">
        <f t="shared" si="21"/>
        <v>13.834.251-4</v>
      </c>
      <c r="AM71" s="45">
        <v>62</v>
      </c>
      <c r="AN71" s="45">
        <f t="shared" si="22"/>
        <v>2</v>
      </c>
      <c r="AO71" s="45">
        <f t="shared" si="23"/>
        <v>2</v>
      </c>
      <c r="AP71" s="45">
        <f t="shared" si="24"/>
        <v>2</v>
      </c>
      <c r="AQ71" s="45">
        <f t="shared" si="25"/>
        <v>2</v>
      </c>
      <c r="AR71" s="45">
        <f t="shared" si="26"/>
        <v>2</v>
      </c>
      <c r="AS71" s="45">
        <f t="shared" si="27"/>
        <v>0</v>
      </c>
      <c r="AT71" s="45">
        <f t="shared" si="28"/>
        <v>0</v>
      </c>
      <c r="AU71" s="62">
        <f t="shared" si="12"/>
        <v>10</v>
      </c>
    </row>
    <row r="72" spans="1:47" ht="13.5">
      <c r="A72" s="45" t="str">
        <f>IF(Base!B70="","",Base!B70)</f>
        <v>16.380.050-0</v>
      </c>
      <c r="B72" s="45" t="str">
        <f>IF(Base!F70="","",Base!F70)</f>
        <v>MARCELO  FLORES  ARANDA</v>
      </c>
      <c r="C72" s="45" t="str">
        <f>IF(Base!I70="","",Base!I70)</f>
        <v>Abastecimiento</v>
      </c>
      <c r="D72" s="46" t="str">
        <f>IF(Base!J70="","",Base!J70)</f>
        <v>Control Ingresos Cen</v>
      </c>
      <c r="E72" s="45">
        <f>IF(Base!H70="","",Base!H70)</f>
        <v>1050126</v>
      </c>
      <c r="J72" s="53">
        <v>62</v>
      </c>
      <c r="K72" s="74" t="s">
        <v>634</v>
      </c>
      <c r="L72" s="55" t="str">
        <f t="shared" si="13"/>
        <v>CARLOS ALEJANDRO  MORA  MORA</v>
      </c>
      <c r="M72" s="55">
        <f t="shared" si="14"/>
        <v>1050127</v>
      </c>
      <c r="N72" s="56" t="str">
        <f t="shared" si="15"/>
        <v>Abastecimiento</v>
      </c>
      <c r="O72" s="56" t="str">
        <f t="shared" si="16"/>
        <v>Preparación de Insum</v>
      </c>
      <c r="P72" s="57" t="s">
        <v>1332</v>
      </c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0">
        <f t="shared" si="29"/>
        <v>0</v>
      </c>
      <c r="AF72" s="60">
        <f t="shared" si="29"/>
        <v>0</v>
      </c>
      <c r="AG72" s="61"/>
      <c r="AL72" s="45" t="str">
        <f t="shared" si="21"/>
        <v>10.407.614-9</v>
      </c>
      <c r="AM72" s="45">
        <v>63</v>
      </c>
      <c r="AN72" s="45">
        <f t="shared" si="22"/>
        <v>0</v>
      </c>
      <c r="AO72" s="45">
        <f t="shared" si="23"/>
        <v>0</v>
      </c>
      <c r="AP72" s="45">
        <f t="shared" si="24"/>
        <v>0</v>
      </c>
      <c r="AQ72" s="45">
        <f t="shared" si="25"/>
        <v>0</v>
      </c>
      <c r="AR72" s="45">
        <f t="shared" si="26"/>
        <v>0</v>
      </c>
      <c r="AS72" s="45">
        <f t="shared" si="27"/>
        <v>0</v>
      </c>
      <c r="AT72" s="45">
        <f t="shared" si="28"/>
        <v>0</v>
      </c>
      <c r="AU72" s="62" t="str">
        <f t="shared" si="12"/>
        <v/>
      </c>
    </row>
    <row r="73" spans="1:47" ht="13.5">
      <c r="A73" s="45" t="str">
        <f>IF(Base!B71="","",Base!B71)</f>
        <v>09.571.017-4</v>
      </c>
      <c r="B73" s="45" t="str">
        <f>IF(Base!F71="","",Base!F71)</f>
        <v>MIGUEL FRANCISCO  GALLARDO  CASTRO</v>
      </c>
      <c r="C73" s="45" t="str">
        <f>IF(Base!I71="","",Base!I71)</f>
        <v>Abastecimiento</v>
      </c>
      <c r="D73" s="46" t="str">
        <f>IF(Base!J71="","",Base!J71)</f>
        <v>Control Ingresos Cen</v>
      </c>
      <c r="E73" s="45">
        <f>IF(Base!H71="","",Base!H71)</f>
        <v>1050126</v>
      </c>
      <c r="J73" s="53">
        <v>63</v>
      </c>
      <c r="K73" s="74" t="s">
        <v>672</v>
      </c>
      <c r="L73" s="55" t="str">
        <f t="shared" si="13"/>
        <v>CLAUDIO ARTURO  MUÑOZ  MUÑOZ</v>
      </c>
      <c r="M73" s="55">
        <f t="shared" si="14"/>
        <v>1050126</v>
      </c>
      <c r="N73" s="56" t="str">
        <f t="shared" si="15"/>
        <v>Abastecimiento</v>
      </c>
      <c r="O73" s="56" t="str">
        <f t="shared" si="16"/>
        <v>Control Ingresos Cen</v>
      </c>
      <c r="P73" s="57" t="s">
        <v>1330</v>
      </c>
      <c r="Q73" s="63"/>
      <c r="R73" s="53"/>
      <c r="S73" s="63"/>
      <c r="T73" s="53"/>
      <c r="U73" s="63">
        <v>1</v>
      </c>
      <c r="V73" s="53"/>
      <c r="W73" s="63"/>
      <c r="X73" s="53"/>
      <c r="Y73" s="63"/>
      <c r="Z73" s="53"/>
      <c r="AA73" s="63"/>
      <c r="AB73" s="53"/>
      <c r="AC73" s="63"/>
      <c r="AD73" s="53"/>
      <c r="AE73" s="60">
        <f t="shared" si="29"/>
        <v>1</v>
      </c>
      <c r="AF73" s="60">
        <f t="shared" si="29"/>
        <v>0</v>
      </c>
      <c r="AG73" s="61"/>
      <c r="AL73" s="45" t="str">
        <f t="shared" si="21"/>
        <v>11.659.510-9</v>
      </c>
      <c r="AM73" s="45">
        <v>64</v>
      </c>
      <c r="AN73" s="45">
        <f t="shared" si="22"/>
        <v>0</v>
      </c>
      <c r="AO73" s="45">
        <f t="shared" si="23"/>
        <v>0</v>
      </c>
      <c r="AP73" s="45">
        <f t="shared" si="24"/>
        <v>1</v>
      </c>
      <c r="AQ73" s="45">
        <f t="shared" si="25"/>
        <v>0</v>
      </c>
      <c r="AR73" s="45">
        <f t="shared" si="26"/>
        <v>0</v>
      </c>
      <c r="AS73" s="45">
        <f t="shared" si="27"/>
        <v>0</v>
      </c>
      <c r="AT73" s="45">
        <f t="shared" si="28"/>
        <v>0</v>
      </c>
      <c r="AU73" s="62">
        <f t="shared" si="12"/>
        <v>1</v>
      </c>
    </row>
    <row r="74" spans="1:47" ht="13.5">
      <c r="A74" s="45" t="str">
        <f>IF(Base!B72="","",Base!B72)</f>
        <v>16.132.065-K</v>
      </c>
      <c r="B74" s="45" t="str">
        <f>IF(Base!F72="","",Base!F72)</f>
        <v>EMERSON  GALLARDO  LUCERO</v>
      </c>
      <c r="C74" s="45" t="str">
        <f>IF(Base!I72="","",Base!I72)</f>
        <v>Abastecimiento</v>
      </c>
      <c r="D74" s="46" t="str">
        <f>IF(Base!J72="","",Base!J72)</f>
        <v>Control Ingresos Cen</v>
      </c>
      <c r="E74" s="45">
        <f>IF(Base!H72="","",Base!H72)</f>
        <v>1050126</v>
      </c>
      <c r="J74" s="53">
        <v>64</v>
      </c>
      <c r="K74" s="74" t="s">
        <v>676</v>
      </c>
      <c r="L74" s="55" t="str">
        <f t="shared" si="13"/>
        <v>JOSE ENRIQUE  MUÑOZ  QUENPUL</v>
      </c>
      <c r="M74" s="55">
        <f t="shared" si="14"/>
        <v>1050162</v>
      </c>
      <c r="N74" s="56" t="str">
        <f t="shared" si="15"/>
        <v>Abastecimiento</v>
      </c>
      <c r="O74" s="56" t="str">
        <f t="shared" si="16"/>
        <v>Almacen Envases Pirq</v>
      </c>
      <c r="P74" s="57" t="s">
        <v>1332</v>
      </c>
      <c r="Q74" s="63"/>
      <c r="R74" s="53"/>
      <c r="S74" s="63"/>
      <c r="T74" s="53"/>
      <c r="U74" s="63"/>
      <c r="V74" s="53"/>
      <c r="W74" s="63"/>
      <c r="X74" s="53"/>
      <c r="Y74" s="63"/>
      <c r="Z74" s="53"/>
      <c r="AA74" s="63"/>
      <c r="AB74" s="53"/>
      <c r="AC74" s="63"/>
      <c r="AD74" s="53"/>
      <c r="AE74" s="60">
        <f t="shared" si="29"/>
        <v>0</v>
      </c>
      <c r="AF74" s="60">
        <f t="shared" si="29"/>
        <v>0</v>
      </c>
      <c r="AG74" s="61"/>
      <c r="AL74" s="45" t="str">
        <f t="shared" si="21"/>
        <v>11.124.307-7</v>
      </c>
      <c r="AM74" s="45">
        <v>65</v>
      </c>
      <c r="AN74" s="45">
        <f t="shared" si="22"/>
        <v>0</v>
      </c>
      <c r="AO74" s="45">
        <f t="shared" si="23"/>
        <v>0</v>
      </c>
      <c r="AP74" s="45">
        <f t="shared" si="24"/>
        <v>0</v>
      </c>
      <c r="AQ74" s="45">
        <f t="shared" si="25"/>
        <v>0</v>
      </c>
      <c r="AR74" s="45">
        <f t="shared" si="26"/>
        <v>0</v>
      </c>
      <c r="AS74" s="45">
        <f t="shared" si="27"/>
        <v>0</v>
      </c>
      <c r="AT74" s="45">
        <f t="shared" si="28"/>
        <v>0</v>
      </c>
      <c r="AU74" s="62" t="str">
        <f t="shared" si="12"/>
        <v/>
      </c>
    </row>
    <row r="75" spans="1:47" ht="13.5">
      <c r="A75" s="45" t="str">
        <f>IF(Base!B73="","",Base!B73)</f>
        <v>13.100.464-8</v>
      </c>
      <c r="B75" s="45" t="str">
        <f>IF(Base!F73="","",Base!F73)</f>
        <v>JOSE A.  GALLARDO  OYARCE</v>
      </c>
      <c r="C75" s="45" t="str">
        <f>IF(Base!I73="","",Base!I73)</f>
        <v>Sala filtros</v>
      </c>
      <c r="D75" s="46" t="str">
        <f>IF(Base!J73="","",Base!J73)</f>
        <v>Operador sala de filtros</v>
      </c>
      <c r="E75" s="45">
        <f>IF(Base!H73="","",Base!H73)</f>
        <v>1050574</v>
      </c>
      <c r="J75" s="53">
        <v>65</v>
      </c>
      <c r="K75" s="74" t="s">
        <v>692</v>
      </c>
      <c r="L75" s="55" t="str">
        <f t="shared" si="13"/>
        <v>ALEXIS ANTONIO  NARVAI  DIAZ</v>
      </c>
      <c r="M75" s="55">
        <f t="shared" si="14"/>
        <v>1050581</v>
      </c>
      <c r="N75" s="56" t="str">
        <f t="shared" si="15"/>
        <v>Abastecimiento</v>
      </c>
      <c r="O75" s="56" t="str">
        <f t="shared" si="16"/>
        <v>Supervisor Almacen Insumos</v>
      </c>
      <c r="P75" s="57" t="s">
        <v>1353</v>
      </c>
      <c r="Q75" s="63"/>
      <c r="R75" s="53"/>
      <c r="S75" s="63"/>
      <c r="T75" s="53"/>
      <c r="U75" s="63"/>
      <c r="V75" s="53"/>
      <c r="W75" s="63"/>
      <c r="X75" s="53"/>
      <c r="Y75" s="63"/>
      <c r="Z75" s="53"/>
      <c r="AA75" s="63"/>
      <c r="AB75" s="53"/>
      <c r="AC75" s="63"/>
      <c r="AD75" s="53"/>
      <c r="AE75" s="60">
        <f t="shared" si="29"/>
        <v>0</v>
      </c>
      <c r="AF75" s="60">
        <f t="shared" si="29"/>
        <v>0</v>
      </c>
      <c r="AG75" s="61"/>
      <c r="AL75" s="45" t="str">
        <f t="shared" si="21"/>
        <v>11.754.811-2</v>
      </c>
      <c r="AM75" s="45">
        <v>66</v>
      </c>
      <c r="AN75" s="45">
        <f t="shared" si="22"/>
        <v>0</v>
      </c>
      <c r="AO75" s="45">
        <f t="shared" si="23"/>
        <v>0</v>
      </c>
      <c r="AP75" s="45">
        <f t="shared" si="24"/>
        <v>0</v>
      </c>
      <c r="AQ75" s="45">
        <f t="shared" si="25"/>
        <v>0</v>
      </c>
      <c r="AR75" s="45">
        <f t="shared" si="26"/>
        <v>0</v>
      </c>
      <c r="AS75" s="45">
        <f t="shared" si="27"/>
        <v>0</v>
      </c>
      <c r="AT75" s="45">
        <f t="shared" si="28"/>
        <v>0</v>
      </c>
      <c r="AU75" s="62" t="str">
        <f t="shared" ref="AU75:AU138" si="30">IF(SUM(AE75:AF75)=0,"",SUM(AE75:AF75))</f>
        <v/>
      </c>
    </row>
    <row r="76" spans="1:47" ht="13.5">
      <c r="A76" s="45" t="str">
        <f>IF(Base!B74="","",Base!B74)</f>
        <v>17.065.312-2</v>
      </c>
      <c r="B76" s="45" t="str">
        <f>IF(Base!F74="","",Base!F74)</f>
        <v>ARIEL ALFREDO  GALVEZ  CERNA</v>
      </c>
      <c r="C76" s="45" t="str">
        <f>IF(Base!I74="","",Base!I74)</f>
        <v>Abastecimiento</v>
      </c>
      <c r="D76" s="46" t="str">
        <f>IF(Base!J74="","",Base!J74)</f>
        <v>Control Ingresos Cen</v>
      </c>
      <c r="E76" s="45">
        <f>IF(Base!H74="","",Base!H74)</f>
        <v>1050126</v>
      </c>
      <c r="J76" s="53">
        <v>66</v>
      </c>
      <c r="K76" s="74" t="s">
        <v>698</v>
      </c>
      <c r="L76" s="55" t="str">
        <f t="shared" ref="L76:L139" si="31">IF(K76="","",VLOOKUP($K76,A:D,2,FALSE))</f>
        <v>ELSON GONZALO  NARVAI  DIAZ</v>
      </c>
      <c r="M76" s="55">
        <f t="shared" ref="M76:M139" si="32">IF(K76="","",VLOOKUP(K76,A:E,5,FALSE))</f>
        <v>1050506</v>
      </c>
      <c r="N76" s="56" t="str">
        <f t="shared" ref="N76:N139" si="33">IF(K76="","",VLOOKUP(K76,A:C,3,FALSE))</f>
        <v>Abastecimiento</v>
      </c>
      <c r="O76" s="56" t="str">
        <f t="shared" ref="O76:O139" si="34">IF(K76="","",VLOOKUP(K76,A:D,4,FALSE))</f>
        <v>Reimpresión</v>
      </c>
      <c r="P76" s="57" t="s">
        <v>1353</v>
      </c>
      <c r="Q76" s="63"/>
      <c r="R76" s="63"/>
      <c r="S76" s="63">
        <v>2</v>
      </c>
      <c r="T76" s="63"/>
      <c r="U76" s="63"/>
      <c r="V76" s="63"/>
      <c r="W76" s="63">
        <v>2</v>
      </c>
      <c r="X76" s="63"/>
      <c r="Y76" s="63">
        <v>1</v>
      </c>
      <c r="Z76" s="63"/>
      <c r="AA76" s="63"/>
      <c r="AB76" s="63"/>
      <c r="AC76" s="63"/>
      <c r="AD76" s="63"/>
      <c r="AE76" s="60">
        <f t="shared" si="29"/>
        <v>5</v>
      </c>
      <c r="AF76" s="60">
        <f t="shared" si="29"/>
        <v>0</v>
      </c>
      <c r="AG76" s="61"/>
      <c r="AL76" s="45" t="str">
        <f t="shared" si="21"/>
        <v>12.828.475-3</v>
      </c>
      <c r="AM76" s="45">
        <v>67</v>
      </c>
      <c r="AN76" s="45">
        <f t="shared" si="22"/>
        <v>0</v>
      </c>
      <c r="AO76" s="45">
        <f t="shared" si="23"/>
        <v>2</v>
      </c>
      <c r="AP76" s="45">
        <f t="shared" si="24"/>
        <v>0</v>
      </c>
      <c r="AQ76" s="45">
        <f t="shared" si="25"/>
        <v>2</v>
      </c>
      <c r="AR76" s="45">
        <f t="shared" si="26"/>
        <v>1</v>
      </c>
      <c r="AS76" s="45">
        <f t="shared" si="27"/>
        <v>0</v>
      </c>
      <c r="AT76" s="45">
        <f t="shared" si="28"/>
        <v>0</v>
      </c>
      <c r="AU76" s="62">
        <f t="shared" si="30"/>
        <v>5</v>
      </c>
    </row>
    <row r="77" spans="1:47" ht="13.5">
      <c r="A77" s="45" t="str">
        <f>IF(Base!B75="","",Base!B75)</f>
        <v>17.002.272-6</v>
      </c>
      <c r="B77" s="45" t="str">
        <f>IF(Base!F75="","",Base!F75)</f>
        <v>JUAN DIEGO ALEXIS  GARCES  MUÑOZ</v>
      </c>
      <c r="C77" s="45" t="str">
        <f>IF(Base!I75="","",Base!I75)</f>
        <v>Abastecimiento</v>
      </c>
      <c r="D77" s="46" t="str">
        <f>IF(Base!J75="","",Base!J75)</f>
        <v>Control Inventario I</v>
      </c>
      <c r="E77" s="45">
        <f>IF(Base!H75="","",Base!H75)</f>
        <v>1050161</v>
      </c>
      <c r="J77" s="53">
        <v>67</v>
      </c>
      <c r="K77" s="74" t="s">
        <v>702</v>
      </c>
      <c r="L77" s="55" t="str">
        <f t="shared" si="31"/>
        <v>LUIS  NARVAI  DIAZ</v>
      </c>
      <c r="M77" s="55">
        <f t="shared" si="32"/>
        <v>1050581</v>
      </c>
      <c r="N77" s="56" t="str">
        <f t="shared" si="33"/>
        <v>Abastecimiento</v>
      </c>
      <c r="O77" s="56" t="str">
        <f t="shared" si="34"/>
        <v>Almacen Insumos Pque</v>
      </c>
      <c r="P77" s="57" t="s">
        <v>1353</v>
      </c>
      <c r="Q77" s="63"/>
      <c r="R77" s="63"/>
      <c r="S77" s="63">
        <v>2</v>
      </c>
      <c r="T77" s="63"/>
      <c r="U77" s="63">
        <v>2</v>
      </c>
      <c r="V77" s="63"/>
      <c r="W77" s="63">
        <v>2</v>
      </c>
      <c r="X77" s="63"/>
      <c r="Y77" s="63">
        <v>2</v>
      </c>
      <c r="Z77" s="63"/>
      <c r="AA77" s="63"/>
      <c r="AB77" s="63"/>
      <c r="AC77" s="63"/>
      <c r="AD77" s="63"/>
      <c r="AE77" s="60">
        <f t="shared" si="29"/>
        <v>8</v>
      </c>
      <c r="AF77" s="60">
        <f t="shared" si="29"/>
        <v>0</v>
      </c>
      <c r="AG77" s="61"/>
      <c r="AL77" s="45" t="str">
        <f t="shared" si="21"/>
        <v>11.523.497-8</v>
      </c>
      <c r="AM77" s="45">
        <v>68</v>
      </c>
      <c r="AN77" s="45">
        <f t="shared" si="22"/>
        <v>0</v>
      </c>
      <c r="AO77" s="45">
        <f t="shared" si="23"/>
        <v>2</v>
      </c>
      <c r="AP77" s="45">
        <f t="shared" si="24"/>
        <v>2</v>
      </c>
      <c r="AQ77" s="45">
        <f t="shared" si="25"/>
        <v>2</v>
      </c>
      <c r="AR77" s="45">
        <f t="shared" si="26"/>
        <v>2</v>
      </c>
      <c r="AS77" s="45">
        <f t="shared" si="27"/>
        <v>0</v>
      </c>
      <c r="AT77" s="45">
        <f t="shared" si="28"/>
        <v>0</v>
      </c>
      <c r="AU77" s="62">
        <f t="shared" si="30"/>
        <v>8</v>
      </c>
    </row>
    <row r="78" spans="1:47" ht="13.5">
      <c r="A78" s="45" t="str">
        <f>IF(Base!B76="","",Base!B76)</f>
        <v>09.048.185-1</v>
      </c>
      <c r="B78" s="45" t="str">
        <f>IF(Base!F76="","",Base!F76)</f>
        <v>PABLO HORACIO  GARCIA  DIAZ</v>
      </c>
      <c r="C78" s="45" t="str">
        <f>IF(Base!I76="","",Base!I76)</f>
        <v>Abastecimiento</v>
      </c>
      <c r="D78" s="46" t="str">
        <f>IF(Base!J76="","",Base!J76)</f>
        <v>Control Inventario I</v>
      </c>
      <c r="E78" s="45">
        <f>IF(Base!H76="","",Base!H76)</f>
        <v>1050126</v>
      </c>
      <c r="J78" s="53">
        <v>68</v>
      </c>
      <c r="K78" s="74" t="s">
        <v>705</v>
      </c>
      <c r="L78" s="55" t="str">
        <f t="shared" si="31"/>
        <v>JORGE PATRICIO  NARVAI  RIVERA</v>
      </c>
      <c r="M78" s="55">
        <f t="shared" si="32"/>
        <v>1050126</v>
      </c>
      <c r="N78" s="56" t="str">
        <f t="shared" si="33"/>
        <v>Abastecimiento</v>
      </c>
      <c r="O78" s="56" t="str">
        <f t="shared" si="34"/>
        <v>Control Ingresos Cen</v>
      </c>
      <c r="P78" s="57" t="s">
        <v>1330</v>
      </c>
      <c r="Q78" s="63"/>
      <c r="R78" s="53"/>
      <c r="S78" s="63"/>
      <c r="T78" s="53"/>
      <c r="U78" s="63"/>
      <c r="V78" s="53"/>
      <c r="W78" s="63"/>
      <c r="X78" s="53"/>
      <c r="Y78" s="63"/>
      <c r="Z78" s="53"/>
      <c r="AA78" s="63"/>
      <c r="AB78" s="53"/>
      <c r="AC78" s="63"/>
      <c r="AD78" s="53"/>
      <c r="AE78" s="60">
        <f t="shared" si="29"/>
        <v>0</v>
      </c>
      <c r="AF78" s="60">
        <f t="shared" si="29"/>
        <v>0</v>
      </c>
      <c r="AG78" s="61"/>
      <c r="AL78" s="45" t="str">
        <f t="shared" si="21"/>
        <v>07.481.602-9</v>
      </c>
      <c r="AM78" s="45">
        <v>69</v>
      </c>
      <c r="AN78" s="45">
        <f t="shared" si="22"/>
        <v>0</v>
      </c>
      <c r="AO78" s="45">
        <f t="shared" si="23"/>
        <v>0</v>
      </c>
      <c r="AP78" s="45">
        <f t="shared" si="24"/>
        <v>0</v>
      </c>
      <c r="AQ78" s="45">
        <f t="shared" si="25"/>
        <v>0</v>
      </c>
      <c r="AR78" s="45">
        <f t="shared" si="26"/>
        <v>0</v>
      </c>
      <c r="AS78" s="45">
        <f t="shared" si="27"/>
        <v>0</v>
      </c>
      <c r="AT78" s="45">
        <f t="shared" si="28"/>
        <v>0</v>
      </c>
      <c r="AU78" s="62" t="str">
        <f t="shared" si="30"/>
        <v/>
      </c>
    </row>
    <row r="79" spans="1:47" ht="13.5">
      <c r="A79" s="45" t="str">
        <f>IF(Base!B77="","",Base!B77)</f>
        <v>13.486.907-0</v>
      </c>
      <c r="B79" s="45" t="str">
        <f>IF(Base!F77="","",Base!F77)</f>
        <v>MIGUEL  MALDONADO  DIAZ</v>
      </c>
      <c r="C79" s="45" t="str">
        <f>IF(Base!I77="","",Base!I77)</f>
        <v>Abastecimiento</v>
      </c>
      <c r="D79" s="46" t="str">
        <f>IF(Base!J77="","",Base!J77)</f>
        <v>Control y Gestión (marcado cajas)</v>
      </c>
      <c r="E79" s="45">
        <f>IF(Base!H77="","",Base!H77)</f>
        <v>1050161</v>
      </c>
      <c r="J79" s="53">
        <v>69</v>
      </c>
      <c r="K79" s="54" t="s">
        <v>1318</v>
      </c>
      <c r="L79" s="55" t="str">
        <f t="shared" si="31"/>
        <v>NICOLAS NARVAI ZUBICUETA</v>
      </c>
      <c r="M79" s="55">
        <f t="shared" si="32"/>
        <v>1050633</v>
      </c>
      <c r="N79" s="56" t="str">
        <f t="shared" si="33"/>
        <v>Abastecimiento</v>
      </c>
      <c r="O79" s="56" t="str">
        <f t="shared" si="34"/>
        <v>Operario Almacenamiento</v>
      </c>
      <c r="P79" s="57" t="s">
        <v>1332</v>
      </c>
      <c r="Q79" s="63"/>
      <c r="R79" s="53"/>
      <c r="S79" s="63"/>
      <c r="T79" s="53"/>
      <c r="U79" s="63"/>
      <c r="V79" s="53"/>
      <c r="W79" s="63"/>
      <c r="X79" s="53"/>
      <c r="Y79" s="63"/>
      <c r="Z79" s="53"/>
      <c r="AA79" s="63"/>
      <c r="AB79" s="53"/>
      <c r="AC79" s="63"/>
      <c r="AD79" s="53"/>
      <c r="AE79" s="60">
        <f t="shared" si="29"/>
        <v>0</v>
      </c>
      <c r="AF79" s="60">
        <f t="shared" si="29"/>
        <v>0</v>
      </c>
      <c r="AG79" s="61"/>
      <c r="AL79" s="45" t="str">
        <f t="shared" si="21"/>
        <v>14005685-7</v>
      </c>
      <c r="AM79" s="45">
        <v>70</v>
      </c>
      <c r="AN79" s="45">
        <f t="shared" si="22"/>
        <v>0</v>
      </c>
      <c r="AO79" s="45">
        <f t="shared" si="23"/>
        <v>0</v>
      </c>
      <c r="AP79" s="45">
        <f t="shared" si="24"/>
        <v>0</v>
      </c>
      <c r="AQ79" s="45">
        <f t="shared" si="25"/>
        <v>0</v>
      </c>
      <c r="AR79" s="45">
        <f t="shared" si="26"/>
        <v>0</v>
      </c>
      <c r="AS79" s="45">
        <f t="shared" si="27"/>
        <v>0</v>
      </c>
      <c r="AT79" s="45">
        <f t="shared" si="28"/>
        <v>0</v>
      </c>
      <c r="AU79" s="62" t="str">
        <f t="shared" si="30"/>
        <v/>
      </c>
    </row>
    <row r="80" spans="1:47" ht="13.5">
      <c r="A80" s="45" t="str">
        <f>IF(Base!B78="","",Base!B78)</f>
        <v>09.068.490-6</v>
      </c>
      <c r="B80" s="45" t="str">
        <f>IF(Base!F78="","",Base!F78)</f>
        <v>DARIO RODOLFO  GONZALEZ  DEL VALLE</v>
      </c>
      <c r="C80" s="45" t="str">
        <f>IF(Base!I78="","",Base!I78)</f>
        <v>Abastecimiento</v>
      </c>
      <c r="D80" s="46" t="str">
        <f>IF(Base!J78="","",Base!J78)</f>
        <v>Almacen Insumos Pque</v>
      </c>
      <c r="E80" s="45">
        <f>IF(Base!H78="","",Base!H78)</f>
        <v>1050581</v>
      </c>
      <c r="J80" s="53">
        <v>70</v>
      </c>
      <c r="K80" s="74" t="s">
        <v>848</v>
      </c>
      <c r="L80" s="55" t="str">
        <f t="shared" si="31"/>
        <v>MAURICIO  NOVA  FIGUEROA</v>
      </c>
      <c r="M80" s="55">
        <f t="shared" si="32"/>
        <v>1050161</v>
      </c>
      <c r="N80" s="56" t="str">
        <f t="shared" si="33"/>
        <v>Abastecimiento</v>
      </c>
      <c r="O80" s="56" t="str">
        <f t="shared" si="34"/>
        <v>Analista de Inventario</v>
      </c>
      <c r="P80" s="57" t="s">
        <v>1353</v>
      </c>
      <c r="Q80" s="63"/>
      <c r="R80" s="53"/>
      <c r="S80" s="63"/>
      <c r="T80" s="53"/>
      <c r="U80" s="63">
        <v>3</v>
      </c>
      <c r="V80" s="53"/>
      <c r="W80" s="63"/>
      <c r="X80" s="53"/>
      <c r="Y80" s="63">
        <v>2</v>
      </c>
      <c r="Z80" s="53"/>
      <c r="AA80" s="63">
        <v>6.5</v>
      </c>
      <c r="AB80" s="53"/>
      <c r="AC80" s="63"/>
      <c r="AD80" s="53"/>
      <c r="AE80" s="60">
        <f t="shared" si="29"/>
        <v>11.5</v>
      </c>
      <c r="AF80" s="60">
        <f t="shared" si="29"/>
        <v>0</v>
      </c>
      <c r="AG80" s="61"/>
      <c r="AL80" s="45" t="str">
        <f t="shared" si="21"/>
        <v>12.051.254-4</v>
      </c>
      <c r="AM80" s="45">
        <v>71</v>
      </c>
      <c r="AN80" s="45">
        <f t="shared" si="22"/>
        <v>0</v>
      </c>
      <c r="AO80" s="45">
        <f t="shared" si="23"/>
        <v>0</v>
      </c>
      <c r="AP80" s="45">
        <f t="shared" si="24"/>
        <v>3</v>
      </c>
      <c r="AQ80" s="45">
        <f t="shared" si="25"/>
        <v>0</v>
      </c>
      <c r="AR80" s="45">
        <f t="shared" si="26"/>
        <v>2</v>
      </c>
      <c r="AS80" s="45">
        <f t="shared" si="27"/>
        <v>6.5</v>
      </c>
      <c r="AT80" s="45">
        <f t="shared" si="28"/>
        <v>0</v>
      </c>
      <c r="AU80" s="62">
        <f t="shared" si="30"/>
        <v>11.5</v>
      </c>
    </row>
    <row r="81" spans="1:47" ht="13.5">
      <c r="A81" s="45" t="str">
        <f>IF(Base!B79="","",Base!B79)</f>
        <v>07.975.267-3</v>
      </c>
      <c r="B81" s="45" t="str">
        <f>IF(Base!F79="","",Base!F79)</f>
        <v>GLORIA  GONZALEZ  MASIAS</v>
      </c>
      <c r="C81" s="45" t="str">
        <f>IF(Base!I79="","",Base!I79)</f>
        <v>Linea 7</v>
      </c>
      <c r="D81" s="46" t="str">
        <f>IF(Base!J79="","",Base!J79)</f>
        <v>Inspector etiqueta</v>
      </c>
      <c r="E81" s="45">
        <f>IF(Base!H79="","",Base!H79)</f>
        <v>1050616</v>
      </c>
      <c r="J81" s="53">
        <v>71</v>
      </c>
      <c r="K81" s="74" t="s">
        <v>742</v>
      </c>
      <c r="L81" s="55" t="str">
        <f t="shared" si="31"/>
        <v>JULIO HERNAN  OYANEDEL  COFRE</v>
      </c>
      <c r="M81" s="55">
        <f t="shared" si="32"/>
        <v>1050581</v>
      </c>
      <c r="N81" s="56" t="str">
        <f t="shared" si="33"/>
        <v>Abastecimiento</v>
      </c>
      <c r="O81" s="56" t="str">
        <f t="shared" si="34"/>
        <v>Almacen Insumos Pque</v>
      </c>
      <c r="P81" s="57" t="s">
        <v>6</v>
      </c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0">
        <f t="shared" si="29"/>
        <v>0</v>
      </c>
      <c r="AF81" s="60">
        <f t="shared" si="29"/>
        <v>0</v>
      </c>
      <c r="AG81" s="61"/>
      <c r="AL81" s="45" t="str">
        <f t="shared" si="21"/>
        <v>13.681.026-K</v>
      </c>
      <c r="AM81" s="45">
        <v>72</v>
      </c>
      <c r="AN81" s="45">
        <f t="shared" si="22"/>
        <v>0</v>
      </c>
      <c r="AO81" s="45">
        <f t="shared" si="23"/>
        <v>0</v>
      </c>
      <c r="AP81" s="45">
        <f t="shared" si="24"/>
        <v>0</v>
      </c>
      <c r="AQ81" s="45">
        <f t="shared" si="25"/>
        <v>0</v>
      </c>
      <c r="AR81" s="45">
        <f t="shared" si="26"/>
        <v>0</v>
      </c>
      <c r="AS81" s="45">
        <f t="shared" si="27"/>
        <v>0</v>
      </c>
      <c r="AT81" s="45">
        <f t="shared" si="28"/>
        <v>0</v>
      </c>
      <c r="AU81" s="62" t="str">
        <f t="shared" si="30"/>
        <v/>
      </c>
    </row>
    <row r="82" spans="1:47" ht="13.5">
      <c r="A82" s="45" t="str">
        <f>IF(Base!B80="","",Base!B80)</f>
        <v>08.962.599-8</v>
      </c>
      <c r="B82" s="45" t="str">
        <f>IF(Base!F80="","",Base!F80)</f>
        <v>HUGO SIMON  GONZALEZ  MUÑOZ</v>
      </c>
      <c r="C82" s="45" t="str">
        <f>IF(Base!I80="","",Base!I80)</f>
        <v>Linea 3</v>
      </c>
      <c r="D82" s="46" t="str">
        <f>IF(Base!J80="","",Base!J80)</f>
        <v>Embalador</v>
      </c>
      <c r="E82" s="45">
        <f>IF(Base!H80="","",Base!H80)</f>
        <v>1050556</v>
      </c>
      <c r="J82" s="53">
        <v>72</v>
      </c>
      <c r="K82" s="74" t="s">
        <v>748</v>
      </c>
      <c r="L82" s="55" t="str">
        <f t="shared" si="31"/>
        <v>CARLOS EUGENIO  OYARCE  DIAZ</v>
      </c>
      <c r="M82" s="55">
        <f t="shared" si="32"/>
        <v>1050126</v>
      </c>
      <c r="N82" s="56" t="str">
        <f t="shared" si="33"/>
        <v>Abastecimiento</v>
      </c>
      <c r="O82" s="56" t="str">
        <f t="shared" si="34"/>
        <v>Control Ingresos Cen</v>
      </c>
      <c r="P82" s="57" t="s">
        <v>6</v>
      </c>
      <c r="Q82" s="63"/>
      <c r="R82" s="63"/>
      <c r="S82" s="63">
        <v>2.5</v>
      </c>
      <c r="T82" s="63"/>
      <c r="U82" s="63">
        <v>2</v>
      </c>
      <c r="V82" s="63"/>
      <c r="W82" s="63"/>
      <c r="X82" s="63"/>
      <c r="Y82" s="63"/>
      <c r="Z82" s="63"/>
      <c r="AA82" s="63"/>
      <c r="AB82" s="63"/>
      <c r="AC82" s="63"/>
      <c r="AD82" s="63"/>
      <c r="AE82" s="60">
        <f t="shared" si="29"/>
        <v>4.5</v>
      </c>
      <c r="AF82" s="60">
        <f t="shared" si="29"/>
        <v>0</v>
      </c>
      <c r="AG82" s="61"/>
      <c r="AL82" s="45" t="str">
        <f t="shared" si="21"/>
        <v>14.017.495-5</v>
      </c>
      <c r="AM82" s="45">
        <v>73</v>
      </c>
      <c r="AN82" s="45">
        <f t="shared" si="22"/>
        <v>0</v>
      </c>
      <c r="AO82" s="45">
        <f t="shared" si="23"/>
        <v>2.5</v>
      </c>
      <c r="AP82" s="45">
        <f t="shared" si="24"/>
        <v>2</v>
      </c>
      <c r="AQ82" s="45">
        <f t="shared" si="25"/>
        <v>0</v>
      </c>
      <c r="AR82" s="45">
        <f t="shared" si="26"/>
        <v>0</v>
      </c>
      <c r="AS82" s="45">
        <f t="shared" si="27"/>
        <v>0</v>
      </c>
      <c r="AT82" s="45">
        <f t="shared" si="28"/>
        <v>0</v>
      </c>
      <c r="AU82" s="62">
        <f t="shared" si="30"/>
        <v>4.5</v>
      </c>
    </row>
    <row r="83" spans="1:47" ht="13.5">
      <c r="A83" s="45" t="str">
        <f>IF(Base!B81="","",Base!B81)</f>
        <v>05.921.603-1</v>
      </c>
      <c r="B83" s="45" t="str">
        <f>IF(Base!F81="","",Base!F81)</f>
        <v>JUAN MANUEL  GUERRERO  MONTANO</v>
      </c>
      <c r="C83" s="45" t="str">
        <f>IF(Base!I81="","",Base!I81)</f>
        <v>Aseo</v>
      </c>
      <c r="D83" s="46" t="str">
        <f>IF(Base!J81="","",Base!J81)</f>
        <v>Aseo</v>
      </c>
      <c r="E83" s="45">
        <f>IF(Base!H81="","",Base!H81)</f>
        <v>1050632</v>
      </c>
      <c r="J83" s="53">
        <v>73</v>
      </c>
      <c r="K83" s="74" t="s">
        <v>790</v>
      </c>
      <c r="L83" s="55" t="str">
        <f t="shared" si="31"/>
        <v>RODRIGO ALEJANDRO  PEREZ  PADILLA</v>
      </c>
      <c r="M83" s="55">
        <f t="shared" si="32"/>
        <v>1050127</v>
      </c>
      <c r="N83" s="56" t="str">
        <f t="shared" si="33"/>
        <v>Abastecimiento</v>
      </c>
      <c r="O83" s="56" t="str">
        <f t="shared" si="34"/>
        <v>Preparación de Insum</v>
      </c>
      <c r="P83" s="57" t="s">
        <v>6</v>
      </c>
      <c r="Q83" s="63">
        <v>2</v>
      </c>
      <c r="R83" s="53"/>
      <c r="S83" s="63">
        <v>2</v>
      </c>
      <c r="T83" s="53"/>
      <c r="U83" s="63"/>
      <c r="V83" s="53"/>
      <c r="W83" s="63">
        <v>2</v>
      </c>
      <c r="X83" s="53"/>
      <c r="Y83" s="63">
        <v>2</v>
      </c>
      <c r="Z83" s="53"/>
      <c r="AA83" s="63"/>
      <c r="AB83" s="53"/>
      <c r="AC83" s="63"/>
      <c r="AD83" s="53"/>
      <c r="AE83" s="60">
        <f t="shared" si="29"/>
        <v>8</v>
      </c>
      <c r="AF83" s="60">
        <f t="shared" si="29"/>
        <v>0</v>
      </c>
      <c r="AG83" s="61"/>
      <c r="AL83" s="45" t="str">
        <f t="shared" si="21"/>
        <v>16.266.817-K</v>
      </c>
      <c r="AM83" s="45">
        <v>74</v>
      </c>
      <c r="AN83" s="45">
        <f t="shared" si="22"/>
        <v>2</v>
      </c>
      <c r="AO83" s="45">
        <f t="shared" si="23"/>
        <v>2</v>
      </c>
      <c r="AP83" s="45">
        <f t="shared" si="24"/>
        <v>0</v>
      </c>
      <c r="AQ83" s="45">
        <f t="shared" si="25"/>
        <v>2</v>
      </c>
      <c r="AR83" s="45">
        <f t="shared" si="26"/>
        <v>2</v>
      </c>
      <c r="AS83" s="45">
        <f t="shared" si="27"/>
        <v>0</v>
      </c>
      <c r="AT83" s="45">
        <f t="shared" si="28"/>
        <v>0</v>
      </c>
      <c r="AU83" s="62">
        <f t="shared" si="30"/>
        <v>8</v>
      </c>
    </row>
    <row r="84" spans="1:47" ht="13.5">
      <c r="A84" s="45" t="str">
        <f>IF(Base!B82="","",Base!B82)</f>
        <v>09.748.915-7</v>
      </c>
      <c r="B84" s="45" t="str">
        <f>IF(Base!F82="","",Base!F82)</f>
        <v>VICTOR MANUEL  HENRIQUEZ  FLORES</v>
      </c>
      <c r="C84" s="45" t="str">
        <f>IF(Base!I82="","",Base!I82)</f>
        <v>Abastecimiento</v>
      </c>
      <c r="D84" s="46" t="str">
        <f>IF(Base!J82="","",Base!J82)</f>
        <v>Control Inventario I</v>
      </c>
      <c r="E84" s="45">
        <f>IF(Base!H82="","",Base!H82)</f>
        <v>1050161</v>
      </c>
      <c r="J84" s="53">
        <v>74</v>
      </c>
      <c r="K84" s="74" t="s">
        <v>1376</v>
      </c>
      <c r="L84" s="55" t="str">
        <f t="shared" si="31"/>
        <v>SEBASTIAN PEREZ</v>
      </c>
      <c r="M84" s="55">
        <f t="shared" si="32"/>
        <v>1050506</v>
      </c>
      <c r="N84" s="56" t="str">
        <f t="shared" si="33"/>
        <v>Abastecimiento</v>
      </c>
      <c r="O84" s="56" t="str">
        <f t="shared" si="34"/>
        <v>Operario Almacenamiento</v>
      </c>
      <c r="P84" s="57" t="s">
        <v>1353</v>
      </c>
      <c r="Q84" s="63"/>
      <c r="R84" s="53"/>
      <c r="S84" s="63"/>
      <c r="T84" s="53"/>
      <c r="U84" s="63"/>
      <c r="V84" s="53"/>
      <c r="W84" s="63"/>
      <c r="X84" s="53"/>
      <c r="Y84" s="63"/>
      <c r="Z84" s="53"/>
      <c r="AA84" s="63"/>
      <c r="AB84" s="53"/>
      <c r="AC84" s="63"/>
      <c r="AD84" s="53"/>
      <c r="AE84" s="60">
        <f t="shared" si="29"/>
        <v>0</v>
      </c>
      <c r="AF84" s="60">
        <f t="shared" si="29"/>
        <v>0</v>
      </c>
      <c r="AG84" s="61"/>
      <c r="AL84" s="45" t="str">
        <f t="shared" si="21"/>
        <v>23.040.236-1</v>
      </c>
      <c r="AM84" s="45">
        <v>75</v>
      </c>
      <c r="AN84" s="45">
        <f t="shared" si="22"/>
        <v>0</v>
      </c>
      <c r="AO84" s="45">
        <f t="shared" si="23"/>
        <v>0</v>
      </c>
      <c r="AP84" s="45">
        <f t="shared" si="24"/>
        <v>0</v>
      </c>
      <c r="AQ84" s="45">
        <f t="shared" si="25"/>
        <v>0</v>
      </c>
      <c r="AR84" s="45">
        <f t="shared" si="26"/>
        <v>0</v>
      </c>
      <c r="AS84" s="45">
        <f t="shared" si="27"/>
        <v>0</v>
      </c>
      <c r="AT84" s="45">
        <f t="shared" si="28"/>
        <v>0</v>
      </c>
      <c r="AU84" s="62" t="str">
        <f t="shared" si="30"/>
        <v/>
      </c>
    </row>
    <row r="85" spans="1:47" ht="13.5">
      <c r="A85" s="45" t="str">
        <f>IF(Base!B83="","",Base!B83)</f>
        <v>09.989.723-6</v>
      </c>
      <c r="B85" s="45" t="str">
        <f>IF(Base!F83="","",Base!F83)</f>
        <v>FRANKLIN LEONEL  HERNANDEZ  CESPEDES</v>
      </c>
      <c r="C85" s="45" t="str">
        <f>IF(Base!I83="","",Base!I83)</f>
        <v>Abastecimiento</v>
      </c>
      <c r="D85" s="46" t="str">
        <f>IF(Base!J83="","",Base!J83)</f>
        <v>Control Ingresos Cen</v>
      </c>
      <c r="E85" s="45">
        <f>IF(Base!H83="","",Base!H83)</f>
        <v>1050126</v>
      </c>
      <c r="J85" s="53">
        <v>75</v>
      </c>
      <c r="K85" s="74" t="s">
        <v>806</v>
      </c>
      <c r="L85" s="55" t="str">
        <f t="shared" si="31"/>
        <v>ROBERTO  PINEDA  PEREZ</v>
      </c>
      <c r="M85" s="55">
        <f t="shared" si="32"/>
        <v>1050126</v>
      </c>
      <c r="N85" s="56" t="str">
        <f t="shared" si="33"/>
        <v>Abastecimiento</v>
      </c>
      <c r="O85" s="56" t="str">
        <f t="shared" si="34"/>
        <v>Control Ingresos Cen</v>
      </c>
      <c r="P85" s="57" t="s">
        <v>1353</v>
      </c>
      <c r="Q85" s="63"/>
      <c r="R85" s="53"/>
      <c r="S85" s="63"/>
      <c r="T85" s="53"/>
      <c r="U85" s="63"/>
      <c r="V85" s="53"/>
      <c r="W85" s="63">
        <v>1</v>
      </c>
      <c r="X85" s="53"/>
      <c r="Y85" s="63">
        <v>1</v>
      </c>
      <c r="Z85" s="53"/>
      <c r="AA85" s="63"/>
      <c r="AB85" s="53"/>
      <c r="AC85" s="63"/>
      <c r="AD85" s="53"/>
      <c r="AE85" s="60">
        <f t="shared" si="29"/>
        <v>2</v>
      </c>
      <c r="AF85" s="60">
        <f t="shared" si="29"/>
        <v>0</v>
      </c>
      <c r="AG85" s="61"/>
      <c r="AL85" s="45" t="str">
        <f t="shared" si="21"/>
        <v>12.020.450-5</v>
      </c>
      <c r="AM85" s="45">
        <v>76</v>
      </c>
      <c r="AN85" s="45">
        <f t="shared" si="22"/>
        <v>0</v>
      </c>
      <c r="AO85" s="45">
        <f t="shared" si="23"/>
        <v>0</v>
      </c>
      <c r="AP85" s="45">
        <f t="shared" si="24"/>
        <v>0</v>
      </c>
      <c r="AQ85" s="45">
        <f t="shared" si="25"/>
        <v>1</v>
      </c>
      <c r="AR85" s="45">
        <f t="shared" si="26"/>
        <v>1</v>
      </c>
      <c r="AS85" s="45">
        <f t="shared" si="27"/>
        <v>0</v>
      </c>
      <c r="AT85" s="45">
        <f t="shared" si="28"/>
        <v>0</v>
      </c>
      <c r="AU85" s="62">
        <f t="shared" si="30"/>
        <v>2</v>
      </c>
    </row>
    <row r="86" spans="1:47" ht="13.5">
      <c r="A86" s="45" t="str">
        <f>IF(Base!B84="","",Base!B84)</f>
        <v>10.199.755-3</v>
      </c>
      <c r="B86" s="45" t="str">
        <f>IF(Base!F84="","",Base!F84)</f>
        <v>QUINTIN ROBERTO  HERNANDEZ  GONZALEZ</v>
      </c>
      <c r="C86" s="45" t="str">
        <f>IF(Base!I84="","",Base!I84)</f>
        <v>Abastecimiento</v>
      </c>
      <c r="D86" s="46" t="str">
        <f>IF(Base!J84="","",Base!J84)</f>
        <v>Suministro de Líneas</v>
      </c>
      <c r="E86" s="45">
        <f>IF(Base!H84="","",Base!H84)</f>
        <v>1050633</v>
      </c>
      <c r="J86" s="53">
        <v>76</v>
      </c>
      <c r="K86" s="74" t="s">
        <v>825</v>
      </c>
      <c r="L86" s="55" t="str">
        <f t="shared" si="31"/>
        <v>MIGUEL ANTONIO  PLAZA  ARAYA</v>
      </c>
      <c r="M86" s="55">
        <f t="shared" si="32"/>
        <v>1050633</v>
      </c>
      <c r="N86" s="56" t="str">
        <f t="shared" si="33"/>
        <v>Abastecimiento</v>
      </c>
      <c r="O86" s="56" t="str">
        <f t="shared" si="34"/>
        <v>Suministro de Líneas</v>
      </c>
      <c r="P86" s="57" t="s">
        <v>1332</v>
      </c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0">
        <f t="shared" si="29"/>
        <v>0</v>
      </c>
      <c r="AF86" s="60">
        <f t="shared" si="29"/>
        <v>0</v>
      </c>
      <c r="AG86" s="61"/>
      <c r="AL86" s="45" t="str">
        <f t="shared" si="21"/>
        <v>15.444.951-5</v>
      </c>
      <c r="AM86" s="45">
        <v>77</v>
      </c>
      <c r="AN86" s="45">
        <f t="shared" si="22"/>
        <v>0</v>
      </c>
      <c r="AO86" s="45">
        <f t="shared" si="23"/>
        <v>0</v>
      </c>
      <c r="AP86" s="45">
        <f t="shared" si="24"/>
        <v>0</v>
      </c>
      <c r="AQ86" s="45">
        <f t="shared" si="25"/>
        <v>0</v>
      </c>
      <c r="AR86" s="45">
        <f t="shared" si="26"/>
        <v>0</v>
      </c>
      <c r="AS86" s="45">
        <f t="shared" si="27"/>
        <v>0</v>
      </c>
      <c r="AT86" s="45">
        <f t="shared" si="28"/>
        <v>0</v>
      </c>
      <c r="AU86" s="62" t="str">
        <f t="shared" si="30"/>
        <v/>
      </c>
    </row>
    <row r="87" spans="1:47" ht="13.5">
      <c r="A87" s="45" t="str">
        <f>IF(Base!B85="","",Base!B85)</f>
        <v>14.336.364-3</v>
      </c>
      <c r="B87" s="45" t="str">
        <f>IF(Base!F85="","",Base!F85)</f>
        <v>ARIEL A.  HERRERA  PALMA</v>
      </c>
      <c r="C87" s="45" t="str">
        <f>IF(Base!I85="","",Base!I85)</f>
        <v>Monitor Etiquetado</v>
      </c>
      <c r="D87" s="46" t="str">
        <f>IF(Base!J85="","",Base!J85)</f>
        <v>Monitor Etiquetado</v>
      </c>
      <c r="E87" s="45">
        <f>IF(Base!H85="","",Base!H85)</f>
        <v>1050604</v>
      </c>
      <c r="J87" s="53">
        <v>77</v>
      </c>
      <c r="K87" s="74" t="s">
        <v>843</v>
      </c>
      <c r="L87" s="55" t="str">
        <f t="shared" si="31"/>
        <v>JOSE MANUEL  QUIROZ  VENEGAS</v>
      </c>
      <c r="M87" s="55">
        <f t="shared" si="32"/>
        <v>1050633</v>
      </c>
      <c r="N87" s="56" t="str">
        <f t="shared" si="33"/>
        <v>Abastecimiento</v>
      </c>
      <c r="O87" s="56" t="str">
        <f t="shared" si="34"/>
        <v>Suministro de Líneas</v>
      </c>
      <c r="P87" s="57" t="s">
        <v>1332</v>
      </c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0">
        <f t="shared" si="29"/>
        <v>0</v>
      </c>
      <c r="AF87" s="60">
        <f t="shared" si="29"/>
        <v>0</v>
      </c>
      <c r="AG87" s="61"/>
      <c r="AL87" s="45" t="str">
        <f t="shared" si="21"/>
        <v>07.721.223-K</v>
      </c>
      <c r="AM87" s="45">
        <v>78</v>
      </c>
      <c r="AN87" s="45">
        <f t="shared" si="22"/>
        <v>0</v>
      </c>
      <c r="AO87" s="45">
        <f t="shared" si="23"/>
        <v>0</v>
      </c>
      <c r="AP87" s="45">
        <f t="shared" si="24"/>
        <v>0</v>
      </c>
      <c r="AQ87" s="45">
        <f t="shared" si="25"/>
        <v>0</v>
      </c>
      <c r="AR87" s="45">
        <f t="shared" si="26"/>
        <v>0</v>
      </c>
      <c r="AS87" s="45">
        <f t="shared" si="27"/>
        <v>0</v>
      </c>
      <c r="AT87" s="45">
        <f t="shared" si="28"/>
        <v>0</v>
      </c>
      <c r="AU87" s="62" t="str">
        <f t="shared" si="30"/>
        <v/>
      </c>
    </row>
    <row r="88" spans="1:47" ht="13.5">
      <c r="A88" s="45" t="str">
        <f>IF(Base!B86="","",Base!B86)</f>
        <v>9.905.897-8</v>
      </c>
      <c r="B88" s="45" t="str">
        <f>IF(Base!F86="","",Base!F86)</f>
        <v xml:space="preserve">JUAN PABLO  HERREROS   INFANTE </v>
      </c>
      <c r="C88" s="45" t="str">
        <f>IF(Base!I86="","",Base!I86)</f>
        <v>Envasado</v>
      </c>
      <c r="D88" s="46" t="str">
        <f>IF(Base!J86="","",Base!J86)</f>
        <v>Subgerente de Envasado</v>
      </c>
      <c r="E88" s="45">
        <f>IF(Base!H86="","",Base!H86)</f>
        <v>1050502</v>
      </c>
      <c r="J88" s="53">
        <v>78</v>
      </c>
      <c r="K88" s="74" t="s">
        <v>853</v>
      </c>
      <c r="L88" s="55" t="str">
        <f t="shared" si="31"/>
        <v>JOSE  RAMIREZ  ROJAS</v>
      </c>
      <c r="M88" s="55">
        <f t="shared" si="32"/>
        <v>1050127</v>
      </c>
      <c r="N88" s="56" t="str">
        <f t="shared" si="33"/>
        <v>Abastecimiento</v>
      </c>
      <c r="O88" s="56" t="str">
        <f t="shared" si="34"/>
        <v>Preparación de Insum</v>
      </c>
      <c r="P88" s="57" t="s">
        <v>6</v>
      </c>
      <c r="Q88" s="63"/>
      <c r="R88" s="53"/>
      <c r="S88" s="63">
        <v>2</v>
      </c>
      <c r="T88" s="53"/>
      <c r="U88" s="63">
        <v>2</v>
      </c>
      <c r="V88" s="53"/>
      <c r="W88" s="63"/>
      <c r="X88" s="53"/>
      <c r="Y88" s="63"/>
      <c r="Z88" s="53"/>
      <c r="AA88" s="63"/>
      <c r="AB88" s="53"/>
      <c r="AC88" s="63"/>
      <c r="AD88" s="53"/>
      <c r="AE88" s="60">
        <f t="shared" si="29"/>
        <v>4</v>
      </c>
      <c r="AF88" s="60">
        <f t="shared" si="29"/>
        <v>0</v>
      </c>
      <c r="AG88" s="61"/>
      <c r="AL88" s="45" t="str">
        <f t="shared" si="21"/>
        <v>07.913.597-6</v>
      </c>
      <c r="AM88" s="45">
        <v>79</v>
      </c>
      <c r="AN88" s="45">
        <f t="shared" si="22"/>
        <v>0</v>
      </c>
      <c r="AO88" s="45">
        <f t="shared" si="23"/>
        <v>2</v>
      </c>
      <c r="AP88" s="45">
        <f t="shared" si="24"/>
        <v>2</v>
      </c>
      <c r="AQ88" s="45">
        <f t="shared" si="25"/>
        <v>0</v>
      </c>
      <c r="AR88" s="45">
        <f t="shared" si="26"/>
        <v>0</v>
      </c>
      <c r="AS88" s="45">
        <f t="shared" si="27"/>
        <v>0</v>
      </c>
      <c r="AT88" s="45">
        <f t="shared" si="28"/>
        <v>0</v>
      </c>
      <c r="AU88" s="62">
        <f t="shared" si="30"/>
        <v>4</v>
      </c>
    </row>
    <row r="89" spans="1:47" ht="13.5">
      <c r="A89" s="45" t="str">
        <f>IF(Base!B87="","",Base!B87)</f>
        <v>11.656.057-7</v>
      </c>
      <c r="B89" s="45" t="str">
        <f>IF(Base!F87="","",Base!F87)</f>
        <v>PAOLO CESAR  IBAÑEZ  GRANIFO</v>
      </c>
      <c r="C89" s="45" t="str">
        <f>IF(Base!I87="","",Base!I87)</f>
        <v>Abastecimiento</v>
      </c>
      <c r="D89" s="46" t="str">
        <f>IF(Base!J87="","",Base!J87)</f>
        <v>Preparación de Insum</v>
      </c>
      <c r="E89" s="45">
        <f>IF(Base!H87="","",Base!H87)</f>
        <v>1050127</v>
      </c>
      <c r="J89" s="53">
        <v>79</v>
      </c>
      <c r="K89" s="74" t="s">
        <v>858</v>
      </c>
      <c r="L89" s="55" t="str">
        <f t="shared" si="31"/>
        <v>RAUL  RAMIREZ  VASQUEZ</v>
      </c>
      <c r="M89" s="55">
        <f t="shared" si="32"/>
        <v>1050633</v>
      </c>
      <c r="N89" s="56" t="str">
        <f t="shared" si="33"/>
        <v>Abastecimiento</v>
      </c>
      <c r="O89" s="56" t="str">
        <f t="shared" si="34"/>
        <v>Suministro de Líneas</v>
      </c>
      <c r="P89" s="57" t="s">
        <v>1330</v>
      </c>
      <c r="Q89" s="63"/>
      <c r="R89" s="53"/>
      <c r="S89" s="63"/>
      <c r="T89" s="53"/>
      <c r="U89" s="63"/>
      <c r="V89" s="53"/>
      <c r="W89" s="63"/>
      <c r="X89" s="53"/>
      <c r="Y89" s="63"/>
      <c r="Z89" s="53"/>
      <c r="AA89" s="63"/>
      <c r="AB89" s="53"/>
      <c r="AC89" s="63"/>
      <c r="AD89" s="53"/>
      <c r="AE89" s="60">
        <f t="shared" si="29"/>
        <v>0</v>
      </c>
      <c r="AF89" s="60">
        <f t="shared" si="29"/>
        <v>0</v>
      </c>
      <c r="AG89" s="61"/>
      <c r="AL89" s="45" t="str">
        <f t="shared" ref="AL89:AL152" si="35">IF(K89="","",K89)</f>
        <v>10.168.958-1</v>
      </c>
      <c r="AM89" s="45">
        <v>80</v>
      </c>
      <c r="AN89" s="45">
        <f t="shared" ref="AN89:AN152" si="36">SUM(Q89:R89)</f>
        <v>0</v>
      </c>
      <c r="AO89" s="45">
        <f t="shared" ref="AO89:AO152" si="37">SUM(S89:T89)</f>
        <v>0</v>
      </c>
      <c r="AP89" s="45">
        <f t="shared" ref="AP89:AP152" si="38">SUM(U89:V89)</f>
        <v>0</v>
      </c>
      <c r="AQ89" s="45">
        <f t="shared" ref="AQ89:AQ152" si="39">SUM(W89:X89)</f>
        <v>0</v>
      </c>
      <c r="AR89" s="45">
        <f t="shared" ref="AR89:AR152" si="40">SUM(Y89:Z89)</f>
        <v>0</v>
      </c>
      <c r="AS89" s="45">
        <f t="shared" ref="AS89:AS152" si="41">SUM(AA89:AB89)</f>
        <v>0</v>
      </c>
      <c r="AT89" s="45">
        <f t="shared" ref="AT89:AT152" si="42">SUM(AC89:AD89)</f>
        <v>0</v>
      </c>
      <c r="AU89" s="62" t="str">
        <f t="shared" si="30"/>
        <v/>
      </c>
    </row>
    <row r="90" spans="1:47" ht="13.5">
      <c r="A90" s="45" t="str">
        <f>IF(Base!B88="","",Base!B88)</f>
        <v>13.897.327-1</v>
      </c>
      <c r="B90" s="45" t="str">
        <f>IF(Base!F88="","",Base!F88)</f>
        <v>DANIEL NEFTALI  ITURRIAGA  ORELLANA</v>
      </c>
      <c r="C90" s="45" t="str">
        <f>IF(Base!I88="","",Base!I88)</f>
        <v>Control y Gestión</v>
      </c>
      <c r="D90" s="46" t="str">
        <f>IF(Base!J88="","",Base!J88)</f>
        <v>Inspector tiempo</v>
      </c>
      <c r="E90" s="45">
        <f>IF(Base!H88="","",Base!H88)</f>
        <v>1050632</v>
      </c>
      <c r="J90" s="53">
        <v>80</v>
      </c>
      <c r="K90" s="74" t="s">
        <v>862</v>
      </c>
      <c r="L90" s="55" t="str">
        <f t="shared" si="31"/>
        <v>LAURA CECILIA  REINOSO  SALAS</v>
      </c>
      <c r="M90" s="55">
        <f t="shared" si="32"/>
        <v>1050126</v>
      </c>
      <c r="N90" s="56" t="str">
        <f t="shared" si="33"/>
        <v>Abastecimiento</v>
      </c>
      <c r="O90" s="56" t="str">
        <f t="shared" si="34"/>
        <v>Control Ingresos Cen</v>
      </c>
      <c r="P90" s="57" t="s">
        <v>6</v>
      </c>
      <c r="Q90" s="63"/>
      <c r="R90" s="53"/>
      <c r="S90" s="63"/>
      <c r="T90" s="53"/>
      <c r="U90" s="63"/>
      <c r="V90" s="53"/>
      <c r="W90" s="63"/>
      <c r="X90" s="53"/>
      <c r="Y90" s="63"/>
      <c r="Z90" s="53"/>
      <c r="AA90" s="63"/>
      <c r="AB90" s="53"/>
      <c r="AC90" s="63"/>
      <c r="AD90" s="53"/>
      <c r="AE90" s="60">
        <f t="shared" si="29"/>
        <v>0</v>
      </c>
      <c r="AF90" s="60">
        <f t="shared" si="29"/>
        <v>0</v>
      </c>
      <c r="AG90" s="61"/>
      <c r="AL90" s="45" t="str">
        <f t="shared" si="35"/>
        <v>09.741.880-2</v>
      </c>
      <c r="AM90" s="45">
        <v>81</v>
      </c>
      <c r="AN90" s="45">
        <f t="shared" si="36"/>
        <v>0</v>
      </c>
      <c r="AO90" s="45">
        <f t="shared" si="37"/>
        <v>0</v>
      </c>
      <c r="AP90" s="45">
        <f t="shared" si="38"/>
        <v>0</v>
      </c>
      <c r="AQ90" s="45">
        <f t="shared" si="39"/>
        <v>0</v>
      </c>
      <c r="AR90" s="45">
        <f t="shared" si="40"/>
        <v>0</v>
      </c>
      <c r="AS90" s="45">
        <f t="shared" si="41"/>
        <v>0</v>
      </c>
      <c r="AT90" s="45">
        <f t="shared" si="42"/>
        <v>0</v>
      </c>
      <c r="AU90" s="62" t="str">
        <f t="shared" si="30"/>
        <v/>
      </c>
    </row>
    <row r="91" spans="1:47" ht="13.5">
      <c r="A91" s="45" t="str">
        <f>IF(Base!B89="","",Base!B89)</f>
        <v>15.899.732-0</v>
      </c>
      <c r="B91" s="45" t="str">
        <f>IF(Base!F89="","",Base!F89)</f>
        <v>ALEJANDRO ANDRES  JAQUE  VARGAS</v>
      </c>
      <c r="C91" s="45" t="str">
        <f>IF(Base!I89="","",Base!I89)</f>
        <v>Linea 3</v>
      </c>
      <c r="D91" s="46" t="str">
        <f>IF(Base!J89="","",Base!J89)</f>
        <v>Lavador externo</v>
      </c>
      <c r="E91" s="45">
        <f>IF(Base!H89="","",Base!H89)</f>
        <v>1050556</v>
      </c>
      <c r="J91" s="53">
        <v>81</v>
      </c>
      <c r="K91" s="74" t="s">
        <v>878</v>
      </c>
      <c r="L91" s="55" t="str">
        <f t="shared" si="31"/>
        <v>NATALIA BELEN  REYES  ESPINOZA</v>
      </c>
      <c r="M91" s="55">
        <f t="shared" si="32"/>
        <v>1050127</v>
      </c>
      <c r="N91" s="56" t="str">
        <f t="shared" si="33"/>
        <v>Abastecimiento</v>
      </c>
      <c r="O91" s="56" t="str">
        <f t="shared" si="34"/>
        <v>Preparación de Insum</v>
      </c>
      <c r="P91" s="57" t="s">
        <v>1330</v>
      </c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0">
        <f t="shared" si="29"/>
        <v>0</v>
      </c>
      <c r="AF91" s="60">
        <f t="shared" si="29"/>
        <v>0</v>
      </c>
      <c r="AG91" s="61"/>
      <c r="AL91" s="45" t="str">
        <f t="shared" si="35"/>
        <v>16.697.450-K</v>
      </c>
      <c r="AM91" s="45">
        <v>82</v>
      </c>
      <c r="AN91" s="45">
        <f t="shared" si="36"/>
        <v>0</v>
      </c>
      <c r="AO91" s="45">
        <f t="shared" si="37"/>
        <v>0</v>
      </c>
      <c r="AP91" s="45">
        <f t="shared" si="38"/>
        <v>0</v>
      </c>
      <c r="AQ91" s="45">
        <f t="shared" si="39"/>
        <v>0</v>
      </c>
      <c r="AR91" s="45">
        <f t="shared" si="40"/>
        <v>0</v>
      </c>
      <c r="AS91" s="45">
        <f t="shared" si="41"/>
        <v>0</v>
      </c>
      <c r="AT91" s="45">
        <f t="shared" si="42"/>
        <v>0</v>
      </c>
      <c r="AU91" s="62" t="str">
        <f t="shared" si="30"/>
        <v/>
      </c>
    </row>
    <row r="92" spans="1:47" ht="13.5">
      <c r="A92" s="45" t="str">
        <f>IF(Base!B90="","",Base!B90)</f>
        <v>08.771.787-9</v>
      </c>
      <c r="B92" s="45" t="str">
        <f>IF(Base!F90="","",Base!F90)</f>
        <v>PABLO FLORENTINO  JIMENEZ  PAINECURA</v>
      </c>
      <c r="C92" s="45" t="str">
        <f>IF(Base!I90="","",Base!I90)</f>
        <v>Linea 3</v>
      </c>
      <c r="D92" s="46" t="str">
        <f>IF(Base!J90="","",Base!J90)</f>
        <v>Despalletizador</v>
      </c>
      <c r="E92" s="45">
        <f>IF(Base!H90="","",Base!H90)</f>
        <v>1050555</v>
      </c>
      <c r="J92" s="53">
        <v>82</v>
      </c>
      <c r="K92" s="74" t="s">
        <v>882</v>
      </c>
      <c r="L92" s="55" t="str">
        <f t="shared" si="31"/>
        <v>GUILLERMO ANTONIO  REYES  FUENZALIDA</v>
      </c>
      <c r="M92" s="55">
        <f t="shared" si="32"/>
        <v>1050162</v>
      </c>
      <c r="N92" s="56" t="str">
        <f t="shared" si="33"/>
        <v>Abastecimiento</v>
      </c>
      <c r="O92" s="56" t="str">
        <f t="shared" si="34"/>
        <v>Almacen Envases Pirq</v>
      </c>
      <c r="P92" s="57" t="s">
        <v>1330</v>
      </c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0">
        <f t="shared" si="29"/>
        <v>0</v>
      </c>
      <c r="AF92" s="60">
        <f t="shared" si="29"/>
        <v>0</v>
      </c>
      <c r="AG92" s="61"/>
      <c r="AL92" s="45" t="str">
        <f t="shared" si="35"/>
        <v>14.185.109-8</v>
      </c>
      <c r="AM92" s="45">
        <v>83</v>
      </c>
      <c r="AN92" s="45">
        <f t="shared" si="36"/>
        <v>0</v>
      </c>
      <c r="AO92" s="45">
        <f t="shared" si="37"/>
        <v>0</v>
      </c>
      <c r="AP92" s="45">
        <f t="shared" si="38"/>
        <v>0</v>
      </c>
      <c r="AQ92" s="45">
        <f t="shared" si="39"/>
        <v>0</v>
      </c>
      <c r="AR92" s="45">
        <f t="shared" si="40"/>
        <v>0</v>
      </c>
      <c r="AS92" s="45">
        <f t="shared" si="41"/>
        <v>0</v>
      </c>
      <c r="AT92" s="45">
        <f t="shared" si="42"/>
        <v>0</v>
      </c>
      <c r="AU92" s="62" t="str">
        <f t="shared" si="30"/>
        <v/>
      </c>
    </row>
    <row r="93" spans="1:47" ht="13.5">
      <c r="A93" s="45" t="str">
        <f>IF(Base!B91="","",Base!B91)</f>
        <v>12.504.270-8</v>
      </c>
      <c r="B93" s="45" t="str">
        <f>IF(Base!F91="","",Base!F91)</f>
        <v>ROSEMARY  LAGOS  RUBIO</v>
      </c>
      <c r="C93" s="45" t="str">
        <f>IF(Base!I91="","",Base!I91)</f>
        <v>Linea 2</v>
      </c>
      <c r="D93" s="46" t="str">
        <f>IF(Base!J91="","",Base!J91)</f>
        <v>Inspector etiqueta</v>
      </c>
      <c r="E93" s="45">
        <f>IF(Base!H91="","",Base!H91)</f>
        <v>1050554</v>
      </c>
      <c r="J93" s="53">
        <v>83</v>
      </c>
      <c r="K93" s="74" t="s">
        <v>890</v>
      </c>
      <c r="L93" s="55" t="str">
        <f t="shared" si="31"/>
        <v>ANGELA ADELA  REYES  LARA</v>
      </c>
      <c r="M93" s="55">
        <f t="shared" si="32"/>
        <v>1050633</v>
      </c>
      <c r="N93" s="56" t="str">
        <f t="shared" si="33"/>
        <v>Abastecimiento</v>
      </c>
      <c r="O93" s="56" t="str">
        <f t="shared" si="34"/>
        <v>Suministro de Líneas</v>
      </c>
      <c r="P93" s="57" t="s">
        <v>1353</v>
      </c>
      <c r="Q93" s="63"/>
      <c r="R93" s="53"/>
      <c r="S93" s="63"/>
      <c r="T93" s="53"/>
      <c r="U93" s="63"/>
      <c r="V93" s="53"/>
      <c r="W93" s="63"/>
      <c r="X93" s="53"/>
      <c r="Y93" s="63"/>
      <c r="Z93" s="53"/>
      <c r="AA93" s="63"/>
      <c r="AB93" s="53"/>
      <c r="AC93" s="63"/>
      <c r="AD93" s="53"/>
      <c r="AE93" s="60">
        <f t="shared" si="29"/>
        <v>0</v>
      </c>
      <c r="AF93" s="60">
        <f t="shared" si="29"/>
        <v>0</v>
      </c>
      <c r="AG93" s="61"/>
      <c r="AL93" s="45" t="str">
        <f t="shared" si="35"/>
        <v>10.309.203-5</v>
      </c>
      <c r="AM93" s="45">
        <v>84</v>
      </c>
      <c r="AN93" s="45">
        <f t="shared" si="36"/>
        <v>0</v>
      </c>
      <c r="AO93" s="45">
        <f t="shared" si="37"/>
        <v>0</v>
      </c>
      <c r="AP93" s="45">
        <f t="shared" si="38"/>
        <v>0</v>
      </c>
      <c r="AQ93" s="45">
        <f t="shared" si="39"/>
        <v>0</v>
      </c>
      <c r="AR93" s="45">
        <f t="shared" si="40"/>
        <v>0</v>
      </c>
      <c r="AS93" s="45">
        <f t="shared" si="41"/>
        <v>0</v>
      </c>
      <c r="AT93" s="45">
        <f t="shared" si="42"/>
        <v>0</v>
      </c>
      <c r="AU93" s="62" t="str">
        <f t="shared" si="30"/>
        <v/>
      </c>
    </row>
    <row r="94" spans="1:47" ht="13.5">
      <c r="A94" s="45" t="str">
        <f>IF(Base!B92="","",Base!B92)</f>
        <v>13.769.935-4</v>
      </c>
      <c r="B94" s="45" t="str">
        <f>IF(Base!F92="","",Base!F92)</f>
        <v>GONZALO  LEDESMA  ARRIAGADA</v>
      </c>
      <c r="C94" s="45" t="str">
        <f>IF(Base!I92="","",Base!I92)</f>
        <v>Control y Gestión</v>
      </c>
      <c r="D94" s="46" t="str">
        <f>IF(Base!J92="","",Base!J92)</f>
        <v>Analista  control</v>
      </c>
      <c r="E94" s="45">
        <f>IF(Base!H92="","",Base!H92)</f>
        <v>1050632</v>
      </c>
      <c r="J94" s="53">
        <v>84</v>
      </c>
      <c r="K94" s="74" t="s">
        <v>868</v>
      </c>
      <c r="L94" s="55" t="str">
        <f t="shared" si="31"/>
        <v>MAURICIO ALEJANDRO  RETAMAL  ACUÑA</v>
      </c>
      <c r="M94" s="55">
        <f t="shared" si="32"/>
        <v>1050127</v>
      </c>
      <c r="N94" s="56" t="str">
        <f t="shared" si="33"/>
        <v>Abastecimiento</v>
      </c>
      <c r="O94" s="56" t="str">
        <f t="shared" si="34"/>
        <v>Preparación de Insum</v>
      </c>
      <c r="P94" s="57" t="s">
        <v>1330</v>
      </c>
      <c r="Q94" s="63"/>
      <c r="R94" s="53"/>
      <c r="S94" s="63"/>
      <c r="T94" s="53"/>
      <c r="U94" s="63"/>
      <c r="V94" s="53"/>
      <c r="W94" s="63"/>
      <c r="X94" s="53"/>
      <c r="Y94" s="63"/>
      <c r="Z94" s="53"/>
      <c r="AA94" s="63"/>
      <c r="AB94" s="53"/>
      <c r="AC94" s="63"/>
      <c r="AD94" s="53"/>
      <c r="AE94" s="60">
        <f t="shared" si="29"/>
        <v>0</v>
      </c>
      <c r="AF94" s="60">
        <f t="shared" si="29"/>
        <v>0</v>
      </c>
      <c r="AG94" s="61"/>
      <c r="AL94" s="45" t="str">
        <f t="shared" si="35"/>
        <v>15.444.698-2</v>
      </c>
      <c r="AM94" s="45">
        <v>85</v>
      </c>
      <c r="AN94" s="45">
        <f t="shared" si="36"/>
        <v>0</v>
      </c>
      <c r="AO94" s="45">
        <f t="shared" si="37"/>
        <v>0</v>
      </c>
      <c r="AP94" s="45">
        <f t="shared" si="38"/>
        <v>0</v>
      </c>
      <c r="AQ94" s="45">
        <f t="shared" si="39"/>
        <v>0</v>
      </c>
      <c r="AR94" s="45">
        <f t="shared" si="40"/>
        <v>0</v>
      </c>
      <c r="AS94" s="45">
        <f t="shared" si="41"/>
        <v>0</v>
      </c>
      <c r="AT94" s="45">
        <f t="shared" si="42"/>
        <v>0</v>
      </c>
      <c r="AU94" s="62" t="str">
        <f t="shared" si="30"/>
        <v/>
      </c>
    </row>
    <row r="95" spans="1:47" ht="13.5">
      <c r="A95" s="45" t="str">
        <f>IF(Base!B93="","",Base!B93)</f>
        <v>08.025.043-6</v>
      </c>
      <c r="B95" s="45" t="str">
        <f>IF(Base!F93="","",Base!F93)</f>
        <v>RAUL  LEIVA  CASTILLO</v>
      </c>
      <c r="C95" s="45" t="str">
        <f>IF(Base!I93="","",Base!I93)</f>
        <v>Linea 1</v>
      </c>
      <c r="D95" s="46" t="str">
        <f>IF(Base!J93="","",Base!J93)</f>
        <v>Llenador</v>
      </c>
      <c r="E95" s="45">
        <f>IF(Base!H93="","",Base!H93)</f>
        <v>1050551</v>
      </c>
      <c r="J95" s="53">
        <v>85</v>
      </c>
      <c r="K95" s="74" t="s">
        <v>905</v>
      </c>
      <c r="L95" s="55" t="str">
        <f t="shared" si="31"/>
        <v>FRANCISCO JAVIER  RIQUELME  GONZALEZ</v>
      </c>
      <c r="M95" s="55">
        <f t="shared" si="32"/>
        <v>1050581</v>
      </c>
      <c r="N95" s="56" t="str">
        <f t="shared" si="33"/>
        <v>Abastecimiento</v>
      </c>
      <c r="O95" s="56" t="str">
        <f t="shared" si="34"/>
        <v>Almacen Insumos Pque</v>
      </c>
      <c r="P95" s="57" t="s">
        <v>6</v>
      </c>
      <c r="Q95" s="63"/>
      <c r="R95" s="53"/>
      <c r="S95" s="63"/>
      <c r="T95" s="53"/>
      <c r="U95" s="63"/>
      <c r="V95" s="53"/>
      <c r="W95" s="63"/>
      <c r="X95" s="53"/>
      <c r="Y95" s="63"/>
      <c r="Z95" s="53"/>
      <c r="AA95" s="63"/>
      <c r="AB95" s="53"/>
      <c r="AC95" s="63"/>
      <c r="AD95" s="53"/>
      <c r="AE95" s="60">
        <f t="shared" si="29"/>
        <v>0</v>
      </c>
      <c r="AF95" s="60">
        <f t="shared" si="29"/>
        <v>0</v>
      </c>
      <c r="AG95" s="61"/>
      <c r="AL95" s="45" t="str">
        <f t="shared" si="35"/>
        <v>16.296.340-6</v>
      </c>
      <c r="AM95" s="45">
        <v>86</v>
      </c>
      <c r="AN95" s="45">
        <f t="shared" si="36"/>
        <v>0</v>
      </c>
      <c r="AO95" s="45">
        <f t="shared" si="37"/>
        <v>0</v>
      </c>
      <c r="AP95" s="45">
        <f t="shared" si="38"/>
        <v>0</v>
      </c>
      <c r="AQ95" s="45">
        <f t="shared" si="39"/>
        <v>0</v>
      </c>
      <c r="AR95" s="45">
        <f t="shared" si="40"/>
        <v>0</v>
      </c>
      <c r="AS95" s="45">
        <f t="shared" si="41"/>
        <v>0</v>
      </c>
      <c r="AT95" s="45">
        <f t="shared" si="42"/>
        <v>0</v>
      </c>
      <c r="AU95" s="62" t="str">
        <f t="shared" si="30"/>
        <v/>
      </c>
    </row>
    <row r="96" spans="1:47" ht="13.5">
      <c r="A96" s="45" t="str">
        <f>IF(Base!B94="","",Base!B94)</f>
        <v>10.970.380-K</v>
      </c>
      <c r="B96" s="45" t="str">
        <f>IF(Base!F94="","",Base!F94)</f>
        <v>JUAN ENRIQUE  LEIVA  MUÑOZ</v>
      </c>
      <c r="C96" s="45" t="str">
        <f>IF(Base!I94="","",Base!I94)</f>
        <v>Abastecimiento</v>
      </c>
      <c r="D96" s="46" t="str">
        <f>IF(Base!J94="","",Base!J94)</f>
        <v>Preparación de Insum</v>
      </c>
      <c r="E96" s="45">
        <f>IF(Base!H94="","",Base!H94)</f>
        <v>1050127</v>
      </c>
      <c r="J96" s="53">
        <v>86</v>
      </c>
      <c r="K96" s="74" t="s">
        <v>909</v>
      </c>
      <c r="L96" s="55" t="str">
        <f t="shared" si="31"/>
        <v>VERONICA ANDREA  RIVERA  VARGAS</v>
      </c>
      <c r="M96" s="55">
        <f t="shared" si="32"/>
        <v>1050633</v>
      </c>
      <c r="N96" s="56" t="str">
        <f t="shared" si="33"/>
        <v>Abastecimiento</v>
      </c>
      <c r="O96" s="56" t="str">
        <f t="shared" si="34"/>
        <v>Suministro de Líneas</v>
      </c>
      <c r="P96" s="57" t="s">
        <v>1332</v>
      </c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0">
        <f t="shared" si="29"/>
        <v>0</v>
      </c>
      <c r="AF96" s="60">
        <f t="shared" si="29"/>
        <v>0</v>
      </c>
      <c r="AG96" s="61"/>
      <c r="AL96" s="45" t="str">
        <f t="shared" si="35"/>
        <v>12.688.280-7</v>
      </c>
      <c r="AM96" s="45">
        <v>87</v>
      </c>
      <c r="AN96" s="45">
        <f t="shared" si="36"/>
        <v>0</v>
      </c>
      <c r="AO96" s="45">
        <f t="shared" si="37"/>
        <v>0</v>
      </c>
      <c r="AP96" s="45">
        <f t="shared" si="38"/>
        <v>0</v>
      </c>
      <c r="AQ96" s="45">
        <f t="shared" si="39"/>
        <v>0</v>
      </c>
      <c r="AR96" s="45">
        <f t="shared" si="40"/>
        <v>0</v>
      </c>
      <c r="AS96" s="45">
        <f t="shared" si="41"/>
        <v>0</v>
      </c>
      <c r="AT96" s="45">
        <f t="shared" si="42"/>
        <v>0</v>
      </c>
      <c r="AU96" s="62" t="str">
        <f t="shared" si="30"/>
        <v/>
      </c>
    </row>
    <row r="97" spans="1:47" ht="13.5">
      <c r="A97" s="45" t="str">
        <f>IF(Base!B95="","",Base!B95)</f>
        <v>11.873.201-4</v>
      </c>
      <c r="B97" s="45" t="str">
        <f>IF(Base!F95="","",Base!F95)</f>
        <v>CARLOS  LEMUS  VELIZ</v>
      </c>
      <c r="C97" s="45" t="str">
        <f>IF(Base!I95="","",Base!I95)</f>
        <v>Abastecimiento</v>
      </c>
      <c r="D97" s="46" t="str">
        <f>IF(Base!J95="","",Base!J95)</f>
        <v>Preparación de Insum</v>
      </c>
      <c r="E97" s="45">
        <f>IF(Base!H95="","",Base!H95)</f>
        <v>1050127</v>
      </c>
      <c r="J97" s="53">
        <v>87</v>
      </c>
      <c r="K97" s="74" t="s">
        <v>928</v>
      </c>
      <c r="L97" s="55" t="str">
        <f t="shared" si="31"/>
        <v>LUIS ALBERTO  ROJAS  GONZALEZ</v>
      </c>
      <c r="M97" s="55">
        <f t="shared" si="32"/>
        <v>1050127</v>
      </c>
      <c r="N97" s="56" t="str">
        <f t="shared" si="33"/>
        <v>Abastecimiento</v>
      </c>
      <c r="O97" s="56" t="str">
        <f t="shared" si="34"/>
        <v>Preparación de Insum</v>
      </c>
      <c r="P97" s="57" t="s">
        <v>1330</v>
      </c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0">
        <f t="shared" si="29"/>
        <v>0</v>
      </c>
      <c r="AF97" s="60">
        <f t="shared" si="29"/>
        <v>0</v>
      </c>
      <c r="AG97" s="61"/>
      <c r="AL97" s="45" t="str">
        <f t="shared" si="35"/>
        <v>09.485.526-8</v>
      </c>
      <c r="AM97" s="45">
        <v>88</v>
      </c>
      <c r="AN97" s="45">
        <f t="shared" si="36"/>
        <v>0</v>
      </c>
      <c r="AO97" s="45">
        <f t="shared" si="37"/>
        <v>0</v>
      </c>
      <c r="AP97" s="45">
        <f t="shared" si="38"/>
        <v>0</v>
      </c>
      <c r="AQ97" s="45">
        <f t="shared" si="39"/>
        <v>0</v>
      </c>
      <c r="AR97" s="45">
        <f t="shared" si="40"/>
        <v>0</v>
      </c>
      <c r="AS97" s="45">
        <f t="shared" si="41"/>
        <v>0</v>
      </c>
      <c r="AT97" s="45">
        <f t="shared" si="42"/>
        <v>0</v>
      </c>
      <c r="AU97" s="62" t="str">
        <f t="shared" si="30"/>
        <v/>
      </c>
    </row>
    <row r="98" spans="1:47" ht="13.5">
      <c r="A98" s="45" t="str">
        <f>IF(Base!B96="","",Base!B96)</f>
        <v>09.878.189-7</v>
      </c>
      <c r="B98" s="45" t="str">
        <f>IF(Base!F96="","",Base!F96)</f>
        <v>GUILLERMO  LEON  GALVEZ</v>
      </c>
      <c r="C98" s="45" t="str">
        <f>IF(Base!I96="","",Base!I96)</f>
        <v>Linea 3</v>
      </c>
      <c r="D98" s="46" t="str">
        <f>IF(Base!J96="","",Base!J96)</f>
        <v>Lavador externo</v>
      </c>
      <c r="E98" s="45">
        <f>IF(Base!H96="","",Base!H96)</f>
        <v>1050556</v>
      </c>
      <c r="J98" s="53">
        <v>88</v>
      </c>
      <c r="K98" s="74" t="s">
        <v>931</v>
      </c>
      <c r="L98" s="55" t="str">
        <f t="shared" si="31"/>
        <v>RODRIGO ALEJANDRO  ROJAS  SALAMANCA</v>
      </c>
      <c r="M98" s="55">
        <f t="shared" si="32"/>
        <v>1050581</v>
      </c>
      <c r="N98" s="56" t="str">
        <f t="shared" si="33"/>
        <v>Abastecimiento</v>
      </c>
      <c r="O98" s="56" t="str">
        <f t="shared" si="34"/>
        <v>Almacen Insumos Pque</v>
      </c>
      <c r="P98" s="57" t="s">
        <v>1353</v>
      </c>
      <c r="Q98" s="63"/>
      <c r="R98" s="53"/>
      <c r="S98" s="63"/>
      <c r="T98" s="53"/>
      <c r="U98" s="63"/>
      <c r="V98" s="53"/>
      <c r="W98" s="63"/>
      <c r="X98" s="53"/>
      <c r="Y98" s="63"/>
      <c r="Z98" s="53"/>
      <c r="AA98" s="63"/>
      <c r="AB98" s="53"/>
      <c r="AC98" s="63"/>
      <c r="AD98" s="53"/>
      <c r="AE98" s="60">
        <f t="shared" si="29"/>
        <v>0</v>
      </c>
      <c r="AF98" s="60">
        <f t="shared" si="29"/>
        <v>0</v>
      </c>
      <c r="AG98" s="61"/>
      <c r="AL98" s="45" t="str">
        <f t="shared" si="35"/>
        <v>17.245.009-1</v>
      </c>
      <c r="AM98" s="45">
        <v>89</v>
      </c>
      <c r="AN98" s="45">
        <f t="shared" si="36"/>
        <v>0</v>
      </c>
      <c r="AO98" s="45">
        <f t="shared" si="37"/>
        <v>0</v>
      </c>
      <c r="AP98" s="45">
        <f t="shared" si="38"/>
        <v>0</v>
      </c>
      <c r="AQ98" s="45">
        <f t="shared" si="39"/>
        <v>0</v>
      </c>
      <c r="AR98" s="45">
        <f t="shared" si="40"/>
        <v>0</v>
      </c>
      <c r="AS98" s="45">
        <f t="shared" si="41"/>
        <v>0</v>
      </c>
      <c r="AT98" s="45">
        <f t="shared" si="42"/>
        <v>0</v>
      </c>
      <c r="AU98" s="62" t="str">
        <f t="shared" si="30"/>
        <v/>
      </c>
    </row>
    <row r="99" spans="1:47" ht="13.5">
      <c r="A99" s="45" t="str">
        <f>IF(Base!B97="","",Base!B97)</f>
        <v>09.253.701-3</v>
      </c>
      <c r="B99" s="45" t="str">
        <f>IF(Base!F97="","",Base!F97)</f>
        <v>JOSE FRANCISCO  LEON  NUÑEZ</v>
      </c>
      <c r="C99" s="45" t="str">
        <f>IF(Base!I97="","",Base!I97)</f>
        <v>Linea 7</v>
      </c>
      <c r="D99" s="46" t="str">
        <f>IF(Base!J97="","",Base!J97)</f>
        <v>Llenador</v>
      </c>
      <c r="E99" s="45">
        <f>IF(Base!H97="","",Base!H97)</f>
        <v>1050615</v>
      </c>
      <c r="J99" s="53">
        <v>89</v>
      </c>
      <c r="K99" s="74" t="s">
        <v>949</v>
      </c>
      <c r="L99" s="55" t="str">
        <f t="shared" si="31"/>
        <v>JUAN RAMON  SALAMANCA  VIDAL</v>
      </c>
      <c r="M99" s="55">
        <f t="shared" si="32"/>
        <v>1050127</v>
      </c>
      <c r="N99" s="56" t="str">
        <f t="shared" si="33"/>
        <v>Abastecimiento</v>
      </c>
      <c r="O99" s="56" t="str">
        <f t="shared" si="34"/>
        <v>Preparación de Insum</v>
      </c>
      <c r="P99" s="57" t="s">
        <v>1330</v>
      </c>
      <c r="Q99" s="63"/>
      <c r="R99" s="53"/>
      <c r="S99" s="63"/>
      <c r="T99" s="53"/>
      <c r="U99" s="63"/>
      <c r="V99" s="53"/>
      <c r="W99" s="63"/>
      <c r="X99" s="53"/>
      <c r="Y99" s="63"/>
      <c r="Z99" s="53"/>
      <c r="AA99" s="63"/>
      <c r="AB99" s="53"/>
      <c r="AC99" s="63"/>
      <c r="AD99" s="53"/>
      <c r="AE99" s="60">
        <f t="shared" si="29"/>
        <v>0</v>
      </c>
      <c r="AF99" s="60">
        <f t="shared" si="29"/>
        <v>0</v>
      </c>
      <c r="AG99" s="61"/>
      <c r="AL99" s="45" t="str">
        <f t="shared" si="35"/>
        <v>11.657.838-7</v>
      </c>
      <c r="AM99" s="45">
        <v>90</v>
      </c>
      <c r="AN99" s="45">
        <f t="shared" si="36"/>
        <v>0</v>
      </c>
      <c r="AO99" s="45">
        <f t="shared" si="37"/>
        <v>0</v>
      </c>
      <c r="AP99" s="45">
        <f t="shared" si="38"/>
        <v>0</v>
      </c>
      <c r="AQ99" s="45">
        <f t="shared" si="39"/>
        <v>0</v>
      </c>
      <c r="AR99" s="45">
        <f t="shared" si="40"/>
        <v>0</v>
      </c>
      <c r="AS99" s="45">
        <f t="shared" si="41"/>
        <v>0</v>
      </c>
      <c r="AT99" s="45">
        <f t="shared" si="42"/>
        <v>0</v>
      </c>
      <c r="AU99" s="62" t="str">
        <f t="shared" si="30"/>
        <v/>
      </c>
    </row>
    <row r="100" spans="1:47" ht="13.5">
      <c r="A100" s="45" t="str">
        <f>IF(Base!B98="","",Base!B98)</f>
        <v>14.151.454-7</v>
      </c>
      <c r="B100" s="45" t="str">
        <f>IF(Base!F98="","",Base!F98)</f>
        <v>RODRIGO ESTEBAN  LOPEZ  CERVERA</v>
      </c>
      <c r="C100" s="45" t="str">
        <f>IF(Base!I98="","",Base!I98)</f>
        <v>Supervisor</v>
      </c>
      <c r="D100" s="46" t="str">
        <f>IF(Base!J98="","",Base!J98)</f>
        <v>Supervisor</v>
      </c>
      <c r="E100" s="45">
        <f>IF(Base!H98="","",Base!H98)</f>
        <v>1050603</v>
      </c>
      <c r="J100" s="53">
        <v>90</v>
      </c>
      <c r="K100" s="74" t="s">
        <v>956</v>
      </c>
      <c r="L100" s="55" t="str">
        <f t="shared" si="31"/>
        <v>PAULO  SALAZAR  FREYHOFER</v>
      </c>
      <c r="M100" s="55">
        <f t="shared" si="32"/>
        <v>1050581</v>
      </c>
      <c r="N100" s="56" t="str">
        <f t="shared" si="33"/>
        <v>Abastecimiento</v>
      </c>
      <c r="O100" s="56" t="str">
        <f t="shared" si="34"/>
        <v>Supervisor Almacen Insumos</v>
      </c>
      <c r="P100" s="57" t="s">
        <v>1353</v>
      </c>
      <c r="Q100" s="63"/>
      <c r="R100" s="53"/>
      <c r="S100" s="63"/>
      <c r="T100" s="53"/>
      <c r="U100" s="63"/>
      <c r="V100" s="53"/>
      <c r="W100" s="63"/>
      <c r="X100" s="53"/>
      <c r="Y100" s="63"/>
      <c r="Z100" s="53"/>
      <c r="AA100" s="63"/>
      <c r="AB100" s="53"/>
      <c r="AC100" s="63"/>
      <c r="AD100" s="53"/>
      <c r="AE100" s="60">
        <f t="shared" si="29"/>
        <v>0</v>
      </c>
      <c r="AF100" s="60">
        <f t="shared" si="29"/>
        <v>0</v>
      </c>
      <c r="AG100" s="61"/>
      <c r="AL100" s="45" t="str">
        <f t="shared" si="35"/>
        <v>12.647.009-6</v>
      </c>
      <c r="AM100" s="45">
        <v>91</v>
      </c>
      <c r="AN100" s="45">
        <f t="shared" si="36"/>
        <v>0</v>
      </c>
      <c r="AO100" s="45">
        <f t="shared" si="37"/>
        <v>0</v>
      </c>
      <c r="AP100" s="45">
        <f t="shared" si="38"/>
        <v>0</v>
      </c>
      <c r="AQ100" s="45">
        <f t="shared" si="39"/>
        <v>0</v>
      </c>
      <c r="AR100" s="45">
        <f t="shared" si="40"/>
        <v>0</v>
      </c>
      <c r="AS100" s="45">
        <f t="shared" si="41"/>
        <v>0</v>
      </c>
      <c r="AT100" s="45">
        <f t="shared" si="42"/>
        <v>0</v>
      </c>
      <c r="AU100" s="62" t="str">
        <f t="shared" si="30"/>
        <v/>
      </c>
    </row>
    <row r="101" spans="1:47" ht="13.5">
      <c r="A101" s="45" t="str">
        <f>IF(Base!B99="","",Base!B99)</f>
        <v>10.869.222-7</v>
      </c>
      <c r="B101" s="45" t="str">
        <f>IF(Base!F99="","",Base!F99)</f>
        <v>MARCO ANTONIO  MADRID  PINTO</v>
      </c>
      <c r="C101" s="45" t="str">
        <f>IF(Base!I99="","",Base!I99)</f>
        <v>Abastecimiento</v>
      </c>
      <c r="D101" s="46" t="str">
        <f>IF(Base!J99="","",Base!J99)</f>
        <v>Preparación de Insum</v>
      </c>
      <c r="E101" s="45">
        <f>IF(Base!H99="","",Base!H99)</f>
        <v>1050127</v>
      </c>
      <c r="J101" s="53">
        <v>91</v>
      </c>
      <c r="K101" s="74" t="s">
        <v>961</v>
      </c>
      <c r="L101" s="55" t="str">
        <f t="shared" si="31"/>
        <v>HECTOR ENRIQUE  SALAZAR  VIDELA</v>
      </c>
      <c r="M101" s="55">
        <f t="shared" si="32"/>
        <v>1050126</v>
      </c>
      <c r="N101" s="56" t="str">
        <f t="shared" si="33"/>
        <v>Abastecimiento</v>
      </c>
      <c r="O101" s="56" t="str">
        <f t="shared" si="34"/>
        <v>Control Ingresos Cen</v>
      </c>
      <c r="P101" s="57" t="s">
        <v>1330</v>
      </c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0">
        <f t="shared" si="29"/>
        <v>0</v>
      </c>
      <c r="AF101" s="60">
        <f t="shared" si="29"/>
        <v>0</v>
      </c>
      <c r="AG101" s="61"/>
      <c r="AL101" s="45" t="str">
        <f t="shared" si="35"/>
        <v>07.009.784-2</v>
      </c>
      <c r="AM101" s="45">
        <v>92</v>
      </c>
      <c r="AN101" s="45">
        <f t="shared" si="36"/>
        <v>0</v>
      </c>
      <c r="AO101" s="45">
        <f t="shared" si="37"/>
        <v>0</v>
      </c>
      <c r="AP101" s="45">
        <f t="shared" si="38"/>
        <v>0</v>
      </c>
      <c r="AQ101" s="45">
        <f t="shared" si="39"/>
        <v>0</v>
      </c>
      <c r="AR101" s="45">
        <f t="shared" si="40"/>
        <v>0</v>
      </c>
      <c r="AS101" s="45">
        <f t="shared" si="41"/>
        <v>0</v>
      </c>
      <c r="AT101" s="45">
        <f t="shared" si="42"/>
        <v>0</v>
      </c>
      <c r="AU101" s="62" t="str">
        <f t="shared" si="30"/>
        <v/>
      </c>
    </row>
    <row r="102" spans="1:47" ht="13.5">
      <c r="A102" s="45" t="str">
        <f>IF(Base!B100="","",Base!B100)</f>
        <v>11.306.351-3</v>
      </c>
      <c r="B102" s="45" t="str">
        <f>IF(Base!F100="","",Base!F100)</f>
        <v>RUBEN MARCO  MANQUIAN  NORIEGA</v>
      </c>
      <c r="C102" s="45" t="str">
        <f>IF(Base!I100="","",Base!I100)</f>
        <v>Abastecimiento</v>
      </c>
      <c r="D102" s="46" t="str">
        <f>IF(Base!J100="","",Base!J100)</f>
        <v>Control Ingresos Cen</v>
      </c>
      <c r="E102" s="45">
        <f>IF(Base!H100="","",Base!H100)</f>
        <v>1050126</v>
      </c>
      <c r="J102" s="53">
        <v>92</v>
      </c>
      <c r="K102" s="74" t="s">
        <v>966</v>
      </c>
      <c r="L102" s="55" t="str">
        <f t="shared" si="31"/>
        <v>JUAN  SALINAS  CUEVAS</v>
      </c>
      <c r="M102" s="55">
        <f t="shared" si="32"/>
        <v>1050633</v>
      </c>
      <c r="N102" s="56" t="str">
        <f t="shared" si="33"/>
        <v>Abastecimiento</v>
      </c>
      <c r="O102" s="56" t="str">
        <f t="shared" si="34"/>
        <v>Suministro de Líneas</v>
      </c>
      <c r="P102" s="57" t="s">
        <v>6</v>
      </c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0">
        <f t="shared" si="29"/>
        <v>0</v>
      </c>
      <c r="AF102" s="60">
        <f t="shared" si="29"/>
        <v>0</v>
      </c>
      <c r="AG102" s="61"/>
      <c r="AL102" s="45" t="str">
        <f t="shared" si="35"/>
        <v>08.245.727-5</v>
      </c>
      <c r="AM102" s="45">
        <v>93</v>
      </c>
      <c r="AN102" s="45">
        <f t="shared" si="36"/>
        <v>0</v>
      </c>
      <c r="AO102" s="45">
        <f t="shared" si="37"/>
        <v>0</v>
      </c>
      <c r="AP102" s="45">
        <f t="shared" si="38"/>
        <v>0</v>
      </c>
      <c r="AQ102" s="45">
        <f t="shared" si="39"/>
        <v>0</v>
      </c>
      <c r="AR102" s="45">
        <f t="shared" si="40"/>
        <v>0</v>
      </c>
      <c r="AS102" s="45">
        <f t="shared" si="41"/>
        <v>0</v>
      </c>
      <c r="AT102" s="45">
        <f t="shared" si="42"/>
        <v>0</v>
      </c>
      <c r="AU102" s="62" t="str">
        <f t="shared" si="30"/>
        <v/>
      </c>
    </row>
    <row r="103" spans="1:47" ht="13.5">
      <c r="A103" s="45" t="str">
        <f>IF(Base!B101="","",Base!B101)</f>
        <v>12.740.284-1</v>
      </c>
      <c r="B103" s="45" t="str">
        <f>IF(Base!F101="","",Base!F101)</f>
        <v>JUAN CARLOS  MARCHANT  RAMIREZ</v>
      </c>
      <c r="C103" s="45" t="str">
        <f>IF(Base!I101="","",Base!I101)</f>
        <v>Linea 3</v>
      </c>
      <c r="D103" s="46" t="str">
        <f>IF(Base!J101="","",Base!J101)</f>
        <v>Embalador</v>
      </c>
      <c r="E103" s="45">
        <f>IF(Base!H101="","",Base!H101)</f>
        <v>1050556</v>
      </c>
      <c r="J103" s="53">
        <v>93</v>
      </c>
      <c r="K103" s="74" t="s">
        <v>989</v>
      </c>
      <c r="L103" s="55" t="str">
        <f t="shared" si="31"/>
        <v>DANIEL PATRICIO  SANCHEZ  VASQUEZ</v>
      </c>
      <c r="M103" s="55">
        <f t="shared" si="32"/>
        <v>1050581</v>
      </c>
      <c r="N103" s="56" t="str">
        <f t="shared" si="33"/>
        <v>Abastecimiento</v>
      </c>
      <c r="O103" s="56" t="str">
        <f t="shared" si="34"/>
        <v>Almacen Insumos Pque</v>
      </c>
      <c r="P103" s="57" t="s">
        <v>6</v>
      </c>
      <c r="Q103" s="63"/>
      <c r="R103" s="53"/>
      <c r="S103" s="63"/>
      <c r="T103" s="53"/>
      <c r="U103" s="63"/>
      <c r="V103" s="53"/>
      <c r="W103" s="63"/>
      <c r="X103" s="53"/>
      <c r="Y103" s="63"/>
      <c r="Z103" s="53"/>
      <c r="AA103" s="63"/>
      <c r="AB103" s="53"/>
      <c r="AC103" s="63"/>
      <c r="AD103" s="53"/>
      <c r="AE103" s="60">
        <f t="shared" si="29"/>
        <v>0</v>
      </c>
      <c r="AF103" s="60">
        <f t="shared" si="29"/>
        <v>0</v>
      </c>
      <c r="AG103" s="61"/>
      <c r="AL103" s="45" t="str">
        <f t="shared" si="35"/>
        <v>10.835.391-0</v>
      </c>
      <c r="AM103" s="45">
        <v>94</v>
      </c>
      <c r="AN103" s="45">
        <f t="shared" si="36"/>
        <v>0</v>
      </c>
      <c r="AO103" s="45">
        <f t="shared" si="37"/>
        <v>0</v>
      </c>
      <c r="AP103" s="45">
        <f t="shared" si="38"/>
        <v>0</v>
      </c>
      <c r="AQ103" s="45">
        <f t="shared" si="39"/>
        <v>0</v>
      </c>
      <c r="AR103" s="45">
        <f t="shared" si="40"/>
        <v>0</v>
      </c>
      <c r="AS103" s="45">
        <f t="shared" si="41"/>
        <v>0</v>
      </c>
      <c r="AT103" s="45">
        <f t="shared" si="42"/>
        <v>0</v>
      </c>
      <c r="AU103" s="62" t="str">
        <f t="shared" si="30"/>
        <v/>
      </c>
    </row>
    <row r="104" spans="1:47" ht="13.5">
      <c r="A104" s="45" t="str">
        <f>IF(Base!B102="","",Base!B102)</f>
        <v>11.370.436-5</v>
      </c>
      <c r="B104" s="45" t="str">
        <f>IF(Base!F102="","",Base!F102)</f>
        <v>LUIS HUMBERTO  MARDONES  ALVARADO</v>
      </c>
      <c r="C104" s="45" t="str">
        <f>IF(Base!I102="","",Base!I102)</f>
        <v>Abastecimiento</v>
      </c>
      <c r="D104" s="46" t="str">
        <f>IF(Base!J102="","",Base!J102)</f>
        <v>Suministro de Líneas</v>
      </c>
      <c r="E104" s="45">
        <f>IF(Base!H102="","",Base!H102)</f>
        <v>1050633</v>
      </c>
      <c r="J104" s="53">
        <v>94</v>
      </c>
      <c r="K104" s="74" t="s">
        <v>980</v>
      </c>
      <c r="L104" s="55" t="str">
        <f t="shared" si="31"/>
        <v>FREDDY  SANCHEZ  TORRES</v>
      </c>
      <c r="M104" s="55">
        <f t="shared" si="32"/>
        <v>1050161</v>
      </c>
      <c r="N104" s="56" t="str">
        <f t="shared" si="33"/>
        <v>Abastecimiento</v>
      </c>
      <c r="O104" s="56" t="str">
        <f t="shared" si="34"/>
        <v>Control Inventario I</v>
      </c>
      <c r="P104" s="57" t="s">
        <v>1353</v>
      </c>
      <c r="Q104" s="63"/>
      <c r="R104" s="53"/>
      <c r="S104" s="63"/>
      <c r="T104" s="53"/>
      <c r="U104" s="63"/>
      <c r="V104" s="53"/>
      <c r="W104" s="63"/>
      <c r="X104" s="53"/>
      <c r="Y104" s="63"/>
      <c r="Z104" s="53"/>
      <c r="AA104" s="63"/>
      <c r="AB104" s="53"/>
      <c r="AC104" s="63"/>
      <c r="AD104" s="53"/>
      <c r="AE104" s="60">
        <f t="shared" ref="AE104:AF167" si="43">SUM(Q104,S104,U104,W104,Y104,AA104,AC104)</f>
        <v>0</v>
      </c>
      <c r="AF104" s="60">
        <f t="shared" si="43"/>
        <v>0</v>
      </c>
      <c r="AG104" s="61"/>
      <c r="AL104" s="45" t="str">
        <f t="shared" si="35"/>
        <v>12.500.119-K</v>
      </c>
      <c r="AM104" s="45">
        <v>95</v>
      </c>
      <c r="AN104" s="45">
        <f t="shared" si="36"/>
        <v>0</v>
      </c>
      <c r="AO104" s="45">
        <f t="shared" si="37"/>
        <v>0</v>
      </c>
      <c r="AP104" s="45">
        <f t="shared" si="38"/>
        <v>0</v>
      </c>
      <c r="AQ104" s="45">
        <f t="shared" si="39"/>
        <v>0</v>
      </c>
      <c r="AR104" s="45">
        <f t="shared" si="40"/>
        <v>0</v>
      </c>
      <c r="AS104" s="45">
        <f t="shared" si="41"/>
        <v>0</v>
      </c>
      <c r="AT104" s="45">
        <f t="shared" si="42"/>
        <v>0</v>
      </c>
      <c r="AU104" s="62" t="str">
        <f t="shared" si="30"/>
        <v/>
      </c>
    </row>
    <row r="105" spans="1:47" ht="13.5">
      <c r="A105" s="45" t="str">
        <f>IF(Base!B103="","",Base!B103)</f>
        <v>09.081.025-1</v>
      </c>
      <c r="B105" s="45" t="str">
        <f>IF(Base!F103="","",Base!F103)</f>
        <v>SERGIO SEGUNDO  MARDONES  ALVARADO</v>
      </c>
      <c r="C105" s="45" t="str">
        <f>IF(Base!I103="","",Base!I103)</f>
        <v>Abastecimiento</v>
      </c>
      <c r="D105" s="46" t="str">
        <f>IF(Base!J103="","",Base!J103)</f>
        <v>Suministro de Líneas</v>
      </c>
      <c r="E105" s="45">
        <f>IF(Base!H103="","",Base!H103)</f>
        <v>1050633</v>
      </c>
      <c r="J105" s="53">
        <v>95</v>
      </c>
      <c r="K105" s="74" t="s">
        <v>985</v>
      </c>
      <c r="L105" s="55" t="str">
        <f t="shared" si="31"/>
        <v>MARCELINO JHONATTAN  SANCHEZ  TORRES</v>
      </c>
      <c r="M105" s="55">
        <f t="shared" si="32"/>
        <v>1050126</v>
      </c>
      <c r="N105" s="56" t="str">
        <f t="shared" si="33"/>
        <v>Abastecimiento</v>
      </c>
      <c r="O105" s="56" t="str">
        <f t="shared" si="34"/>
        <v>Control Ingresos Cen</v>
      </c>
      <c r="P105" s="57" t="s">
        <v>1330</v>
      </c>
      <c r="Q105" s="63"/>
      <c r="R105" s="53"/>
      <c r="S105" s="63"/>
      <c r="T105" s="53"/>
      <c r="U105" s="63"/>
      <c r="V105" s="53"/>
      <c r="W105" s="63"/>
      <c r="X105" s="53"/>
      <c r="Y105" s="63"/>
      <c r="Z105" s="53"/>
      <c r="AA105" s="63"/>
      <c r="AB105" s="53"/>
      <c r="AC105" s="63"/>
      <c r="AD105" s="53"/>
      <c r="AE105" s="60">
        <f t="shared" si="43"/>
        <v>0</v>
      </c>
      <c r="AF105" s="60">
        <f t="shared" si="43"/>
        <v>0</v>
      </c>
      <c r="AG105" s="61"/>
      <c r="AL105" s="45" t="str">
        <f t="shared" si="35"/>
        <v>13.701.209-K</v>
      </c>
      <c r="AM105" s="45">
        <v>96</v>
      </c>
      <c r="AN105" s="45">
        <f t="shared" si="36"/>
        <v>0</v>
      </c>
      <c r="AO105" s="45">
        <f t="shared" si="37"/>
        <v>0</v>
      </c>
      <c r="AP105" s="45">
        <f t="shared" si="38"/>
        <v>0</v>
      </c>
      <c r="AQ105" s="45">
        <f t="shared" si="39"/>
        <v>0</v>
      </c>
      <c r="AR105" s="45">
        <f t="shared" si="40"/>
        <v>0</v>
      </c>
      <c r="AS105" s="45">
        <f t="shared" si="41"/>
        <v>0</v>
      </c>
      <c r="AT105" s="45">
        <f t="shared" si="42"/>
        <v>0</v>
      </c>
      <c r="AU105" s="62" t="str">
        <f t="shared" si="30"/>
        <v/>
      </c>
    </row>
    <row r="106" spans="1:47" ht="13.5">
      <c r="A106" s="45" t="str">
        <f>IF(Base!B104="","",Base!B104)</f>
        <v>13.835.848-8</v>
      </c>
      <c r="B106" s="45" t="str">
        <f>IF(Base!F104="","",Base!F104)</f>
        <v>MARION RAQUEL  MARIN  MOSCOSO</v>
      </c>
      <c r="C106" s="45" t="str">
        <f>IF(Base!I104="","",Base!I104)</f>
        <v>Abastecimiento</v>
      </c>
      <c r="D106" s="46" t="str">
        <f>IF(Base!J104="","",Base!J104)</f>
        <v>Almacen Insumos Pque</v>
      </c>
      <c r="E106" s="45">
        <f>IF(Base!H104="","",Base!H104)</f>
        <v>1050581</v>
      </c>
      <c r="J106" s="53">
        <v>96</v>
      </c>
      <c r="K106" s="74" t="s">
        <v>997</v>
      </c>
      <c r="L106" s="55" t="str">
        <f t="shared" si="31"/>
        <v>LORENZO ARTURO  SANDOVAL  ALTAMIRANO</v>
      </c>
      <c r="M106" s="55">
        <f t="shared" si="32"/>
        <v>1050581</v>
      </c>
      <c r="N106" s="56" t="str">
        <f t="shared" si="33"/>
        <v>Abastecimiento</v>
      </c>
      <c r="O106" s="56" t="str">
        <f t="shared" si="34"/>
        <v>Almacen Insumos Pque</v>
      </c>
      <c r="P106" s="57" t="s">
        <v>6</v>
      </c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0">
        <f t="shared" si="43"/>
        <v>0</v>
      </c>
      <c r="AF106" s="60">
        <f t="shared" si="43"/>
        <v>0</v>
      </c>
      <c r="AG106" s="61"/>
      <c r="AL106" s="45" t="str">
        <f t="shared" si="35"/>
        <v>16.691.386-1</v>
      </c>
      <c r="AM106" s="45">
        <v>97</v>
      </c>
      <c r="AN106" s="45">
        <f t="shared" si="36"/>
        <v>0</v>
      </c>
      <c r="AO106" s="45">
        <f t="shared" si="37"/>
        <v>0</v>
      </c>
      <c r="AP106" s="45">
        <f t="shared" si="38"/>
        <v>0</v>
      </c>
      <c r="AQ106" s="45">
        <f t="shared" si="39"/>
        <v>0</v>
      </c>
      <c r="AR106" s="45">
        <f t="shared" si="40"/>
        <v>0</v>
      </c>
      <c r="AS106" s="45">
        <f t="shared" si="41"/>
        <v>0</v>
      </c>
      <c r="AT106" s="45">
        <f t="shared" si="42"/>
        <v>0</v>
      </c>
      <c r="AU106" s="62" t="str">
        <f t="shared" si="30"/>
        <v/>
      </c>
    </row>
    <row r="107" spans="1:47" ht="13.5">
      <c r="A107" s="45" t="str">
        <f>IF(Base!B105="","",Base!B105)</f>
        <v>13.077.995-6</v>
      </c>
      <c r="B107" s="45" t="str">
        <f>IF(Base!F105="","",Base!F105)</f>
        <v>FRANCISCO ANTONIO  MARTINEZ  OSSES</v>
      </c>
      <c r="C107" s="45" t="str">
        <f>IF(Base!I105="","",Base!I105)</f>
        <v xml:space="preserve">Setup </v>
      </c>
      <c r="D107" s="46" t="str">
        <f>IF(Base!J105="","",Base!J105)</f>
        <v xml:space="preserve">Setup </v>
      </c>
      <c r="E107" s="45">
        <f>IF(Base!H105="","",Base!H105)</f>
        <v>1050529</v>
      </c>
      <c r="J107" s="53">
        <v>97</v>
      </c>
      <c r="K107" s="74" t="s">
        <v>993</v>
      </c>
      <c r="L107" s="55" t="str">
        <f t="shared" si="31"/>
        <v>VICTOR H.  SANDOVAL  ACUÑA</v>
      </c>
      <c r="M107" s="55">
        <f t="shared" si="32"/>
        <v>1050633</v>
      </c>
      <c r="N107" s="56" t="str">
        <f t="shared" si="33"/>
        <v>Abastecimiento</v>
      </c>
      <c r="O107" s="56" t="str">
        <f t="shared" si="34"/>
        <v>Suministro de Líneas</v>
      </c>
      <c r="P107" s="57" t="s">
        <v>1330</v>
      </c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0">
        <f t="shared" si="43"/>
        <v>0</v>
      </c>
      <c r="AF107" s="60">
        <f t="shared" si="43"/>
        <v>0</v>
      </c>
      <c r="AG107" s="61"/>
      <c r="AL107" s="45" t="str">
        <f t="shared" si="35"/>
        <v>08.618.882-1</v>
      </c>
      <c r="AM107" s="45">
        <v>98</v>
      </c>
      <c r="AN107" s="45">
        <f t="shared" si="36"/>
        <v>0</v>
      </c>
      <c r="AO107" s="45">
        <f t="shared" si="37"/>
        <v>0</v>
      </c>
      <c r="AP107" s="45">
        <f t="shared" si="38"/>
        <v>0</v>
      </c>
      <c r="AQ107" s="45">
        <f t="shared" si="39"/>
        <v>0</v>
      </c>
      <c r="AR107" s="45">
        <f t="shared" si="40"/>
        <v>0</v>
      </c>
      <c r="AS107" s="45">
        <f t="shared" si="41"/>
        <v>0</v>
      </c>
      <c r="AT107" s="45">
        <f t="shared" si="42"/>
        <v>0</v>
      </c>
      <c r="AU107" s="62" t="str">
        <f t="shared" si="30"/>
        <v/>
      </c>
    </row>
    <row r="108" spans="1:47" ht="13.5">
      <c r="A108" s="45" t="str">
        <f>IF(Base!B106="","",Base!B106)</f>
        <v>14.005.554-9</v>
      </c>
      <c r="B108" s="45" t="str">
        <f>IF(Base!F106="","",Base!F106)</f>
        <v>LUIS  MATURANA  SANDOVAL</v>
      </c>
      <c r="C108" s="45" t="str">
        <f>IF(Base!I106="","",Base!I106)</f>
        <v>Linea 3</v>
      </c>
      <c r="D108" s="46" t="str">
        <f>IF(Base!J106="","",Base!J106)</f>
        <v>Embalador</v>
      </c>
      <c r="E108" s="45">
        <f>IF(Base!H106="","",Base!H106)</f>
        <v>1050556</v>
      </c>
      <c r="J108" s="53">
        <v>98</v>
      </c>
      <c r="K108" s="74" t="s">
        <v>1011</v>
      </c>
      <c r="L108" s="55" t="str">
        <f t="shared" si="31"/>
        <v>MAGALY ANDREA  SEPULVEDA  ARAVENA</v>
      </c>
      <c r="M108" s="55">
        <f t="shared" si="32"/>
        <v>1050127</v>
      </c>
      <c r="N108" s="56" t="str">
        <f t="shared" si="33"/>
        <v>Abastecimiento</v>
      </c>
      <c r="O108" s="56" t="str">
        <f t="shared" si="34"/>
        <v>Preparación de Insum</v>
      </c>
      <c r="P108" s="57" t="s">
        <v>1332</v>
      </c>
      <c r="Q108" s="63"/>
      <c r="R108" s="53">
        <v>7.5</v>
      </c>
      <c r="S108" s="63"/>
      <c r="T108" s="53"/>
      <c r="U108" s="63"/>
      <c r="V108" s="53"/>
      <c r="W108" s="63"/>
      <c r="X108" s="53"/>
      <c r="Y108" s="63"/>
      <c r="Z108" s="53"/>
      <c r="AA108" s="63"/>
      <c r="AB108" s="53"/>
      <c r="AC108" s="63"/>
      <c r="AD108" s="53"/>
      <c r="AE108" s="60">
        <f t="shared" si="43"/>
        <v>0</v>
      </c>
      <c r="AF108" s="60">
        <f t="shared" si="43"/>
        <v>7.5</v>
      </c>
      <c r="AG108" s="61"/>
      <c r="AL108" s="45" t="str">
        <f t="shared" si="35"/>
        <v>13.079.999-K</v>
      </c>
      <c r="AM108" s="45">
        <v>99</v>
      </c>
      <c r="AN108" s="45">
        <f t="shared" si="36"/>
        <v>7.5</v>
      </c>
      <c r="AO108" s="45">
        <f t="shared" si="37"/>
        <v>0</v>
      </c>
      <c r="AP108" s="45">
        <f t="shared" si="38"/>
        <v>0</v>
      </c>
      <c r="AQ108" s="45">
        <f t="shared" si="39"/>
        <v>0</v>
      </c>
      <c r="AR108" s="45">
        <f t="shared" si="40"/>
        <v>0</v>
      </c>
      <c r="AS108" s="45">
        <f t="shared" si="41"/>
        <v>0</v>
      </c>
      <c r="AT108" s="45">
        <f t="shared" si="42"/>
        <v>0</v>
      </c>
      <c r="AU108" s="62">
        <f t="shared" si="30"/>
        <v>7.5</v>
      </c>
    </row>
    <row r="109" spans="1:47" ht="13.5">
      <c r="A109" s="45" t="str">
        <f>IF(Base!B107="","",Base!B107)</f>
        <v>10.157.067-3</v>
      </c>
      <c r="B109" s="45" t="str">
        <f>IF(Base!F107="","",Base!F107)</f>
        <v>MIGUEL ALBERTO  MELLA  FRIAS</v>
      </c>
      <c r="C109" s="45" t="str">
        <f>IF(Base!I107="","",Base!I107)</f>
        <v>Abastecimiento</v>
      </c>
      <c r="D109" s="46" t="str">
        <f>IF(Base!J107="","",Base!J107)</f>
        <v>Control Ingresos Cen</v>
      </c>
      <c r="E109" s="45">
        <f>IF(Base!H107="","",Base!H107)</f>
        <v>1050126</v>
      </c>
      <c r="J109" s="53">
        <v>99</v>
      </c>
      <c r="K109" s="74" t="s">
        <v>1034</v>
      </c>
      <c r="L109" s="55" t="str">
        <f t="shared" si="31"/>
        <v>ORLANDINO GUMERCINDO  TAPIA  OLIVARES</v>
      </c>
      <c r="M109" s="55">
        <f t="shared" si="32"/>
        <v>1050633</v>
      </c>
      <c r="N109" s="56" t="str">
        <f t="shared" si="33"/>
        <v>Abastecimiento</v>
      </c>
      <c r="O109" s="56" t="str">
        <f t="shared" si="34"/>
        <v>Suministro de Líneas</v>
      </c>
      <c r="P109" s="57" t="s">
        <v>6</v>
      </c>
      <c r="Q109" s="63"/>
      <c r="R109" s="53"/>
      <c r="S109" s="63"/>
      <c r="T109" s="53"/>
      <c r="U109" s="63"/>
      <c r="V109" s="53"/>
      <c r="W109" s="63"/>
      <c r="X109" s="53"/>
      <c r="Y109" s="63"/>
      <c r="Z109" s="53"/>
      <c r="AA109" s="63"/>
      <c r="AB109" s="53"/>
      <c r="AC109" s="63"/>
      <c r="AD109" s="53"/>
      <c r="AE109" s="60">
        <f t="shared" si="43"/>
        <v>0</v>
      </c>
      <c r="AF109" s="60">
        <f t="shared" si="43"/>
        <v>0</v>
      </c>
      <c r="AG109" s="61"/>
      <c r="AL109" s="45" t="str">
        <f t="shared" si="35"/>
        <v>06.467.952-K</v>
      </c>
      <c r="AM109" s="45">
        <v>100</v>
      </c>
      <c r="AN109" s="45">
        <f t="shared" si="36"/>
        <v>0</v>
      </c>
      <c r="AO109" s="45">
        <f t="shared" si="37"/>
        <v>0</v>
      </c>
      <c r="AP109" s="45">
        <f t="shared" si="38"/>
        <v>0</v>
      </c>
      <c r="AQ109" s="45">
        <f t="shared" si="39"/>
        <v>0</v>
      </c>
      <c r="AR109" s="45">
        <f t="shared" si="40"/>
        <v>0</v>
      </c>
      <c r="AS109" s="45">
        <f t="shared" si="41"/>
        <v>0</v>
      </c>
      <c r="AT109" s="45">
        <f t="shared" si="42"/>
        <v>0</v>
      </c>
      <c r="AU109" s="62" t="str">
        <f t="shared" si="30"/>
        <v/>
      </c>
    </row>
    <row r="110" spans="1:47" ht="13.5">
      <c r="A110" s="45" t="str">
        <f>IF(Base!B108="","",Base!B108)</f>
        <v>17.755.770-6</v>
      </c>
      <c r="B110" s="45" t="str">
        <f>IF(Base!F108="","",Base!F108)</f>
        <v>CRISTIAN EDUARDO  MEZA  MEZA</v>
      </c>
      <c r="C110" s="45" t="str">
        <f>IF(Base!I108="","",Base!I108)</f>
        <v>Linea 7</v>
      </c>
      <c r="D110" s="46" t="str">
        <f>IF(Base!J108="","",Base!J108)</f>
        <v>Despalletizador</v>
      </c>
      <c r="E110" s="45">
        <f>IF(Base!H108="","",Base!H108)</f>
        <v>1050615</v>
      </c>
      <c r="J110" s="53">
        <v>100</v>
      </c>
      <c r="K110" s="74" t="s">
        <v>1068</v>
      </c>
      <c r="L110" s="55" t="str">
        <f t="shared" si="31"/>
        <v>MARCO ANTONIO  VARGAS  MORENO</v>
      </c>
      <c r="M110" s="55">
        <f t="shared" si="32"/>
        <v>1050633</v>
      </c>
      <c r="N110" s="56" t="str">
        <f t="shared" si="33"/>
        <v>Abastecimiento</v>
      </c>
      <c r="O110" s="56" t="str">
        <f t="shared" si="34"/>
        <v>Suministro de Líneas</v>
      </c>
      <c r="P110" s="57" t="s">
        <v>1330</v>
      </c>
      <c r="Q110" s="63"/>
      <c r="R110" s="53"/>
      <c r="S110" s="63"/>
      <c r="T110" s="53"/>
      <c r="U110" s="63"/>
      <c r="V110" s="53"/>
      <c r="W110" s="63"/>
      <c r="X110" s="53"/>
      <c r="Y110" s="63"/>
      <c r="Z110" s="53"/>
      <c r="AA110" s="63"/>
      <c r="AB110" s="53"/>
      <c r="AC110" s="63"/>
      <c r="AD110" s="53"/>
      <c r="AE110" s="60">
        <f t="shared" si="43"/>
        <v>0</v>
      </c>
      <c r="AF110" s="60">
        <f t="shared" si="43"/>
        <v>0</v>
      </c>
      <c r="AG110" s="61"/>
      <c r="AL110" s="45" t="str">
        <f t="shared" si="35"/>
        <v>10.572.816-6</v>
      </c>
      <c r="AM110" s="45">
        <v>101</v>
      </c>
      <c r="AN110" s="45">
        <f t="shared" si="36"/>
        <v>0</v>
      </c>
      <c r="AO110" s="45">
        <f t="shared" si="37"/>
        <v>0</v>
      </c>
      <c r="AP110" s="45">
        <f t="shared" si="38"/>
        <v>0</v>
      </c>
      <c r="AQ110" s="45">
        <f t="shared" si="39"/>
        <v>0</v>
      </c>
      <c r="AR110" s="45">
        <f t="shared" si="40"/>
        <v>0</v>
      </c>
      <c r="AS110" s="45">
        <f t="shared" si="41"/>
        <v>0</v>
      </c>
      <c r="AT110" s="45">
        <f t="shared" si="42"/>
        <v>0</v>
      </c>
      <c r="AU110" s="62" t="str">
        <f t="shared" si="30"/>
        <v/>
      </c>
    </row>
    <row r="111" spans="1:47" ht="13.5">
      <c r="A111" s="45" t="str">
        <f>IF(Base!B109="","",Base!B109)</f>
        <v>13.834.251-4</v>
      </c>
      <c r="B111" s="45" t="str">
        <f>IF(Base!F109="","",Base!F109)</f>
        <v>MARIA ELIANA  MILLAN  HERRERA</v>
      </c>
      <c r="C111" s="45" t="str">
        <f>IF(Base!I109="","",Base!I109)</f>
        <v>Abastecimiento</v>
      </c>
      <c r="D111" s="46" t="str">
        <f>IF(Base!J109="","",Base!J109)</f>
        <v>Suministro de Líneas</v>
      </c>
      <c r="E111" s="45">
        <f>IF(Base!H109="","",Base!H109)</f>
        <v>1050633</v>
      </c>
      <c r="J111" s="53">
        <v>101</v>
      </c>
      <c r="K111" s="54"/>
      <c r="L111" s="55" t="str">
        <f t="shared" si="31"/>
        <v/>
      </c>
      <c r="M111" s="55" t="str">
        <f t="shared" si="32"/>
        <v/>
      </c>
      <c r="N111" s="56" t="str">
        <f t="shared" si="33"/>
        <v/>
      </c>
      <c r="O111" s="56" t="str">
        <f t="shared" si="34"/>
        <v/>
      </c>
      <c r="P111" s="57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0">
        <f t="shared" si="43"/>
        <v>0</v>
      </c>
      <c r="AF111" s="60">
        <f t="shared" si="43"/>
        <v>0</v>
      </c>
      <c r="AG111" s="61"/>
      <c r="AL111" s="45" t="str">
        <f t="shared" si="35"/>
        <v/>
      </c>
      <c r="AM111" s="45">
        <v>102</v>
      </c>
      <c r="AN111" s="45">
        <f t="shared" si="36"/>
        <v>0</v>
      </c>
      <c r="AO111" s="45">
        <f t="shared" si="37"/>
        <v>0</v>
      </c>
      <c r="AP111" s="45">
        <f t="shared" si="38"/>
        <v>0</v>
      </c>
      <c r="AQ111" s="45">
        <f t="shared" si="39"/>
        <v>0</v>
      </c>
      <c r="AR111" s="45">
        <f t="shared" si="40"/>
        <v>0</v>
      </c>
      <c r="AS111" s="45">
        <f t="shared" si="41"/>
        <v>0</v>
      </c>
      <c r="AT111" s="45">
        <f t="shared" si="42"/>
        <v>0</v>
      </c>
      <c r="AU111" s="62" t="str">
        <f t="shared" si="30"/>
        <v/>
      </c>
    </row>
    <row r="112" spans="1:47" ht="13.5">
      <c r="A112" s="45" t="str">
        <f>IF(Base!B110="","",Base!B110)</f>
        <v>16.266.873-0</v>
      </c>
      <c r="B112" s="45" t="str">
        <f>IF(Base!F110="","",Base!F110)</f>
        <v>CARLOS  MONTANARES  MONTANARES</v>
      </c>
      <c r="C112" s="45" t="str">
        <f>IF(Base!I110="","",Base!I110)</f>
        <v>Linea 3</v>
      </c>
      <c r="D112" s="46" t="str">
        <f>IF(Base!J110="","",Base!J110)</f>
        <v>Despalletizador</v>
      </c>
      <c r="E112" s="45">
        <f>IF(Base!H110="","",Base!H110)</f>
        <v>1050555</v>
      </c>
      <c r="J112" s="53">
        <v>102</v>
      </c>
      <c r="K112" s="54"/>
      <c r="L112" s="55" t="str">
        <f t="shared" si="31"/>
        <v/>
      </c>
      <c r="M112" s="55" t="str">
        <f t="shared" si="32"/>
        <v/>
      </c>
      <c r="N112" s="56" t="str">
        <f t="shared" si="33"/>
        <v/>
      </c>
      <c r="O112" s="56" t="str">
        <f t="shared" si="34"/>
        <v/>
      </c>
      <c r="P112" s="57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0">
        <f t="shared" si="43"/>
        <v>0</v>
      </c>
      <c r="AF112" s="60">
        <f t="shared" si="43"/>
        <v>0</v>
      </c>
      <c r="AG112" s="61"/>
      <c r="AL112" s="45" t="str">
        <f t="shared" si="35"/>
        <v/>
      </c>
      <c r="AM112" s="45">
        <v>103</v>
      </c>
      <c r="AN112" s="45">
        <f t="shared" si="36"/>
        <v>0</v>
      </c>
      <c r="AO112" s="45">
        <f t="shared" si="37"/>
        <v>0</v>
      </c>
      <c r="AP112" s="45">
        <f t="shared" si="38"/>
        <v>0</v>
      </c>
      <c r="AQ112" s="45">
        <f t="shared" si="39"/>
        <v>0</v>
      </c>
      <c r="AR112" s="45">
        <f t="shared" si="40"/>
        <v>0</v>
      </c>
      <c r="AS112" s="45">
        <f t="shared" si="41"/>
        <v>0</v>
      </c>
      <c r="AT112" s="45">
        <f t="shared" si="42"/>
        <v>0</v>
      </c>
      <c r="AU112" s="62" t="str">
        <f t="shared" si="30"/>
        <v/>
      </c>
    </row>
    <row r="113" spans="1:47" ht="13.5">
      <c r="A113" s="45" t="str">
        <f>IF(Base!B111="","",Base!B111)</f>
        <v>10.407.614-9</v>
      </c>
      <c r="B113" s="45" t="str">
        <f>IF(Base!F111="","",Base!F111)</f>
        <v>CARLOS ALEJANDRO  MORA  MORA</v>
      </c>
      <c r="C113" s="45" t="str">
        <f>IF(Base!I111="","",Base!I111)</f>
        <v>Abastecimiento</v>
      </c>
      <c r="D113" s="46" t="str">
        <f>IF(Base!J111="","",Base!J111)</f>
        <v>Preparación de Insum</v>
      </c>
      <c r="E113" s="45">
        <f>IF(Base!H111="","",Base!H111)</f>
        <v>1050127</v>
      </c>
      <c r="J113" s="53">
        <v>103</v>
      </c>
      <c r="K113" s="54"/>
      <c r="L113" s="55" t="str">
        <f t="shared" si="31"/>
        <v/>
      </c>
      <c r="M113" s="55" t="str">
        <f t="shared" si="32"/>
        <v/>
      </c>
      <c r="N113" s="56" t="str">
        <f t="shared" si="33"/>
        <v/>
      </c>
      <c r="O113" s="56" t="str">
        <f t="shared" si="34"/>
        <v/>
      </c>
      <c r="P113" s="57"/>
      <c r="Q113" s="63"/>
      <c r="R113" s="53"/>
      <c r="S113" s="63"/>
      <c r="T113" s="53"/>
      <c r="U113" s="63"/>
      <c r="V113" s="53"/>
      <c r="W113" s="63"/>
      <c r="X113" s="53"/>
      <c r="Y113" s="63"/>
      <c r="Z113" s="53"/>
      <c r="AA113" s="63"/>
      <c r="AB113" s="53"/>
      <c r="AC113" s="63"/>
      <c r="AD113" s="53"/>
      <c r="AE113" s="60">
        <f t="shared" si="43"/>
        <v>0</v>
      </c>
      <c r="AF113" s="60">
        <f t="shared" si="43"/>
        <v>0</v>
      </c>
      <c r="AG113" s="61"/>
      <c r="AL113" s="45" t="str">
        <f t="shared" si="35"/>
        <v/>
      </c>
      <c r="AM113" s="45">
        <v>104</v>
      </c>
      <c r="AN113" s="45">
        <f t="shared" si="36"/>
        <v>0</v>
      </c>
      <c r="AO113" s="45">
        <f t="shared" si="37"/>
        <v>0</v>
      </c>
      <c r="AP113" s="45">
        <f t="shared" si="38"/>
        <v>0</v>
      </c>
      <c r="AQ113" s="45">
        <f t="shared" si="39"/>
        <v>0</v>
      </c>
      <c r="AR113" s="45">
        <f t="shared" si="40"/>
        <v>0</v>
      </c>
      <c r="AS113" s="45">
        <f t="shared" si="41"/>
        <v>0</v>
      </c>
      <c r="AT113" s="45">
        <f t="shared" si="42"/>
        <v>0</v>
      </c>
      <c r="AU113" s="62" t="str">
        <f t="shared" si="30"/>
        <v/>
      </c>
    </row>
    <row r="114" spans="1:47" ht="13.5">
      <c r="A114" s="45" t="str">
        <f>IF(Base!B112="","",Base!B112)</f>
        <v>13.700.526-3</v>
      </c>
      <c r="B114" s="45" t="str">
        <f>IF(Base!F112="","",Base!F112)</f>
        <v>PATRICIO  MORALES  NUÑEZ</v>
      </c>
      <c r="C114" s="45" t="str">
        <f>IF(Base!I112="","",Base!I112)</f>
        <v>Linea 7</v>
      </c>
      <c r="D114" s="46" t="str">
        <f>IF(Base!J112="","",Base!J112)</f>
        <v>Llenador</v>
      </c>
      <c r="E114" s="45">
        <f>IF(Base!H112="","",Base!H112)</f>
        <v>1050615</v>
      </c>
      <c r="J114" s="53">
        <v>104</v>
      </c>
      <c r="K114" s="54"/>
      <c r="L114" s="55" t="str">
        <f t="shared" si="31"/>
        <v/>
      </c>
      <c r="M114" s="55" t="str">
        <f t="shared" si="32"/>
        <v/>
      </c>
      <c r="N114" s="56" t="str">
        <f t="shared" si="33"/>
        <v/>
      </c>
      <c r="O114" s="56" t="str">
        <f t="shared" si="34"/>
        <v/>
      </c>
      <c r="P114" s="57"/>
      <c r="Q114" s="63"/>
      <c r="R114" s="53"/>
      <c r="S114" s="63"/>
      <c r="T114" s="53"/>
      <c r="U114" s="63"/>
      <c r="V114" s="53"/>
      <c r="W114" s="63"/>
      <c r="X114" s="53"/>
      <c r="Y114" s="63"/>
      <c r="Z114" s="53"/>
      <c r="AA114" s="63"/>
      <c r="AB114" s="53"/>
      <c r="AC114" s="63"/>
      <c r="AD114" s="53"/>
      <c r="AE114" s="60">
        <f t="shared" si="43"/>
        <v>0</v>
      </c>
      <c r="AF114" s="60">
        <f t="shared" si="43"/>
        <v>0</v>
      </c>
      <c r="AG114" s="61"/>
      <c r="AL114" s="45" t="str">
        <f t="shared" si="35"/>
        <v/>
      </c>
      <c r="AM114" s="45">
        <v>105</v>
      </c>
      <c r="AN114" s="45">
        <f t="shared" si="36"/>
        <v>0</v>
      </c>
      <c r="AO114" s="45">
        <f t="shared" si="37"/>
        <v>0</v>
      </c>
      <c r="AP114" s="45">
        <f t="shared" si="38"/>
        <v>0</v>
      </c>
      <c r="AQ114" s="45">
        <f t="shared" si="39"/>
        <v>0</v>
      </c>
      <c r="AR114" s="45">
        <f t="shared" si="40"/>
        <v>0</v>
      </c>
      <c r="AS114" s="45">
        <f t="shared" si="41"/>
        <v>0</v>
      </c>
      <c r="AT114" s="45">
        <f t="shared" si="42"/>
        <v>0</v>
      </c>
      <c r="AU114" s="62" t="str">
        <f t="shared" si="30"/>
        <v/>
      </c>
    </row>
    <row r="115" spans="1:47" ht="13.5">
      <c r="A115" s="45" t="str">
        <f>IF(Base!B113="","",Base!B113)</f>
        <v>12.690.098-8</v>
      </c>
      <c r="B115" s="45" t="str">
        <f>IF(Base!F113="","",Base!F113)</f>
        <v>RODRIGO  MORALES  OLGUIN</v>
      </c>
      <c r="C115" s="45" t="str">
        <f>IF(Base!I113="","",Base!I113)</f>
        <v>Linea 6</v>
      </c>
      <c r="D115" s="46" t="str">
        <f>IF(Base!J113="","",Base!J113)</f>
        <v>Etiquetador</v>
      </c>
      <c r="E115" s="45">
        <f>IF(Base!H113="","",Base!H113)</f>
        <v>1050610</v>
      </c>
      <c r="J115" s="53">
        <v>105</v>
      </c>
      <c r="K115" s="54"/>
      <c r="L115" s="55" t="str">
        <f t="shared" si="31"/>
        <v/>
      </c>
      <c r="M115" s="55" t="str">
        <f t="shared" si="32"/>
        <v/>
      </c>
      <c r="N115" s="56" t="str">
        <f t="shared" si="33"/>
        <v/>
      </c>
      <c r="O115" s="56" t="str">
        <f t="shared" si="34"/>
        <v/>
      </c>
      <c r="P115" s="57"/>
      <c r="Q115" s="63"/>
      <c r="R115" s="53"/>
      <c r="S115" s="63"/>
      <c r="T115" s="53"/>
      <c r="U115" s="63"/>
      <c r="V115" s="53"/>
      <c r="W115" s="63"/>
      <c r="X115" s="53"/>
      <c r="Y115" s="63"/>
      <c r="Z115" s="53"/>
      <c r="AA115" s="63"/>
      <c r="AB115" s="53"/>
      <c r="AC115" s="63"/>
      <c r="AD115" s="53"/>
      <c r="AE115" s="60">
        <f t="shared" si="43"/>
        <v>0</v>
      </c>
      <c r="AF115" s="60">
        <f t="shared" si="43"/>
        <v>0</v>
      </c>
      <c r="AG115" s="61"/>
      <c r="AL115" s="45" t="str">
        <f t="shared" si="35"/>
        <v/>
      </c>
      <c r="AM115" s="45">
        <v>106</v>
      </c>
      <c r="AN115" s="45">
        <f t="shared" si="36"/>
        <v>0</v>
      </c>
      <c r="AO115" s="45">
        <f t="shared" si="37"/>
        <v>0</v>
      </c>
      <c r="AP115" s="45">
        <f t="shared" si="38"/>
        <v>0</v>
      </c>
      <c r="AQ115" s="45">
        <f t="shared" si="39"/>
        <v>0</v>
      </c>
      <c r="AR115" s="45">
        <f t="shared" si="40"/>
        <v>0</v>
      </c>
      <c r="AS115" s="45">
        <f t="shared" si="41"/>
        <v>0</v>
      </c>
      <c r="AT115" s="45">
        <f t="shared" si="42"/>
        <v>0</v>
      </c>
      <c r="AU115" s="62" t="str">
        <f t="shared" si="30"/>
        <v/>
      </c>
    </row>
    <row r="116" spans="1:47" ht="13.5">
      <c r="A116" s="45" t="str">
        <f>IF(Base!B114="","",Base!B114)</f>
        <v>08.585.356-2</v>
      </c>
      <c r="B116" s="45" t="str">
        <f>IF(Base!F114="","",Base!F114)</f>
        <v>OSCAR E.  MORALES  ZAPATA</v>
      </c>
      <c r="C116" s="45" t="str">
        <f>IF(Base!I114="","",Base!I114)</f>
        <v>Supervisor</v>
      </c>
      <c r="D116" s="46" t="str">
        <f>IF(Base!J114="","",Base!J114)</f>
        <v>Supervisor</v>
      </c>
      <c r="E116" s="45">
        <f>IF(Base!H114="","",Base!H114)</f>
        <v>1050603</v>
      </c>
      <c r="J116" s="53">
        <v>106</v>
      </c>
      <c r="K116" s="54"/>
      <c r="L116" s="55" t="str">
        <f t="shared" si="31"/>
        <v/>
      </c>
      <c r="M116" s="55" t="str">
        <f t="shared" si="32"/>
        <v/>
      </c>
      <c r="N116" s="56" t="str">
        <f t="shared" si="33"/>
        <v/>
      </c>
      <c r="O116" s="56" t="str">
        <f t="shared" si="34"/>
        <v/>
      </c>
      <c r="P116" s="57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0">
        <f t="shared" si="43"/>
        <v>0</v>
      </c>
      <c r="AF116" s="60">
        <f t="shared" si="43"/>
        <v>0</v>
      </c>
      <c r="AG116" s="61"/>
      <c r="AL116" s="45" t="str">
        <f t="shared" si="35"/>
        <v/>
      </c>
      <c r="AM116" s="45">
        <v>107</v>
      </c>
      <c r="AN116" s="45">
        <f t="shared" si="36"/>
        <v>0</v>
      </c>
      <c r="AO116" s="45">
        <f t="shared" si="37"/>
        <v>0</v>
      </c>
      <c r="AP116" s="45">
        <f t="shared" si="38"/>
        <v>0</v>
      </c>
      <c r="AQ116" s="45">
        <f t="shared" si="39"/>
        <v>0</v>
      </c>
      <c r="AR116" s="45">
        <f t="shared" si="40"/>
        <v>0</v>
      </c>
      <c r="AS116" s="45">
        <f t="shared" si="41"/>
        <v>0</v>
      </c>
      <c r="AT116" s="45">
        <f t="shared" si="42"/>
        <v>0</v>
      </c>
      <c r="AU116" s="62" t="str">
        <f t="shared" si="30"/>
        <v/>
      </c>
    </row>
    <row r="117" spans="1:47" ht="13.5">
      <c r="A117" s="45" t="str">
        <f>IF(Base!B115="","",Base!B115)</f>
        <v>11.994.656-5</v>
      </c>
      <c r="B117" s="45" t="str">
        <f>IF(Base!F115="","",Base!F115)</f>
        <v>MARIA E  MOSCOSO  LOPEZ</v>
      </c>
      <c r="C117" s="45" t="str">
        <f>IF(Base!I115="","",Base!I115)</f>
        <v>Control y Gestión</v>
      </c>
      <c r="D117" s="46" t="str">
        <f>IF(Base!J115="","",Base!J115)</f>
        <v>Secretaria operaciones</v>
      </c>
      <c r="E117" s="45">
        <f>IF(Base!H115="","",Base!H115)</f>
        <v>1050632</v>
      </c>
      <c r="J117" s="53">
        <v>107</v>
      </c>
      <c r="K117" s="54"/>
      <c r="L117" s="55" t="str">
        <f t="shared" si="31"/>
        <v/>
      </c>
      <c r="M117" s="55" t="str">
        <f t="shared" si="32"/>
        <v/>
      </c>
      <c r="N117" s="56" t="str">
        <f t="shared" si="33"/>
        <v/>
      </c>
      <c r="O117" s="56" t="str">
        <f t="shared" si="34"/>
        <v/>
      </c>
      <c r="P117" s="57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0">
        <f t="shared" si="43"/>
        <v>0</v>
      </c>
      <c r="AF117" s="60">
        <f t="shared" si="43"/>
        <v>0</v>
      </c>
      <c r="AG117" s="61"/>
      <c r="AL117" s="45" t="str">
        <f t="shared" si="35"/>
        <v/>
      </c>
      <c r="AM117" s="45">
        <v>108</v>
      </c>
      <c r="AN117" s="45">
        <f t="shared" si="36"/>
        <v>0</v>
      </c>
      <c r="AO117" s="45">
        <f t="shared" si="37"/>
        <v>0</v>
      </c>
      <c r="AP117" s="45">
        <f t="shared" si="38"/>
        <v>0</v>
      </c>
      <c r="AQ117" s="45">
        <f t="shared" si="39"/>
        <v>0</v>
      </c>
      <c r="AR117" s="45">
        <f t="shared" si="40"/>
        <v>0</v>
      </c>
      <c r="AS117" s="45">
        <f t="shared" si="41"/>
        <v>0</v>
      </c>
      <c r="AT117" s="45">
        <f t="shared" si="42"/>
        <v>0</v>
      </c>
      <c r="AU117" s="62" t="str">
        <f t="shared" si="30"/>
        <v/>
      </c>
    </row>
    <row r="118" spans="1:47" ht="13.5">
      <c r="A118" s="45" t="str">
        <f>IF(Base!B116="","",Base!B116)</f>
        <v>13.552.988-5</v>
      </c>
      <c r="B118" s="45" t="str">
        <f>IF(Base!F116="","",Base!F116)</f>
        <v>DAVID  MOYA  BEROIZA</v>
      </c>
      <c r="C118" s="45" t="str">
        <f>IF(Base!I116="","",Base!I116)</f>
        <v>Linea 7</v>
      </c>
      <c r="D118" s="46" t="str">
        <f>IF(Base!J116="","",Base!J116)</f>
        <v>Despalletizador</v>
      </c>
      <c r="E118" s="45">
        <f>IF(Base!H116="","",Base!H116)</f>
        <v>1050615</v>
      </c>
      <c r="J118" s="53">
        <v>108</v>
      </c>
      <c r="K118" s="54"/>
      <c r="L118" s="55" t="str">
        <f t="shared" si="31"/>
        <v/>
      </c>
      <c r="M118" s="55" t="str">
        <f t="shared" si="32"/>
        <v/>
      </c>
      <c r="N118" s="56" t="str">
        <f t="shared" si="33"/>
        <v/>
      </c>
      <c r="O118" s="56" t="str">
        <f t="shared" si="34"/>
        <v/>
      </c>
      <c r="P118" s="57"/>
      <c r="Q118" s="63"/>
      <c r="R118" s="53"/>
      <c r="S118" s="63"/>
      <c r="T118" s="53"/>
      <c r="U118" s="63"/>
      <c r="V118" s="53"/>
      <c r="W118" s="63"/>
      <c r="X118" s="53"/>
      <c r="Y118" s="63"/>
      <c r="Z118" s="53"/>
      <c r="AA118" s="63"/>
      <c r="AB118" s="53"/>
      <c r="AC118" s="63"/>
      <c r="AD118" s="53"/>
      <c r="AE118" s="60">
        <f t="shared" si="43"/>
        <v>0</v>
      </c>
      <c r="AF118" s="60">
        <f t="shared" si="43"/>
        <v>0</v>
      </c>
      <c r="AG118" s="61"/>
      <c r="AL118" s="45" t="str">
        <f t="shared" si="35"/>
        <v/>
      </c>
      <c r="AM118" s="45">
        <v>109</v>
      </c>
      <c r="AN118" s="45">
        <f t="shared" si="36"/>
        <v>0</v>
      </c>
      <c r="AO118" s="45">
        <f t="shared" si="37"/>
        <v>0</v>
      </c>
      <c r="AP118" s="45">
        <f t="shared" si="38"/>
        <v>0</v>
      </c>
      <c r="AQ118" s="45">
        <f t="shared" si="39"/>
        <v>0</v>
      </c>
      <c r="AR118" s="45">
        <f t="shared" si="40"/>
        <v>0</v>
      </c>
      <c r="AS118" s="45">
        <f t="shared" si="41"/>
        <v>0</v>
      </c>
      <c r="AT118" s="45">
        <f t="shared" si="42"/>
        <v>0</v>
      </c>
      <c r="AU118" s="62" t="str">
        <f t="shared" si="30"/>
        <v/>
      </c>
    </row>
    <row r="119" spans="1:47" ht="13.5">
      <c r="A119" s="45" t="str">
        <f>IF(Base!B117="","",Base!B117)</f>
        <v>09.488.820-4</v>
      </c>
      <c r="B119" s="45" t="str">
        <f>IF(Base!F117="","",Base!F117)</f>
        <v>MARCO ANTONIO  MUÑOZ  BUGUEÑO</v>
      </c>
      <c r="C119" s="45" t="str">
        <f>IF(Base!I117="","",Base!I117)</f>
        <v>Linea 2</v>
      </c>
      <c r="D119" s="46" t="str">
        <f>IF(Base!J117="","",Base!J117)</f>
        <v>Despalletizador</v>
      </c>
      <c r="E119" s="45">
        <f>IF(Base!H117="","",Base!H117)</f>
        <v>1050554</v>
      </c>
      <c r="J119" s="53">
        <v>109</v>
      </c>
      <c r="K119" s="54"/>
      <c r="L119" s="55" t="str">
        <f t="shared" si="31"/>
        <v/>
      </c>
      <c r="M119" s="55" t="str">
        <f t="shared" si="32"/>
        <v/>
      </c>
      <c r="N119" s="56" t="str">
        <f t="shared" si="33"/>
        <v/>
      </c>
      <c r="O119" s="56" t="str">
        <f t="shared" si="34"/>
        <v/>
      </c>
      <c r="P119" s="57"/>
      <c r="Q119" s="63"/>
      <c r="R119" s="53"/>
      <c r="S119" s="63"/>
      <c r="T119" s="53"/>
      <c r="U119" s="63"/>
      <c r="V119" s="53"/>
      <c r="W119" s="63"/>
      <c r="X119" s="53"/>
      <c r="Y119" s="63"/>
      <c r="Z119" s="53"/>
      <c r="AA119" s="63"/>
      <c r="AB119" s="53"/>
      <c r="AC119" s="63"/>
      <c r="AD119" s="53"/>
      <c r="AE119" s="60">
        <f t="shared" si="43"/>
        <v>0</v>
      </c>
      <c r="AF119" s="60">
        <f t="shared" si="43"/>
        <v>0</v>
      </c>
      <c r="AG119" s="61"/>
      <c r="AL119" s="45" t="str">
        <f t="shared" si="35"/>
        <v/>
      </c>
      <c r="AM119" s="45">
        <v>110</v>
      </c>
      <c r="AN119" s="45">
        <f t="shared" si="36"/>
        <v>0</v>
      </c>
      <c r="AO119" s="45">
        <f t="shared" si="37"/>
        <v>0</v>
      </c>
      <c r="AP119" s="45">
        <f t="shared" si="38"/>
        <v>0</v>
      </c>
      <c r="AQ119" s="45">
        <f t="shared" si="39"/>
        <v>0</v>
      </c>
      <c r="AR119" s="45">
        <f t="shared" si="40"/>
        <v>0</v>
      </c>
      <c r="AS119" s="45">
        <f t="shared" si="41"/>
        <v>0</v>
      </c>
      <c r="AT119" s="45">
        <f t="shared" si="42"/>
        <v>0</v>
      </c>
      <c r="AU119" s="62" t="str">
        <f t="shared" si="30"/>
        <v/>
      </c>
    </row>
    <row r="120" spans="1:47" ht="13.5">
      <c r="A120" s="45" t="str">
        <f>IF(Base!B118="","",Base!B118)</f>
        <v>09.613.720-6</v>
      </c>
      <c r="B120" s="45" t="str">
        <f>IF(Base!F118="","",Base!F118)</f>
        <v>ANGELA  MUÑOZ  GONZALEZ</v>
      </c>
      <c r="C120" s="45" t="str">
        <f>IF(Base!I118="","",Base!I118)</f>
        <v>Linea 7</v>
      </c>
      <c r="D120" s="46" t="str">
        <f>IF(Base!J118="","",Base!J118)</f>
        <v>Capsulado</v>
      </c>
      <c r="E120" s="45">
        <f>IF(Base!H118="","",Base!H118)</f>
        <v>1050616</v>
      </c>
      <c r="J120" s="53">
        <v>110</v>
      </c>
      <c r="K120" s="54"/>
      <c r="L120" s="55" t="str">
        <f t="shared" si="31"/>
        <v/>
      </c>
      <c r="M120" s="55" t="str">
        <f t="shared" si="32"/>
        <v/>
      </c>
      <c r="N120" s="56" t="str">
        <f t="shared" si="33"/>
        <v/>
      </c>
      <c r="O120" s="56" t="str">
        <f t="shared" si="34"/>
        <v/>
      </c>
      <c r="P120" s="57"/>
      <c r="Q120" s="63"/>
      <c r="R120" s="53"/>
      <c r="S120" s="63"/>
      <c r="T120" s="53"/>
      <c r="U120" s="63"/>
      <c r="V120" s="53"/>
      <c r="W120" s="63"/>
      <c r="X120" s="53"/>
      <c r="Y120" s="63"/>
      <c r="Z120" s="53"/>
      <c r="AA120" s="63"/>
      <c r="AB120" s="53"/>
      <c r="AC120" s="63"/>
      <c r="AD120" s="53"/>
      <c r="AE120" s="60">
        <f t="shared" si="43"/>
        <v>0</v>
      </c>
      <c r="AF120" s="60">
        <f t="shared" si="43"/>
        <v>0</v>
      </c>
      <c r="AG120" s="61"/>
      <c r="AL120" s="45" t="str">
        <f t="shared" si="35"/>
        <v/>
      </c>
      <c r="AM120" s="45">
        <v>111</v>
      </c>
      <c r="AN120" s="45">
        <f t="shared" si="36"/>
        <v>0</v>
      </c>
      <c r="AO120" s="45">
        <f t="shared" si="37"/>
        <v>0</v>
      </c>
      <c r="AP120" s="45">
        <f t="shared" si="38"/>
        <v>0</v>
      </c>
      <c r="AQ120" s="45">
        <f t="shared" si="39"/>
        <v>0</v>
      </c>
      <c r="AR120" s="45">
        <f t="shared" si="40"/>
        <v>0</v>
      </c>
      <c r="AS120" s="45">
        <f t="shared" si="41"/>
        <v>0</v>
      </c>
      <c r="AT120" s="45">
        <f t="shared" si="42"/>
        <v>0</v>
      </c>
      <c r="AU120" s="62" t="str">
        <f t="shared" si="30"/>
        <v/>
      </c>
    </row>
    <row r="121" spans="1:47" ht="13.5">
      <c r="A121" s="45" t="str">
        <f>IF(Base!B119="","",Base!B119)</f>
        <v>11.659.510-9</v>
      </c>
      <c r="B121" s="45" t="str">
        <f>IF(Base!F119="","",Base!F119)</f>
        <v>CLAUDIO ARTURO  MUÑOZ  MUÑOZ</v>
      </c>
      <c r="C121" s="45" t="str">
        <f>IF(Base!I119="","",Base!I119)</f>
        <v>Abastecimiento</v>
      </c>
      <c r="D121" s="46" t="str">
        <f>IF(Base!J119="","",Base!J119)</f>
        <v>Control Ingresos Cen</v>
      </c>
      <c r="E121" s="45">
        <f>IF(Base!H119="","",Base!H119)</f>
        <v>1050126</v>
      </c>
      <c r="J121" s="53">
        <v>111</v>
      </c>
      <c r="K121" s="54"/>
      <c r="L121" s="55" t="str">
        <f t="shared" si="31"/>
        <v/>
      </c>
      <c r="M121" s="55" t="str">
        <f t="shared" si="32"/>
        <v/>
      </c>
      <c r="N121" s="56" t="str">
        <f t="shared" si="33"/>
        <v/>
      </c>
      <c r="O121" s="56" t="str">
        <f t="shared" si="34"/>
        <v/>
      </c>
      <c r="P121" s="57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0">
        <f t="shared" si="43"/>
        <v>0</v>
      </c>
      <c r="AF121" s="60">
        <f t="shared" si="43"/>
        <v>0</v>
      </c>
      <c r="AG121" s="61"/>
      <c r="AL121" s="45" t="str">
        <f t="shared" si="35"/>
        <v/>
      </c>
      <c r="AM121" s="45">
        <v>112</v>
      </c>
      <c r="AN121" s="45">
        <f t="shared" si="36"/>
        <v>0</v>
      </c>
      <c r="AO121" s="45">
        <f t="shared" si="37"/>
        <v>0</v>
      </c>
      <c r="AP121" s="45">
        <f t="shared" si="38"/>
        <v>0</v>
      </c>
      <c r="AQ121" s="45">
        <f t="shared" si="39"/>
        <v>0</v>
      </c>
      <c r="AR121" s="45">
        <f t="shared" si="40"/>
        <v>0</v>
      </c>
      <c r="AS121" s="45">
        <f t="shared" si="41"/>
        <v>0</v>
      </c>
      <c r="AT121" s="45">
        <f t="shared" si="42"/>
        <v>0</v>
      </c>
      <c r="AU121" s="62" t="str">
        <f t="shared" si="30"/>
        <v/>
      </c>
    </row>
    <row r="122" spans="1:47" ht="13.5">
      <c r="A122" s="45" t="str">
        <f>IF(Base!B120="","",Base!B120)</f>
        <v>11.124.307-7</v>
      </c>
      <c r="B122" s="45" t="str">
        <f>IF(Base!F120="","",Base!F120)</f>
        <v>JOSE ENRIQUE  MUÑOZ  QUENPUL</v>
      </c>
      <c r="C122" s="45" t="str">
        <f>IF(Base!I120="","",Base!I120)</f>
        <v>Abastecimiento</v>
      </c>
      <c r="D122" s="46" t="str">
        <f>IF(Base!J120="","",Base!J120)</f>
        <v>Almacen Envases Pirq</v>
      </c>
      <c r="E122" s="45">
        <f>IF(Base!H120="","",Base!H120)</f>
        <v>1050162</v>
      </c>
      <c r="J122" s="53">
        <v>112</v>
      </c>
      <c r="K122" s="54"/>
      <c r="L122" s="55" t="str">
        <f t="shared" si="31"/>
        <v/>
      </c>
      <c r="M122" s="55" t="str">
        <f t="shared" si="32"/>
        <v/>
      </c>
      <c r="N122" s="56" t="str">
        <f t="shared" si="33"/>
        <v/>
      </c>
      <c r="O122" s="56" t="str">
        <f t="shared" si="34"/>
        <v/>
      </c>
      <c r="P122" s="57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0">
        <f t="shared" si="43"/>
        <v>0</v>
      </c>
      <c r="AF122" s="60">
        <f t="shared" si="43"/>
        <v>0</v>
      </c>
      <c r="AG122" s="61"/>
      <c r="AL122" s="45" t="str">
        <f t="shared" si="35"/>
        <v/>
      </c>
      <c r="AM122" s="45">
        <v>113</v>
      </c>
      <c r="AN122" s="45">
        <f t="shared" si="36"/>
        <v>0</v>
      </c>
      <c r="AO122" s="45">
        <f t="shared" si="37"/>
        <v>0</v>
      </c>
      <c r="AP122" s="45">
        <f t="shared" si="38"/>
        <v>0</v>
      </c>
      <c r="AQ122" s="45">
        <f t="shared" si="39"/>
        <v>0</v>
      </c>
      <c r="AR122" s="45">
        <f t="shared" si="40"/>
        <v>0</v>
      </c>
      <c r="AS122" s="45">
        <f t="shared" si="41"/>
        <v>0</v>
      </c>
      <c r="AT122" s="45">
        <f t="shared" si="42"/>
        <v>0</v>
      </c>
      <c r="AU122" s="62" t="str">
        <f t="shared" si="30"/>
        <v/>
      </c>
    </row>
    <row r="123" spans="1:47" ht="13.5">
      <c r="A123" s="45" t="str">
        <f>IF(Base!B121="","",Base!B121)</f>
        <v>13.284.709-6</v>
      </c>
      <c r="B123" s="45" t="str">
        <f>IF(Base!F121="","",Base!F121)</f>
        <v>KATHERINE ANDREA  MUÑOZ  RAMIREZ</v>
      </c>
      <c r="C123" s="45" t="str">
        <f>IF(Base!I121="","",Base!I121)</f>
        <v>Linea 3</v>
      </c>
      <c r="D123" s="46" t="str">
        <f>IF(Base!J121="","",Base!J121)</f>
        <v>Inspector etiqueta</v>
      </c>
      <c r="E123" s="45">
        <f>IF(Base!H121="","",Base!H121)</f>
        <v>1050556</v>
      </c>
      <c r="J123" s="53">
        <v>113</v>
      </c>
      <c r="K123" s="54"/>
      <c r="L123" s="55" t="str">
        <f t="shared" si="31"/>
        <v/>
      </c>
      <c r="M123" s="55" t="str">
        <f t="shared" si="32"/>
        <v/>
      </c>
      <c r="N123" s="56" t="str">
        <f t="shared" si="33"/>
        <v/>
      </c>
      <c r="O123" s="56" t="str">
        <f t="shared" si="34"/>
        <v/>
      </c>
      <c r="P123" s="57"/>
      <c r="Q123" s="63"/>
      <c r="R123" s="53"/>
      <c r="S123" s="63"/>
      <c r="T123" s="53"/>
      <c r="U123" s="63"/>
      <c r="V123" s="53"/>
      <c r="W123" s="63"/>
      <c r="X123" s="53"/>
      <c r="Y123" s="63"/>
      <c r="Z123" s="53"/>
      <c r="AA123" s="63"/>
      <c r="AB123" s="53"/>
      <c r="AC123" s="63"/>
      <c r="AD123" s="53"/>
      <c r="AE123" s="60">
        <f t="shared" si="43"/>
        <v>0</v>
      </c>
      <c r="AF123" s="60">
        <f t="shared" si="43"/>
        <v>0</v>
      </c>
      <c r="AG123" s="61"/>
      <c r="AL123" s="45" t="str">
        <f t="shared" si="35"/>
        <v/>
      </c>
      <c r="AM123" s="45">
        <v>114</v>
      </c>
      <c r="AN123" s="45">
        <f t="shared" si="36"/>
        <v>0</v>
      </c>
      <c r="AO123" s="45">
        <f t="shared" si="37"/>
        <v>0</v>
      </c>
      <c r="AP123" s="45">
        <f t="shared" si="38"/>
        <v>0</v>
      </c>
      <c r="AQ123" s="45">
        <f t="shared" si="39"/>
        <v>0</v>
      </c>
      <c r="AR123" s="45">
        <f t="shared" si="40"/>
        <v>0</v>
      </c>
      <c r="AS123" s="45">
        <f t="shared" si="41"/>
        <v>0</v>
      </c>
      <c r="AT123" s="45">
        <f t="shared" si="42"/>
        <v>0</v>
      </c>
      <c r="AU123" s="62" t="str">
        <f t="shared" si="30"/>
        <v/>
      </c>
    </row>
    <row r="124" spans="1:47" ht="13.5">
      <c r="A124" s="45" t="str">
        <f>IF(Base!B122="","",Base!B122)</f>
        <v>15.437.429-9</v>
      </c>
      <c r="B124" s="45" t="str">
        <f>IF(Base!F122="","",Base!F122)</f>
        <v>JULIO  NADEAU  JOFRE</v>
      </c>
      <c r="C124" s="45" t="str">
        <f>IF(Base!I122="","",Base!I122)</f>
        <v>Control y Gestión</v>
      </c>
      <c r="D124" s="46" t="str">
        <f>IF(Base!J122="","",Base!J122)</f>
        <v>Analista  almacén</v>
      </c>
      <c r="E124" s="45">
        <f>IF(Base!H122="","",Base!H122)</f>
        <v>1050574</v>
      </c>
      <c r="J124" s="53">
        <v>114</v>
      </c>
      <c r="K124" s="54"/>
      <c r="L124" s="55" t="str">
        <f t="shared" si="31"/>
        <v/>
      </c>
      <c r="M124" s="55" t="str">
        <f t="shared" si="32"/>
        <v/>
      </c>
      <c r="N124" s="56" t="str">
        <f t="shared" si="33"/>
        <v/>
      </c>
      <c r="O124" s="56" t="str">
        <f t="shared" si="34"/>
        <v/>
      </c>
      <c r="P124" s="57"/>
      <c r="Q124" s="63"/>
      <c r="R124" s="53"/>
      <c r="S124" s="63"/>
      <c r="T124" s="53"/>
      <c r="U124" s="63"/>
      <c r="V124" s="53"/>
      <c r="W124" s="63"/>
      <c r="X124" s="53"/>
      <c r="Y124" s="63"/>
      <c r="Z124" s="53"/>
      <c r="AA124" s="63"/>
      <c r="AB124" s="53"/>
      <c r="AC124" s="63"/>
      <c r="AD124" s="53"/>
      <c r="AE124" s="60">
        <f t="shared" si="43"/>
        <v>0</v>
      </c>
      <c r="AF124" s="60">
        <f t="shared" si="43"/>
        <v>0</v>
      </c>
      <c r="AG124" s="61"/>
      <c r="AL124" s="45" t="str">
        <f t="shared" si="35"/>
        <v/>
      </c>
      <c r="AM124" s="45">
        <v>115</v>
      </c>
      <c r="AN124" s="45">
        <f t="shared" si="36"/>
        <v>0</v>
      </c>
      <c r="AO124" s="45">
        <f t="shared" si="37"/>
        <v>0</v>
      </c>
      <c r="AP124" s="45">
        <f t="shared" si="38"/>
        <v>0</v>
      </c>
      <c r="AQ124" s="45">
        <f t="shared" si="39"/>
        <v>0</v>
      </c>
      <c r="AR124" s="45">
        <f t="shared" si="40"/>
        <v>0</v>
      </c>
      <c r="AS124" s="45">
        <f t="shared" si="41"/>
        <v>0</v>
      </c>
      <c r="AT124" s="45">
        <f t="shared" si="42"/>
        <v>0</v>
      </c>
      <c r="AU124" s="62" t="str">
        <f t="shared" si="30"/>
        <v/>
      </c>
    </row>
    <row r="125" spans="1:47" ht="13.5">
      <c r="A125" s="45" t="str">
        <f>IF(Base!B123="","",Base!B123)</f>
        <v>11.754.811-2</v>
      </c>
      <c r="B125" s="45" t="str">
        <f>IF(Base!F123="","",Base!F123)</f>
        <v>ALEXIS ANTONIO  NARVAI  DIAZ</v>
      </c>
      <c r="C125" s="45" t="str">
        <f>IF(Base!I123="","",Base!I123)</f>
        <v>Abastecimiento</v>
      </c>
      <c r="D125" s="46" t="str">
        <f>IF(Base!J123="","",Base!J123)</f>
        <v>Supervisor Almacen Insumos</v>
      </c>
      <c r="E125" s="45">
        <f>IF(Base!H123="","",Base!H123)</f>
        <v>1050581</v>
      </c>
      <c r="J125" s="53">
        <v>115</v>
      </c>
      <c r="K125" s="54"/>
      <c r="L125" s="55" t="str">
        <f t="shared" si="31"/>
        <v/>
      </c>
      <c r="M125" s="55" t="str">
        <f t="shared" si="32"/>
        <v/>
      </c>
      <c r="N125" s="56" t="str">
        <f t="shared" si="33"/>
        <v/>
      </c>
      <c r="O125" s="56" t="str">
        <f t="shared" si="34"/>
        <v/>
      </c>
      <c r="P125" s="57"/>
      <c r="Q125" s="63"/>
      <c r="R125" s="53"/>
      <c r="S125" s="63"/>
      <c r="T125" s="53"/>
      <c r="U125" s="63"/>
      <c r="V125" s="53"/>
      <c r="W125" s="63"/>
      <c r="X125" s="53"/>
      <c r="Y125" s="63"/>
      <c r="Z125" s="53"/>
      <c r="AA125" s="63"/>
      <c r="AB125" s="53"/>
      <c r="AC125" s="63"/>
      <c r="AD125" s="53"/>
      <c r="AE125" s="60">
        <f t="shared" si="43"/>
        <v>0</v>
      </c>
      <c r="AF125" s="60">
        <f t="shared" si="43"/>
        <v>0</v>
      </c>
      <c r="AG125" s="61"/>
      <c r="AL125" s="45" t="str">
        <f t="shared" si="35"/>
        <v/>
      </c>
      <c r="AM125" s="45">
        <v>116</v>
      </c>
      <c r="AN125" s="45">
        <f t="shared" si="36"/>
        <v>0</v>
      </c>
      <c r="AO125" s="45">
        <f t="shared" si="37"/>
        <v>0</v>
      </c>
      <c r="AP125" s="45">
        <f t="shared" si="38"/>
        <v>0</v>
      </c>
      <c r="AQ125" s="45">
        <f t="shared" si="39"/>
        <v>0</v>
      </c>
      <c r="AR125" s="45">
        <f t="shared" si="40"/>
        <v>0</v>
      </c>
      <c r="AS125" s="45">
        <f t="shared" si="41"/>
        <v>0</v>
      </c>
      <c r="AT125" s="45">
        <f t="shared" si="42"/>
        <v>0</v>
      </c>
      <c r="AU125" s="62" t="str">
        <f t="shared" si="30"/>
        <v/>
      </c>
    </row>
    <row r="126" spans="1:47" ht="13.5">
      <c r="A126" s="45" t="str">
        <f>IF(Base!B124="","",Base!B124)</f>
        <v>12.828.475-3</v>
      </c>
      <c r="B126" s="45" t="str">
        <f>IF(Base!F124="","",Base!F124)</f>
        <v>ELSON GONZALO  NARVAI  DIAZ</v>
      </c>
      <c r="C126" s="45" t="str">
        <f>IF(Base!I124="","",Base!I124)</f>
        <v>Abastecimiento</v>
      </c>
      <c r="D126" s="46" t="str">
        <f>IF(Base!J124="","",Base!J124)</f>
        <v>Reimpresión</v>
      </c>
      <c r="E126" s="45">
        <f>IF(Base!H124="","",Base!H124)</f>
        <v>1050506</v>
      </c>
      <c r="J126" s="53">
        <v>116</v>
      </c>
      <c r="K126" s="54"/>
      <c r="L126" s="55" t="str">
        <f t="shared" si="31"/>
        <v/>
      </c>
      <c r="M126" s="55" t="str">
        <f t="shared" si="32"/>
        <v/>
      </c>
      <c r="N126" s="56" t="str">
        <f t="shared" si="33"/>
        <v/>
      </c>
      <c r="O126" s="56" t="str">
        <f t="shared" si="34"/>
        <v/>
      </c>
      <c r="P126" s="57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0">
        <f t="shared" si="43"/>
        <v>0</v>
      </c>
      <c r="AF126" s="60">
        <f t="shared" si="43"/>
        <v>0</v>
      </c>
      <c r="AG126" s="61"/>
      <c r="AL126" s="45" t="str">
        <f t="shared" si="35"/>
        <v/>
      </c>
      <c r="AM126" s="45">
        <v>117</v>
      </c>
      <c r="AN126" s="45">
        <f t="shared" si="36"/>
        <v>0</v>
      </c>
      <c r="AO126" s="45">
        <f t="shared" si="37"/>
        <v>0</v>
      </c>
      <c r="AP126" s="45">
        <f t="shared" si="38"/>
        <v>0</v>
      </c>
      <c r="AQ126" s="45">
        <f t="shared" si="39"/>
        <v>0</v>
      </c>
      <c r="AR126" s="45">
        <f t="shared" si="40"/>
        <v>0</v>
      </c>
      <c r="AS126" s="45">
        <f t="shared" si="41"/>
        <v>0</v>
      </c>
      <c r="AT126" s="45">
        <f t="shared" si="42"/>
        <v>0</v>
      </c>
      <c r="AU126" s="62" t="str">
        <f t="shared" si="30"/>
        <v/>
      </c>
    </row>
    <row r="127" spans="1:47" ht="13.5">
      <c r="A127" s="45" t="str">
        <f>IF(Base!B125="","",Base!B125)</f>
        <v>11.523.497-8</v>
      </c>
      <c r="B127" s="45" t="str">
        <f>IF(Base!F125="","",Base!F125)</f>
        <v>LUIS  NARVAI  DIAZ</v>
      </c>
      <c r="C127" s="45" t="str">
        <f>IF(Base!I125="","",Base!I125)</f>
        <v>Abastecimiento</v>
      </c>
      <c r="D127" s="46" t="str">
        <f>IF(Base!J125="","",Base!J125)</f>
        <v>Almacen Insumos Pque</v>
      </c>
      <c r="E127" s="45">
        <f>IF(Base!H125="","",Base!H125)</f>
        <v>1050581</v>
      </c>
      <c r="J127" s="53">
        <v>117</v>
      </c>
      <c r="K127" s="54"/>
      <c r="L127" s="55" t="str">
        <f t="shared" si="31"/>
        <v/>
      </c>
      <c r="M127" s="55" t="str">
        <f t="shared" si="32"/>
        <v/>
      </c>
      <c r="N127" s="56" t="str">
        <f t="shared" si="33"/>
        <v/>
      </c>
      <c r="O127" s="56" t="str">
        <f t="shared" si="34"/>
        <v/>
      </c>
      <c r="P127" s="57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0">
        <f t="shared" si="43"/>
        <v>0</v>
      </c>
      <c r="AF127" s="60">
        <f t="shared" si="43"/>
        <v>0</v>
      </c>
      <c r="AG127" s="61"/>
      <c r="AL127" s="45" t="str">
        <f t="shared" si="35"/>
        <v/>
      </c>
      <c r="AM127" s="45">
        <v>118</v>
      </c>
      <c r="AN127" s="45">
        <f t="shared" si="36"/>
        <v>0</v>
      </c>
      <c r="AO127" s="45">
        <f t="shared" si="37"/>
        <v>0</v>
      </c>
      <c r="AP127" s="45">
        <f t="shared" si="38"/>
        <v>0</v>
      </c>
      <c r="AQ127" s="45">
        <f t="shared" si="39"/>
        <v>0</v>
      </c>
      <c r="AR127" s="45">
        <f t="shared" si="40"/>
        <v>0</v>
      </c>
      <c r="AS127" s="45">
        <f t="shared" si="41"/>
        <v>0</v>
      </c>
      <c r="AT127" s="45">
        <f t="shared" si="42"/>
        <v>0</v>
      </c>
      <c r="AU127" s="62" t="str">
        <f t="shared" si="30"/>
        <v/>
      </c>
    </row>
    <row r="128" spans="1:47" ht="13.5">
      <c r="A128" s="45" t="str">
        <f>IF(Base!B126="","",Base!B126)</f>
        <v>07.481.602-9</v>
      </c>
      <c r="B128" s="45" t="str">
        <f>IF(Base!F126="","",Base!F126)</f>
        <v>JORGE PATRICIO  NARVAI  RIVERA</v>
      </c>
      <c r="C128" s="45" t="str">
        <f>IF(Base!I126="","",Base!I126)</f>
        <v>Abastecimiento</v>
      </c>
      <c r="D128" s="46" t="str">
        <f>IF(Base!J126="","",Base!J126)</f>
        <v>Control Ingresos Cen</v>
      </c>
      <c r="E128" s="45">
        <f>IF(Base!H126="","",Base!H126)</f>
        <v>1050126</v>
      </c>
      <c r="J128" s="53">
        <v>118</v>
      </c>
      <c r="K128" s="54"/>
      <c r="L128" s="55" t="str">
        <f t="shared" si="31"/>
        <v/>
      </c>
      <c r="M128" s="55" t="str">
        <f t="shared" si="32"/>
        <v/>
      </c>
      <c r="N128" s="56" t="str">
        <f t="shared" si="33"/>
        <v/>
      </c>
      <c r="O128" s="56" t="str">
        <f t="shared" si="34"/>
        <v/>
      </c>
      <c r="P128" s="57"/>
      <c r="Q128" s="63"/>
      <c r="R128" s="53"/>
      <c r="S128" s="63"/>
      <c r="T128" s="53"/>
      <c r="U128" s="63"/>
      <c r="V128" s="53"/>
      <c r="W128" s="63"/>
      <c r="X128" s="53"/>
      <c r="Y128" s="63"/>
      <c r="Z128" s="53"/>
      <c r="AA128" s="63"/>
      <c r="AB128" s="53"/>
      <c r="AC128" s="63"/>
      <c r="AD128" s="53"/>
      <c r="AE128" s="60">
        <f t="shared" si="43"/>
        <v>0</v>
      </c>
      <c r="AF128" s="60">
        <f t="shared" si="43"/>
        <v>0</v>
      </c>
      <c r="AG128" s="61"/>
      <c r="AL128" s="45" t="str">
        <f t="shared" si="35"/>
        <v/>
      </c>
      <c r="AM128" s="45">
        <v>119</v>
      </c>
      <c r="AN128" s="45">
        <f t="shared" si="36"/>
        <v>0</v>
      </c>
      <c r="AO128" s="45">
        <f t="shared" si="37"/>
        <v>0</v>
      </c>
      <c r="AP128" s="45">
        <f t="shared" si="38"/>
        <v>0</v>
      </c>
      <c r="AQ128" s="45">
        <f t="shared" si="39"/>
        <v>0</v>
      </c>
      <c r="AR128" s="45">
        <f t="shared" si="40"/>
        <v>0</v>
      </c>
      <c r="AS128" s="45">
        <f t="shared" si="41"/>
        <v>0</v>
      </c>
      <c r="AT128" s="45">
        <f t="shared" si="42"/>
        <v>0</v>
      </c>
      <c r="AU128" s="62" t="str">
        <f t="shared" si="30"/>
        <v/>
      </c>
    </row>
    <row r="129" spans="1:47" ht="13.5">
      <c r="A129" s="45" t="str">
        <f>IF(Base!B127="","",Base!B127)</f>
        <v>12.934.132-7</v>
      </c>
      <c r="B129" s="45" t="str">
        <f>IF(Base!F127="","",Base!F127)</f>
        <v>VICTOR IVAN  NITOR  TORRES</v>
      </c>
      <c r="C129" s="45" t="str">
        <f>IF(Base!I127="","",Base!I127)</f>
        <v>Supervisor</v>
      </c>
      <c r="D129" s="46" t="str">
        <f>IF(Base!J127="","",Base!J127)</f>
        <v>Supervisor</v>
      </c>
      <c r="E129" s="45">
        <f>IF(Base!H127="","",Base!H127)</f>
        <v>1050603</v>
      </c>
      <c r="J129" s="53">
        <v>119</v>
      </c>
      <c r="K129" s="54"/>
      <c r="L129" s="55" t="str">
        <f t="shared" si="31"/>
        <v/>
      </c>
      <c r="M129" s="55" t="str">
        <f t="shared" si="32"/>
        <v/>
      </c>
      <c r="N129" s="56" t="str">
        <f t="shared" si="33"/>
        <v/>
      </c>
      <c r="O129" s="56" t="str">
        <f t="shared" si="34"/>
        <v/>
      </c>
      <c r="P129" s="57"/>
      <c r="Q129" s="63"/>
      <c r="R129" s="53"/>
      <c r="S129" s="63"/>
      <c r="T129" s="53"/>
      <c r="U129" s="63"/>
      <c r="V129" s="53"/>
      <c r="W129" s="63"/>
      <c r="X129" s="53"/>
      <c r="Y129" s="63"/>
      <c r="Z129" s="53"/>
      <c r="AA129" s="63"/>
      <c r="AB129" s="53"/>
      <c r="AC129" s="63"/>
      <c r="AD129" s="53"/>
      <c r="AE129" s="60">
        <f t="shared" si="43"/>
        <v>0</v>
      </c>
      <c r="AF129" s="60">
        <f t="shared" si="43"/>
        <v>0</v>
      </c>
      <c r="AG129" s="61"/>
      <c r="AL129" s="45" t="str">
        <f t="shared" si="35"/>
        <v/>
      </c>
      <c r="AM129" s="45">
        <v>120</v>
      </c>
      <c r="AN129" s="45">
        <f t="shared" si="36"/>
        <v>0</v>
      </c>
      <c r="AO129" s="45">
        <f t="shared" si="37"/>
        <v>0</v>
      </c>
      <c r="AP129" s="45">
        <f t="shared" si="38"/>
        <v>0</v>
      </c>
      <c r="AQ129" s="45">
        <f t="shared" si="39"/>
        <v>0</v>
      </c>
      <c r="AR129" s="45">
        <f t="shared" si="40"/>
        <v>0</v>
      </c>
      <c r="AS129" s="45">
        <f t="shared" si="41"/>
        <v>0</v>
      </c>
      <c r="AT129" s="45">
        <f t="shared" si="42"/>
        <v>0</v>
      </c>
      <c r="AU129" s="62" t="str">
        <f t="shared" si="30"/>
        <v/>
      </c>
    </row>
    <row r="130" spans="1:47" ht="13.5">
      <c r="A130" s="45" t="str">
        <f>IF(Base!B128="","",Base!B128)</f>
        <v>04.776.546-3</v>
      </c>
      <c r="B130" s="45" t="str">
        <f>IF(Base!F128="","",Base!F128)</f>
        <v>EUGENIO  OLEKSIUK  SEKOWSKA</v>
      </c>
      <c r="C130" s="45" t="str">
        <f>IF(Base!I128="","",Base!I128)</f>
        <v>Linea 7</v>
      </c>
      <c r="D130" s="46" t="str">
        <f>IF(Base!J128="","",Base!J128)</f>
        <v>Embalador</v>
      </c>
      <c r="E130" s="45">
        <f>IF(Base!H128="","",Base!H128)</f>
        <v>1050616</v>
      </c>
      <c r="J130" s="53">
        <v>120</v>
      </c>
      <c r="K130" s="54"/>
      <c r="L130" s="55" t="str">
        <f t="shared" si="31"/>
        <v/>
      </c>
      <c r="M130" s="55" t="str">
        <f t="shared" si="32"/>
        <v/>
      </c>
      <c r="N130" s="56" t="str">
        <f t="shared" si="33"/>
        <v/>
      </c>
      <c r="O130" s="56" t="str">
        <f t="shared" si="34"/>
        <v/>
      </c>
      <c r="P130" s="57"/>
      <c r="Q130" s="63"/>
      <c r="R130" s="53"/>
      <c r="S130" s="63"/>
      <c r="T130" s="53"/>
      <c r="U130" s="63"/>
      <c r="V130" s="53"/>
      <c r="W130" s="63"/>
      <c r="X130" s="53"/>
      <c r="Y130" s="63"/>
      <c r="Z130" s="53"/>
      <c r="AA130" s="63"/>
      <c r="AB130" s="53"/>
      <c r="AC130" s="63"/>
      <c r="AD130" s="53"/>
      <c r="AE130" s="60">
        <f t="shared" si="43"/>
        <v>0</v>
      </c>
      <c r="AF130" s="60">
        <f t="shared" si="43"/>
        <v>0</v>
      </c>
      <c r="AG130" s="61"/>
      <c r="AL130" s="45" t="str">
        <f t="shared" si="35"/>
        <v/>
      </c>
      <c r="AM130" s="45">
        <v>121</v>
      </c>
      <c r="AN130" s="45">
        <f t="shared" si="36"/>
        <v>0</v>
      </c>
      <c r="AO130" s="45">
        <f t="shared" si="37"/>
        <v>0</v>
      </c>
      <c r="AP130" s="45">
        <f t="shared" si="38"/>
        <v>0</v>
      </c>
      <c r="AQ130" s="45">
        <f t="shared" si="39"/>
        <v>0</v>
      </c>
      <c r="AR130" s="45">
        <f t="shared" si="40"/>
        <v>0</v>
      </c>
      <c r="AS130" s="45">
        <f t="shared" si="41"/>
        <v>0</v>
      </c>
      <c r="AT130" s="45">
        <f t="shared" si="42"/>
        <v>0</v>
      </c>
      <c r="AU130" s="62" t="str">
        <f t="shared" si="30"/>
        <v/>
      </c>
    </row>
    <row r="131" spans="1:47" ht="13.5">
      <c r="A131" s="45" t="str">
        <f>IF(Base!B129="","",Base!B129)</f>
        <v>10.746.078-0</v>
      </c>
      <c r="B131" s="45" t="str">
        <f>IF(Base!F129="","",Base!F129)</f>
        <v>ARMANDO  ORELLANA  OLIVARES</v>
      </c>
      <c r="C131" s="45" t="str">
        <f>IF(Base!I129="","",Base!I129)</f>
        <v>Sala filtros</v>
      </c>
      <c r="D131" s="46" t="str">
        <f>IF(Base!J129="","",Base!J129)</f>
        <v>Operador sala de filtros</v>
      </c>
      <c r="E131" s="45">
        <f>IF(Base!H129="","",Base!H129)</f>
        <v>1050574</v>
      </c>
      <c r="J131" s="53">
        <v>121</v>
      </c>
      <c r="K131" s="54"/>
      <c r="L131" s="55" t="str">
        <f t="shared" si="31"/>
        <v/>
      </c>
      <c r="M131" s="55" t="str">
        <f t="shared" si="32"/>
        <v/>
      </c>
      <c r="N131" s="56" t="str">
        <f t="shared" si="33"/>
        <v/>
      </c>
      <c r="O131" s="56" t="str">
        <f t="shared" si="34"/>
        <v/>
      </c>
      <c r="P131" s="57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0">
        <f t="shared" si="43"/>
        <v>0</v>
      </c>
      <c r="AF131" s="60">
        <f t="shared" si="43"/>
        <v>0</v>
      </c>
      <c r="AG131" s="61"/>
      <c r="AL131" s="45" t="str">
        <f t="shared" si="35"/>
        <v/>
      </c>
      <c r="AM131" s="45">
        <v>122</v>
      </c>
      <c r="AN131" s="45">
        <f t="shared" si="36"/>
        <v>0</v>
      </c>
      <c r="AO131" s="45">
        <f t="shared" si="37"/>
        <v>0</v>
      </c>
      <c r="AP131" s="45">
        <f t="shared" si="38"/>
        <v>0</v>
      </c>
      <c r="AQ131" s="45">
        <f t="shared" si="39"/>
        <v>0</v>
      </c>
      <c r="AR131" s="45">
        <f t="shared" si="40"/>
        <v>0</v>
      </c>
      <c r="AS131" s="45">
        <f t="shared" si="41"/>
        <v>0</v>
      </c>
      <c r="AT131" s="45">
        <f t="shared" si="42"/>
        <v>0</v>
      </c>
      <c r="AU131" s="62" t="str">
        <f t="shared" si="30"/>
        <v/>
      </c>
    </row>
    <row r="132" spans="1:47" ht="13.5">
      <c r="A132" s="45" t="str">
        <f>IF(Base!B130="","",Base!B130)</f>
        <v>15.823.421-1</v>
      </c>
      <c r="B132" s="45" t="str">
        <f>IF(Base!F130="","",Base!F130)</f>
        <v>ALEXIS  ORIAS  ORIAS</v>
      </c>
      <c r="C132" s="45" t="str">
        <f>IF(Base!I130="","",Base!I130)</f>
        <v>Linea 1</v>
      </c>
      <c r="D132" s="46" t="str">
        <f>IF(Base!J130="","",Base!J130)</f>
        <v>Etiquetador</v>
      </c>
      <c r="E132" s="45">
        <f>IF(Base!H130="","",Base!H130)</f>
        <v>1050552</v>
      </c>
      <c r="J132" s="53">
        <v>122</v>
      </c>
      <c r="K132" s="54"/>
      <c r="L132" s="55" t="str">
        <f t="shared" si="31"/>
        <v/>
      </c>
      <c r="M132" s="55" t="str">
        <f t="shared" si="32"/>
        <v/>
      </c>
      <c r="N132" s="56" t="str">
        <f t="shared" si="33"/>
        <v/>
      </c>
      <c r="O132" s="56" t="str">
        <f t="shared" si="34"/>
        <v/>
      </c>
      <c r="P132" s="57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0">
        <f t="shared" si="43"/>
        <v>0</v>
      </c>
      <c r="AF132" s="60">
        <f t="shared" si="43"/>
        <v>0</v>
      </c>
      <c r="AG132" s="61"/>
      <c r="AL132" s="45" t="str">
        <f t="shared" si="35"/>
        <v/>
      </c>
      <c r="AM132" s="45">
        <v>123</v>
      </c>
      <c r="AN132" s="45">
        <f t="shared" si="36"/>
        <v>0</v>
      </c>
      <c r="AO132" s="45">
        <f t="shared" si="37"/>
        <v>0</v>
      </c>
      <c r="AP132" s="45">
        <f t="shared" si="38"/>
        <v>0</v>
      </c>
      <c r="AQ132" s="45">
        <f t="shared" si="39"/>
        <v>0</v>
      </c>
      <c r="AR132" s="45">
        <f t="shared" si="40"/>
        <v>0</v>
      </c>
      <c r="AS132" s="45">
        <f t="shared" si="41"/>
        <v>0</v>
      </c>
      <c r="AT132" s="45">
        <f t="shared" si="42"/>
        <v>0</v>
      </c>
      <c r="AU132" s="62" t="str">
        <f t="shared" si="30"/>
        <v/>
      </c>
    </row>
    <row r="133" spans="1:47" ht="13.5">
      <c r="A133" s="45" t="str">
        <f>IF(Base!B131="","",Base!B131)</f>
        <v>09.503.712-7</v>
      </c>
      <c r="B133" s="45" t="str">
        <f>IF(Base!F131="","",Base!F131)</f>
        <v>MANUEL  ORTIZ  CONTRERAS</v>
      </c>
      <c r="C133" s="45" t="str">
        <f>IF(Base!I131="","",Base!I131)</f>
        <v>Linea 4</v>
      </c>
      <c r="D133" s="46" t="str">
        <f>IF(Base!J131="","",Base!J131)</f>
        <v>Llenador</v>
      </c>
      <c r="E133" s="45">
        <f>IF(Base!H131="","",Base!H131)</f>
        <v>1050557</v>
      </c>
      <c r="J133" s="53">
        <v>123</v>
      </c>
      <c r="K133" s="54"/>
      <c r="L133" s="55" t="str">
        <f t="shared" si="31"/>
        <v/>
      </c>
      <c r="M133" s="55" t="str">
        <f t="shared" si="32"/>
        <v/>
      </c>
      <c r="N133" s="56" t="str">
        <f t="shared" si="33"/>
        <v/>
      </c>
      <c r="O133" s="56" t="str">
        <f t="shared" si="34"/>
        <v/>
      </c>
      <c r="P133" s="57"/>
      <c r="Q133" s="63"/>
      <c r="R133" s="53"/>
      <c r="S133" s="63"/>
      <c r="T133" s="53"/>
      <c r="U133" s="63"/>
      <c r="V133" s="53"/>
      <c r="W133" s="63"/>
      <c r="X133" s="53"/>
      <c r="Y133" s="63"/>
      <c r="Z133" s="53"/>
      <c r="AA133" s="63"/>
      <c r="AB133" s="53"/>
      <c r="AC133" s="63"/>
      <c r="AD133" s="53"/>
      <c r="AE133" s="60">
        <f t="shared" si="43"/>
        <v>0</v>
      </c>
      <c r="AF133" s="60">
        <f t="shared" si="43"/>
        <v>0</v>
      </c>
      <c r="AG133" s="61"/>
      <c r="AL133" s="45" t="str">
        <f t="shared" si="35"/>
        <v/>
      </c>
      <c r="AM133" s="45">
        <v>124</v>
      </c>
      <c r="AN133" s="45">
        <f t="shared" si="36"/>
        <v>0</v>
      </c>
      <c r="AO133" s="45">
        <f t="shared" si="37"/>
        <v>0</v>
      </c>
      <c r="AP133" s="45">
        <f t="shared" si="38"/>
        <v>0</v>
      </c>
      <c r="AQ133" s="45">
        <f t="shared" si="39"/>
        <v>0</v>
      </c>
      <c r="AR133" s="45">
        <f t="shared" si="40"/>
        <v>0</v>
      </c>
      <c r="AS133" s="45">
        <f t="shared" si="41"/>
        <v>0</v>
      </c>
      <c r="AT133" s="45">
        <f t="shared" si="42"/>
        <v>0</v>
      </c>
      <c r="AU133" s="62" t="str">
        <f t="shared" si="30"/>
        <v/>
      </c>
    </row>
    <row r="134" spans="1:47" ht="13.5">
      <c r="A134" s="45" t="str">
        <f>IF(Base!B132="","",Base!B132)</f>
        <v>08.272.509-1</v>
      </c>
      <c r="B134" s="45" t="str">
        <f>IF(Base!F132="","",Base!F132)</f>
        <v>JORGE MANUEL  OSORIO  OSORIO</v>
      </c>
      <c r="C134" s="45" t="str">
        <f>IF(Base!I132="","",Base!I132)</f>
        <v>Linea 7</v>
      </c>
      <c r="D134" s="46" t="str">
        <f>IF(Base!J132="","",Base!J132)</f>
        <v>Despalletizador</v>
      </c>
      <c r="E134" s="45">
        <f>IF(Base!H132="","",Base!H132)</f>
        <v>1050616</v>
      </c>
      <c r="J134" s="53">
        <v>124</v>
      </c>
      <c r="K134" s="54"/>
      <c r="L134" s="55" t="str">
        <f t="shared" si="31"/>
        <v/>
      </c>
      <c r="M134" s="55" t="str">
        <f t="shared" si="32"/>
        <v/>
      </c>
      <c r="N134" s="56" t="str">
        <f t="shared" si="33"/>
        <v/>
      </c>
      <c r="O134" s="56" t="str">
        <f t="shared" si="34"/>
        <v/>
      </c>
      <c r="P134" s="57"/>
      <c r="Q134" s="63"/>
      <c r="R134" s="53"/>
      <c r="S134" s="63"/>
      <c r="T134" s="53"/>
      <c r="U134" s="63"/>
      <c r="V134" s="53"/>
      <c r="W134" s="63"/>
      <c r="X134" s="53"/>
      <c r="Y134" s="63"/>
      <c r="Z134" s="53"/>
      <c r="AA134" s="63"/>
      <c r="AB134" s="53"/>
      <c r="AC134" s="63"/>
      <c r="AD134" s="53"/>
      <c r="AE134" s="60">
        <f t="shared" si="43"/>
        <v>0</v>
      </c>
      <c r="AF134" s="60">
        <f t="shared" si="43"/>
        <v>0</v>
      </c>
      <c r="AG134" s="61"/>
      <c r="AL134" s="45" t="str">
        <f t="shared" si="35"/>
        <v/>
      </c>
      <c r="AM134" s="45">
        <v>125</v>
      </c>
      <c r="AN134" s="45">
        <f t="shared" si="36"/>
        <v>0</v>
      </c>
      <c r="AO134" s="45">
        <f t="shared" si="37"/>
        <v>0</v>
      </c>
      <c r="AP134" s="45">
        <f t="shared" si="38"/>
        <v>0</v>
      </c>
      <c r="AQ134" s="45">
        <f t="shared" si="39"/>
        <v>0</v>
      </c>
      <c r="AR134" s="45">
        <f t="shared" si="40"/>
        <v>0</v>
      </c>
      <c r="AS134" s="45">
        <f t="shared" si="41"/>
        <v>0</v>
      </c>
      <c r="AT134" s="45">
        <f t="shared" si="42"/>
        <v>0</v>
      </c>
      <c r="AU134" s="62" t="str">
        <f t="shared" si="30"/>
        <v/>
      </c>
    </row>
    <row r="135" spans="1:47" ht="13.5">
      <c r="A135" s="45" t="str">
        <f>IF(Base!B133="","",Base!B133)</f>
        <v>13.681.026-K</v>
      </c>
      <c r="B135" s="45" t="str">
        <f>IF(Base!F133="","",Base!F133)</f>
        <v>JULIO HERNAN  OYANEDEL  COFRE</v>
      </c>
      <c r="C135" s="45" t="str">
        <f>IF(Base!I133="","",Base!I133)</f>
        <v>Abastecimiento</v>
      </c>
      <c r="D135" s="46" t="str">
        <f>IF(Base!J133="","",Base!J133)</f>
        <v>Almacen Insumos Pque</v>
      </c>
      <c r="E135" s="45">
        <f>IF(Base!H133="","",Base!H133)</f>
        <v>1050581</v>
      </c>
      <c r="J135" s="53">
        <v>125</v>
      </c>
      <c r="K135" s="54"/>
      <c r="L135" s="55" t="str">
        <f t="shared" si="31"/>
        <v/>
      </c>
      <c r="M135" s="55" t="str">
        <f t="shared" si="32"/>
        <v/>
      </c>
      <c r="N135" s="56" t="str">
        <f t="shared" si="33"/>
        <v/>
      </c>
      <c r="O135" s="56" t="str">
        <f t="shared" si="34"/>
        <v/>
      </c>
      <c r="P135" s="57"/>
      <c r="Q135" s="63"/>
      <c r="R135" s="53"/>
      <c r="S135" s="63"/>
      <c r="T135" s="53"/>
      <c r="U135" s="63"/>
      <c r="V135" s="53"/>
      <c r="W135" s="63"/>
      <c r="X135" s="53"/>
      <c r="Y135" s="63"/>
      <c r="Z135" s="53"/>
      <c r="AA135" s="63"/>
      <c r="AB135" s="53"/>
      <c r="AC135" s="63"/>
      <c r="AD135" s="53"/>
      <c r="AE135" s="60">
        <f t="shared" si="43"/>
        <v>0</v>
      </c>
      <c r="AF135" s="60">
        <f t="shared" si="43"/>
        <v>0</v>
      </c>
      <c r="AG135" s="61"/>
      <c r="AL135" s="45" t="str">
        <f t="shared" si="35"/>
        <v/>
      </c>
      <c r="AM135" s="45">
        <v>126</v>
      </c>
      <c r="AN135" s="45">
        <f t="shared" si="36"/>
        <v>0</v>
      </c>
      <c r="AO135" s="45">
        <f t="shared" si="37"/>
        <v>0</v>
      </c>
      <c r="AP135" s="45">
        <f t="shared" si="38"/>
        <v>0</v>
      </c>
      <c r="AQ135" s="45">
        <f t="shared" si="39"/>
        <v>0</v>
      </c>
      <c r="AR135" s="45">
        <f t="shared" si="40"/>
        <v>0</v>
      </c>
      <c r="AS135" s="45">
        <f t="shared" si="41"/>
        <v>0</v>
      </c>
      <c r="AT135" s="45">
        <f t="shared" si="42"/>
        <v>0</v>
      </c>
      <c r="AU135" s="62" t="str">
        <f t="shared" si="30"/>
        <v/>
      </c>
    </row>
    <row r="136" spans="1:47" ht="13.5">
      <c r="A136" s="45" t="str">
        <f>IF(Base!B134="","",Base!B134)</f>
        <v>14.017.495-5</v>
      </c>
      <c r="B136" s="45" t="str">
        <f>IF(Base!F134="","",Base!F134)</f>
        <v>CARLOS EUGENIO  OYARCE  DIAZ</v>
      </c>
      <c r="C136" s="45" t="str">
        <f>IF(Base!I134="","",Base!I134)</f>
        <v>Abastecimiento</v>
      </c>
      <c r="D136" s="46" t="str">
        <f>IF(Base!J134="","",Base!J134)</f>
        <v>Control Ingresos Cen</v>
      </c>
      <c r="E136" s="45">
        <f>IF(Base!H134="","",Base!H134)</f>
        <v>1050126</v>
      </c>
      <c r="J136" s="53">
        <v>126</v>
      </c>
      <c r="K136" s="54"/>
      <c r="L136" s="55" t="str">
        <f t="shared" si="31"/>
        <v/>
      </c>
      <c r="M136" s="55" t="str">
        <f t="shared" si="32"/>
        <v/>
      </c>
      <c r="N136" s="56" t="str">
        <f t="shared" si="33"/>
        <v/>
      </c>
      <c r="O136" s="56" t="str">
        <f t="shared" si="34"/>
        <v/>
      </c>
      <c r="P136" s="57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0">
        <f t="shared" si="43"/>
        <v>0</v>
      </c>
      <c r="AF136" s="60">
        <f t="shared" si="43"/>
        <v>0</v>
      </c>
      <c r="AG136" s="61"/>
      <c r="AL136" s="45" t="str">
        <f t="shared" si="35"/>
        <v/>
      </c>
      <c r="AM136" s="45">
        <v>127</v>
      </c>
      <c r="AN136" s="45">
        <f t="shared" si="36"/>
        <v>0</v>
      </c>
      <c r="AO136" s="45">
        <f t="shared" si="37"/>
        <v>0</v>
      </c>
      <c r="AP136" s="45">
        <f t="shared" si="38"/>
        <v>0</v>
      </c>
      <c r="AQ136" s="45">
        <f t="shared" si="39"/>
        <v>0</v>
      </c>
      <c r="AR136" s="45">
        <f t="shared" si="40"/>
        <v>0</v>
      </c>
      <c r="AS136" s="45">
        <f t="shared" si="41"/>
        <v>0</v>
      </c>
      <c r="AT136" s="45">
        <f t="shared" si="42"/>
        <v>0</v>
      </c>
      <c r="AU136" s="62" t="str">
        <f t="shared" si="30"/>
        <v/>
      </c>
    </row>
    <row r="137" spans="1:47" ht="13.5">
      <c r="A137" s="45" t="str">
        <f>IF(Base!B135="","",Base!B135)</f>
        <v>17.543.156-K</v>
      </c>
      <c r="B137" s="45" t="str">
        <f>IF(Base!F135="","",Base!F135)</f>
        <v>FELIPE ANDRES  PALACIOS  VENEGAS</v>
      </c>
      <c r="C137" s="45" t="str">
        <f>IF(Base!I135="","",Base!I135)</f>
        <v>Linea 6</v>
      </c>
      <c r="D137" s="46" t="str">
        <f>IF(Base!J135="","",Base!J135)</f>
        <v>Despalletizador</v>
      </c>
      <c r="E137" s="45">
        <f>IF(Base!H135="","",Base!H135)</f>
        <v>1050609</v>
      </c>
      <c r="J137" s="53">
        <v>127</v>
      </c>
      <c r="K137" s="54"/>
      <c r="L137" s="55" t="str">
        <f t="shared" si="31"/>
        <v/>
      </c>
      <c r="M137" s="55" t="str">
        <f t="shared" si="32"/>
        <v/>
      </c>
      <c r="N137" s="56" t="str">
        <f t="shared" si="33"/>
        <v/>
      </c>
      <c r="O137" s="56" t="str">
        <f t="shared" si="34"/>
        <v/>
      </c>
      <c r="P137" s="57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0">
        <f t="shared" si="43"/>
        <v>0</v>
      </c>
      <c r="AF137" s="60">
        <f t="shared" si="43"/>
        <v>0</v>
      </c>
      <c r="AG137" s="61"/>
      <c r="AL137" s="45" t="str">
        <f t="shared" si="35"/>
        <v/>
      </c>
      <c r="AM137" s="45">
        <v>128</v>
      </c>
      <c r="AN137" s="45">
        <f t="shared" si="36"/>
        <v>0</v>
      </c>
      <c r="AO137" s="45">
        <f t="shared" si="37"/>
        <v>0</v>
      </c>
      <c r="AP137" s="45">
        <f t="shared" si="38"/>
        <v>0</v>
      </c>
      <c r="AQ137" s="45">
        <f t="shared" si="39"/>
        <v>0</v>
      </c>
      <c r="AR137" s="45">
        <f t="shared" si="40"/>
        <v>0</v>
      </c>
      <c r="AS137" s="45">
        <f t="shared" si="41"/>
        <v>0</v>
      </c>
      <c r="AT137" s="45">
        <f t="shared" si="42"/>
        <v>0</v>
      </c>
      <c r="AU137" s="62" t="str">
        <f t="shared" si="30"/>
        <v/>
      </c>
    </row>
    <row r="138" spans="1:47" ht="13.5">
      <c r="A138" s="45" t="str">
        <f>IF(Base!B136="","",Base!B136)</f>
        <v>11.054.986-5</v>
      </c>
      <c r="B138" s="45" t="str">
        <f>IF(Base!F136="","",Base!F136)</f>
        <v>CLAUDIA  PALAVECINOS  SEPULVEDA</v>
      </c>
      <c r="C138" s="45" t="str">
        <f>IF(Base!I136="","",Base!I136)</f>
        <v>Linea 2</v>
      </c>
      <c r="D138" s="46" t="str">
        <f>IF(Base!J136="","",Base!J136)</f>
        <v>Inspector etiqueta</v>
      </c>
      <c r="E138" s="45">
        <f>IF(Base!H136="","",Base!H136)</f>
        <v>1050554</v>
      </c>
      <c r="J138" s="53">
        <v>128</v>
      </c>
      <c r="K138" s="54"/>
      <c r="L138" s="55" t="str">
        <f t="shared" si="31"/>
        <v/>
      </c>
      <c r="M138" s="55" t="str">
        <f t="shared" si="32"/>
        <v/>
      </c>
      <c r="N138" s="56" t="str">
        <f t="shared" si="33"/>
        <v/>
      </c>
      <c r="O138" s="56" t="str">
        <f t="shared" si="34"/>
        <v/>
      </c>
      <c r="P138" s="57"/>
      <c r="Q138" s="63"/>
      <c r="R138" s="53"/>
      <c r="S138" s="63"/>
      <c r="T138" s="53"/>
      <c r="U138" s="63"/>
      <c r="V138" s="53"/>
      <c r="W138" s="63"/>
      <c r="X138" s="53"/>
      <c r="Y138" s="63"/>
      <c r="Z138" s="53"/>
      <c r="AA138" s="63"/>
      <c r="AB138" s="53"/>
      <c r="AC138" s="63"/>
      <c r="AD138" s="53"/>
      <c r="AE138" s="60">
        <f t="shared" si="43"/>
        <v>0</v>
      </c>
      <c r="AF138" s="60">
        <f t="shared" si="43"/>
        <v>0</v>
      </c>
      <c r="AG138" s="61"/>
      <c r="AL138" s="45" t="str">
        <f t="shared" si="35"/>
        <v/>
      </c>
      <c r="AM138" s="45">
        <v>129</v>
      </c>
      <c r="AN138" s="45">
        <f t="shared" si="36"/>
        <v>0</v>
      </c>
      <c r="AO138" s="45">
        <f t="shared" si="37"/>
        <v>0</v>
      </c>
      <c r="AP138" s="45">
        <f t="shared" si="38"/>
        <v>0</v>
      </c>
      <c r="AQ138" s="45">
        <f t="shared" si="39"/>
        <v>0</v>
      </c>
      <c r="AR138" s="45">
        <f t="shared" si="40"/>
        <v>0</v>
      </c>
      <c r="AS138" s="45">
        <f t="shared" si="41"/>
        <v>0</v>
      </c>
      <c r="AT138" s="45">
        <f t="shared" si="42"/>
        <v>0</v>
      </c>
      <c r="AU138" s="62" t="str">
        <f t="shared" si="30"/>
        <v/>
      </c>
    </row>
    <row r="139" spans="1:47" ht="13.5">
      <c r="A139" s="45" t="str">
        <f>IF(Base!B137="","",Base!B137)</f>
        <v>12.898.844-0</v>
      </c>
      <c r="B139" s="45" t="str">
        <f>IF(Base!F137="","",Base!F137)</f>
        <v>DANIEL H.  PALMA  CLARO</v>
      </c>
      <c r="C139" s="45" t="str">
        <f>IF(Base!I137="","",Base!I137)</f>
        <v>Monitor Embalado</v>
      </c>
      <c r="D139" s="46" t="str">
        <f>IF(Base!J137="","",Base!J137)</f>
        <v>Monitor Embalado</v>
      </c>
      <c r="E139" s="45">
        <f>IF(Base!H137="","",Base!H137)</f>
        <v>1050604</v>
      </c>
      <c r="J139" s="53">
        <v>129</v>
      </c>
      <c r="K139" s="54"/>
      <c r="L139" s="55" t="str">
        <f t="shared" si="31"/>
        <v/>
      </c>
      <c r="M139" s="55" t="str">
        <f t="shared" si="32"/>
        <v/>
      </c>
      <c r="N139" s="56" t="str">
        <f t="shared" si="33"/>
        <v/>
      </c>
      <c r="O139" s="56" t="str">
        <f t="shared" si="34"/>
        <v/>
      </c>
      <c r="P139" s="57"/>
      <c r="Q139" s="63"/>
      <c r="R139" s="53"/>
      <c r="S139" s="63"/>
      <c r="T139" s="53"/>
      <c r="U139" s="63"/>
      <c r="V139" s="53"/>
      <c r="W139" s="63"/>
      <c r="X139" s="53"/>
      <c r="Y139" s="63"/>
      <c r="Z139" s="53"/>
      <c r="AA139" s="63"/>
      <c r="AB139" s="53"/>
      <c r="AC139" s="63"/>
      <c r="AD139" s="53"/>
      <c r="AE139" s="60">
        <f t="shared" si="43"/>
        <v>0</v>
      </c>
      <c r="AF139" s="60">
        <f t="shared" si="43"/>
        <v>0</v>
      </c>
      <c r="AG139" s="61"/>
      <c r="AL139" s="45" t="str">
        <f t="shared" si="35"/>
        <v/>
      </c>
      <c r="AM139" s="45">
        <v>130</v>
      </c>
      <c r="AN139" s="45">
        <f t="shared" si="36"/>
        <v>0</v>
      </c>
      <c r="AO139" s="45">
        <f t="shared" si="37"/>
        <v>0</v>
      </c>
      <c r="AP139" s="45">
        <f t="shared" si="38"/>
        <v>0</v>
      </c>
      <c r="AQ139" s="45">
        <f t="shared" si="39"/>
        <v>0</v>
      </c>
      <c r="AR139" s="45">
        <f t="shared" si="40"/>
        <v>0</v>
      </c>
      <c r="AS139" s="45">
        <f t="shared" si="41"/>
        <v>0</v>
      </c>
      <c r="AT139" s="45">
        <f t="shared" si="42"/>
        <v>0</v>
      </c>
      <c r="AU139" s="62" t="str">
        <f t="shared" ref="AU139:AU202" si="44">IF(SUM(AE139:AF139)=0,"",SUM(AE139:AF139))</f>
        <v/>
      </c>
    </row>
    <row r="140" spans="1:47" ht="13.5">
      <c r="A140" s="45" t="str">
        <f>IF(Base!B138="","",Base!B138)</f>
        <v>10.876.404-K</v>
      </c>
      <c r="B140" s="45" t="str">
        <f>IF(Base!F138="","",Base!F138)</f>
        <v>LUIS RAFAEL  PALMA  MIRANDA</v>
      </c>
      <c r="C140" s="45" t="str">
        <f>IF(Base!I138="","",Base!I138)</f>
        <v>Linea 1</v>
      </c>
      <c r="D140" s="46" t="str">
        <f>IF(Base!J138="","",Base!J138)</f>
        <v>Llenador</v>
      </c>
      <c r="E140" s="45">
        <f>IF(Base!H138="","",Base!H138)</f>
        <v>1050551</v>
      </c>
      <c r="J140" s="53">
        <v>130</v>
      </c>
      <c r="K140" s="54"/>
      <c r="L140" s="55" t="str">
        <f t="shared" ref="L140:L203" si="45">IF(K140="","",VLOOKUP($K140,A:D,2,FALSE))</f>
        <v/>
      </c>
      <c r="M140" s="55" t="str">
        <f t="shared" ref="M140:M203" si="46">IF(K140="","",VLOOKUP(K140,A:E,5,FALSE))</f>
        <v/>
      </c>
      <c r="N140" s="56" t="str">
        <f t="shared" ref="N140:N203" si="47">IF(K140="","",VLOOKUP(K140,A:C,3,FALSE))</f>
        <v/>
      </c>
      <c r="O140" s="56" t="str">
        <f t="shared" ref="O140:O203" si="48">IF(K140="","",VLOOKUP(K140,A:D,4,FALSE))</f>
        <v/>
      </c>
      <c r="P140" s="57"/>
      <c r="Q140" s="63"/>
      <c r="R140" s="53"/>
      <c r="S140" s="63"/>
      <c r="T140" s="53"/>
      <c r="U140" s="63"/>
      <c r="V140" s="53"/>
      <c r="W140" s="63"/>
      <c r="X140" s="53"/>
      <c r="Y140" s="63"/>
      <c r="Z140" s="53"/>
      <c r="AA140" s="63"/>
      <c r="AB140" s="53"/>
      <c r="AC140" s="63"/>
      <c r="AD140" s="53"/>
      <c r="AE140" s="60">
        <f t="shared" si="43"/>
        <v>0</v>
      </c>
      <c r="AF140" s="60">
        <f t="shared" si="43"/>
        <v>0</v>
      </c>
      <c r="AG140" s="61"/>
      <c r="AL140" s="45" t="str">
        <f t="shared" si="35"/>
        <v/>
      </c>
      <c r="AM140" s="45">
        <v>131</v>
      </c>
      <c r="AN140" s="45">
        <f t="shared" si="36"/>
        <v>0</v>
      </c>
      <c r="AO140" s="45">
        <f t="shared" si="37"/>
        <v>0</v>
      </c>
      <c r="AP140" s="45">
        <f t="shared" si="38"/>
        <v>0</v>
      </c>
      <c r="AQ140" s="45">
        <f t="shared" si="39"/>
        <v>0</v>
      </c>
      <c r="AR140" s="45">
        <f t="shared" si="40"/>
        <v>0</v>
      </c>
      <c r="AS140" s="45">
        <f t="shared" si="41"/>
        <v>0</v>
      </c>
      <c r="AT140" s="45">
        <f t="shared" si="42"/>
        <v>0</v>
      </c>
      <c r="AU140" s="62" t="str">
        <f t="shared" si="44"/>
        <v/>
      </c>
    </row>
    <row r="141" spans="1:47" ht="13.5">
      <c r="A141" s="45" t="str">
        <f>IF(Base!B139="","",Base!B139)</f>
        <v>07.815.083-1</v>
      </c>
      <c r="B141" s="45" t="str">
        <f>IF(Base!F139="","",Base!F139)</f>
        <v>ELOY ENRIQUE  PALMA  SEREÑO</v>
      </c>
      <c r="C141" s="45" t="str">
        <f>IF(Base!I139="","",Base!I139)</f>
        <v>Linea 2</v>
      </c>
      <c r="D141" s="46" t="str">
        <f>IF(Base!J139="","",Base!J139)</f>
        <v>Etiquetador</v>
      </c>
      <c r="E141" s="45">
        <f>IF(Base!H139="","",Base!H139)</f>
        <v>1050554</v>
      </c>
      <c r="J141" s="53">
        <v>131</v>
      </c>
      <c r="K141" s="54"/>
      <c r="L141" s="55" t="str">
        <f t="shared" si="45"/>
        <v/>
      </c>
      <c r="M141" s="55" t="str">
        <f t="shared" si="46"/>
        <v/>
      </c>
      <c r="N141" s="56" t="str">
        <f t="shared" si="47"/>
        <v/>
      </c>
      <c r="O141" s="56" t="str">
        <f t="shared" si="48"/>
        <v/>
      </c>
      <c r="P141" s="57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0">
        <f t="shared" si="43"/>
        <v>0</v>
      </c>
      <c r="AF141" s="60">
        <f t="shared" si="43"/>
        <v>0</v>
      </c>
      <c r="AG141" s="61"/>
      <c r="AL141" s="45" t="str">
        <f t="shared" si="35"/>
        <v/>
      </c>
      <c r="AM141" s="45">
        <v>132</v>
      </c>
      <c r="AN141" s="45">
        <f t="shared" si="36"/>
        <v>0</v>
      </c>
      <c r="AO141" s="45">
        <f t="shared" si="37"/>
        <v>0</v>
      </c>
      <c r="AP141" s="45">
        <f t="shared" si="38"/>
        <v>0</v>
      </c>
      <c r="AQ141" s="45">
        <f t="shared" si="39"/>
        <v>0</v>
      </c>
      <c r="AR141" s="45">
        <f t="shared" si="40"/>
        <v>0</v>
      </c>
      <c r="AS141" s="45">
        <f t="shared" si="41"/>
        <v>0</v>
      </c>
      <c r="AT141" s="45">
        <f t="shared" si="42"/>
        <v>0</v>
      </c>
      <c r="AU141" s="62" t="str">
        <f t="shared" si="44"/>
        <v/>
      </c>
    </row>
    <row r="142" spans="1:47" ht="13.5">
      <c r="A142" s="45" t="str">
        <f>IF(Base!B140="","",Base!B140)</f>
        <v>06.646.724-4</v>
      </c>
      <c r="B142" s="45" t="str">
        <f>IF(Base!F140="","",Base!F140)</f>
        <v>JUAN RAMON  PALMA  SEREÑO</v>
      </c>
      <c r="C142" s="45" t="str">
        <f>IF(Base!I140="","",Base!I140)</f>
        <v>Linea 3</v>
      </c>
      <c r="D142" s="46" t="str">
        <f>IF(Base!J140="","",Base!J140)</f>
        <v>Llenador</v>
      </c>
      <c r="E142" s="45">
        <f>IF(Base!H140="","",Base!H140)</f>
        <v>1050555</v>
      </c>
      <c r="J142" s="53">
        <v>132</v>
      </c>
      <c r="K142" s="54"/>
      <c r="L142" s="55" t="str">
        <f t="shared" si="45"/>
        <v/>
      </c>
      <c r="M142" s="55" t="str">
        <f t="shared" si="46"/>
        <v/>
      </c>
      <c r="N142" s="56" t="str">
        <f t="shared" si="47"/>
        <v/>
      </c>
      <c r="O142" s="56" t="str">
        <f t="shared" si="48"/>
        <v/>
      </c>
      <c r="P142" s="57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0">
        <f t="shared" si="43"/>
        <v>0</v>
      </c>
      <c r="AF142" s="60">
        <f t="shared" si="43"/>
        <v>0</v>
      </c>
      <c r="AG142" s="61"/>
      <c r="AL142" s="45" t="str">
        <f t="shared" si="35"/>
        <v/>
      </c>
      <c r="AM142" s="45">
        <v>133</v>
      </c>
      <c r="AN142" s="45">
        <f t="shared" si="36"/>
        <v>0</v>
      </c>
      <c r="AO142" s="45">
        <f t="shared" si="37"/>
        <v>0</v>
      </c>
      <c r="AP142" s="45">
        <f t="shared" si="38"/>
        <v>0</v>
      </c>
      <c r="AQ142" s="45">
        <f t="shared" si="39"/>
        <v>0</v>
      </c>
      <c r="AR142" s="45">
        <f t="shared" si="40"/>
        <v>0</v>
      </c>
      <c r="AS142" s="45">
        <f t="shared" si="41"/>
        <v>0</v>
      </c>
      <c r="AT142" s="45">
        <f t="shared" si="42"/>
        <v>0</v>
      </c>
      <c r="AU142" s="62" t="str">
        <f t="shared" si="44"/>
        <v/>
      </c>
    </row>
    <row r="143" spans="1:47" ht="13.5">
      <c r="A143" s="45" t="str">
        <f>IF(Base!B141="","",Base!B141)</f>
        <v>09.488.801-8</v>
      </c>
      <c r="B143" s="45" t="str">
        <f>IF(Base!F141="","",Base!F141)</f>
        <v>LUIS RICARDO  PALMA  SEREÑO</v>
      </c>
      <c r="C143" s="45" t="str">
        <f>IF(Base!I141="","",Base!I141)</f>
        <v>Linea 3</v>
      </c>
      <c r="D143" s="46" t="str">
        <f>IF(Base!J141="","",Base!J141)</f>
        <v>Llenador</v>
      </c>
      <c r="E143" s="45">
        <f>IF(Base!H141="","",Base!H141)</f>
        <v>1050555</v>
      </c>
      <c r="J143" s="53">
        <v>133</v>
      </c>
      <c r="K143" s="54"/>
      <c r="L143" s="55" t="str">
        <f t="shared" si="45"/>
        <v/>
      </c>
      <c r="M143" s="55" t="str">
        <f t="shared" si="46"/>
        <v/>
      </c>
      <c r="N143" s="56" t="str">
        <f t="shared" si="47"/>
        <v/>
      </c>
      <c r="O143" s="56" t="str">
        <f t="shared" si="48"/>
        <v/>
      </c>
      <c r="P143" s="57"/>
      <c r="Q143" s="63"/>
      <c r="R143" s="53"/>
      <c r="S143" s="63"/>
      <c r="T143" s="53"/>
      <c r="U143" s="63"/>
      <c r="V143" s="53"/>
      <c r="W143" s="63"/>
      <c r="X143" s="53"/>
      <c r="Y143" s="63"/>
      <c r="Z143" s="53"/>
      <c r="AA143" s="63"/>
      <c r="AB143" s="53"/>
      <c r="AC143" s="63"/>
      <c r="AD143" s="53"/>
      <c r="AE143" s="60">
        <f t="shared" si="43"/>
        <v>0</v>
      </c>
      <c r="AF143" s="60">
        <f t="shared" si="43"/>
        <v>0</v>
      </c>
      <c r="AG143" s="61"/>
      <c r="AL143" s="45" t="str">
        <f t="shared" si="35"/>
        <v/>
      </c>
      <c r="AM143" s="45">
        <v>134</v>
      </c>
      <c r="AN143" s="45">
        <f t="shared" si="36"/>
        <v>0</v>
      </c>
      <c r="AO143" s="45">
        <f t="shared" si="37"/>
        <v>0</v>
      </c>
      <c r="AP143" s="45">
        <f t="shared" si="38"/>
        <v>0</v>
      </c>
      <c r="AQ143" s="45">
        <f t="shared" si="39"/>
        <v>0</v>
      </c>
      <c r="AR143" s="45">
        <f t="shared" si="40"/>
        <v>0</v>
      </c>
      <c r="AS143" s="45">
        <f t="shared" si="41"/>
        <v>0</v>
      </c>
      <c r="AT143" s="45">
        <f t="shared" si="42"/>
        <v>0</v>
      </c>
      <c r="AU143" s="62" t="str">
        <f t="shared" si="44"/>
        <v/>
      </c>
    </row>
    <row r="144" spans="1:47" ht="13.5">
      <c r="A144" s="45" t="str">
        <f>IF(Base!B142="","",Base!B142)</f>
        <v>15.786.314-2</v>
      </c>
      <c r="B144" s="45" t="str">
        <f>IF(Base!F142="","",Base!F142)</f>
        <v>JUAN PABLO  PALMA  VERA</v>
      </c>
      <c r="C144" s="45" t="str">
        <f>IF(Base!I142="","",Base!I142)</f>
        <v>Linea 7</v>
      </c>
      <c r="D144" s="46" t="str">
        <f>IF(Base!J142="","",Base!J142)</f>
        <v>Palletizador</v>
      </c>
      <c r="E144" s="45">
        <f>IF(Base!H142="","",Base!H142)</f>
        <v>1050616</v>
      </c>
      <c r="J144" s="53">
        <v>134</v>
      </c>
      <c r="K144" s="54"/>
      <c r="L144" s="55" t="str">
        <f t="shared" si="45"/>
        <v/>
      </c>
      <c r="M144" s="55" t="str">
        <f t="shared" si="46"/>
        <v/>
      </c>
      <c r="N144" s="56" t="str">
        <f t="shared" si="47"/>
        <v/>
      </c>
      <c r="O144" s="56" t="str">
        <f t="shared" si="48"/>
        <v/>
      </c>
      <c r="P144" s="57"/>
      <c r="Q144" s="63"/>
      <c r="R144" s="53"/>
      <c r="S144" s="63"/>
      <c r="T144" s="53"/>
      <c r="U144" s="63"/>
      <c r="V144" s="53"/>
      <c r="W144" s="63"/>
      <c r="X144" s="53"/>
      <c r="Y144" s="63"/>
      <c r="Z144" s="53"/>
      <c r="AA144" s="63"/>
      <c r="AB144" s="53"/>
      <c r="AC144" s="63"/>
      <c r="AD144" s="53"/>
      <c r="AE144" s="60">
        <f t="shared" si="43"/>
        <v>0</v>
      </c>
      <c r="AF144" s="60">
        <f t="shared" si="43"/>
        <v>0</v>
      </c>
      <c r="AG144" s="61"/>
      <c r="AL144" s="45" t="str">
        <f t="shared" si="35"/>
        <v/>
      </c>
      <c r="AM144" s="45">
        <v>135</v>
      </c>
      <c r="AN144" s="45">
        <f t="shared" si="36"/>
        <v>0</v>
      </c>
      <c r="AO144" s="45">
        <f t="shared" si="37"/>
        <v>0</v>
      </c>
      <c r="AP144" s="45">
        <f t="shared" si="38"/>
        <v>0</v>
      </c>
      <c r="AQ144" s="45">
        <f t="shared" si="39"/>
        <v>0</v>
      </c>
      <c r="AR144" s="45">
        <f t="shared" si="40"/>
        <v>0</v>
      </c>
      <c r="AS144" s="45">
        <f t="shared" si="41"/>
        <v>0</v>
      </c>
      <c r="AT144" s="45">
        <f t="shared" si="42"/>
        <v>0</v>
      </c>
      <c r="AU144" s="62" t="str">
        <f t="shared" si="44"/>
        <v/>
      </c>
    </row>
    <row r="145" spans="1:47" ht="13.5">
      <c r="A145" s="45" t="str">
        <f>IF(Base!B143="","",Base!B143)</f>
        <v>16.266.817-K</v>
      </c>
      <c r="B145" s="45" t="str">
        <f>IF(Base!F143="","",Base!F143)</f>
        <v>RODRIGO ALEJANDRO  PEREZ  PADILLA</v>
      </c>
      <c r="C145" s="45" t="str">
        <f>IF(Base!I143="","",Base!I143)</f>
        <v>Abastecimiento</v>
      </c>
      <c r="D145" s="46" t="str">
        <f>IF(Base!J143="","",Base!J143)</f>
        <v>Preparación de Insum</v>
      </c>
      <c r="E145" s="45">
        <f>IF(Base!H143="","",Base!H143)</f>
        <v>1050127</v>
      </c>
      <c r="J145" s="53">
        <v>135</v>
      </c>
      <c r="K145" s="54"/>
      <c r="L145" s="55" t="str">
        <f t="shared" si="45"/>
        <v/>
      </c>
      <c r="M145" s="55" t="str">
        <f t="shared" si="46"/>
        <v/>
      </c>
      <c r="N145" s="56" t="str">
        <f t="shared" si="47"/>
        <v/>
      </c>
      <c r="O145" s="56" t="str">
        <f t="shared" si="48"/>
        <v/>
      </c>
      <c r="P145" s="57"/>
      <c r="Q145" s="63"/>
      <c r="R145" s="53"/>
      <c r="S145" s="63"/>
      <c r="T145" s="53"/>
      <c r="U145" s="63"/>
      <c r="V145" s="53"/>
      <c r="W145" s="63"/>
      <c r="X145" s="53"/>
      <c r="Y145" s="63"/>
      <c r="Z145" s="53"/>
      <c r="AA145" s="63"/>
      <c r="AB145" s="53"/>
      <c r="AC145" s="63"/>
      <c r="AD145" s="53"/>
      <c r="AE145" s="60">
        <f t="shared" si="43"/>
        <v>0</v>
      </c>
      <c r="AF145" s="60">
        <f t="shared" si="43"/>
        <v>0</v>
      </c>
      <c r="AG145" s="61"/>
      <c r="AL145" s="45" t="str">
        <f t="shared" si="35"/>
        <v/>
      </c>
      <c r="AM145" s="45">
        <v>136</v>
      </c>
      <c r="AN145" s="45">
        <f t="shared" si="36"/>
        <v>0</v>
      </c>
      <c r="AO145" s="45">
        <f t="shared" si="37"/>
        <v>0</v>
      </c>
      <c r="AP145" s="45">
        <f t="shared" si="38"/>
        <v>0</v>
      </c>
      <c r="AQ145" s="45">
        <f t="shared" si="39"/>
        <v>0</v>
      </c>
      <c r="AR145" s="45">
        <f t="shared" si="40"/>
        <v>0</v>
      </c>
      <c r="AS145" s="45">
        <f t="shared" si="41"/>
        <v>0</v>
      </c>
      <c r="AT145" s="45">
        <f t="shared" si="42"/>
        <v>0</v>
      </c>
      <c r="AU145" s="62" t="str">
        <f t="shared" si="44"/>
        <v/>
      </c>
    </row>
    <row r="146" spans="1:47" ht="13.5">
      <c r="A146" s="45" t="str">
        <f>IF(Base!B144="","",Base!B144)</f>
        <v>20.342.651-8</v>
      </c>
      <c r="B146" s="45" t="str">
        <f>IF(Base!F144="","",Base!F144)</f>
        <v>CARLOS PATRICIO  PEREZ  SALAZAR</v>
      </c>
      <c r="C146" s="45" t="str">
        <f>IF(Base!I144="","",Base!I144)</f>
        <v>Sala filtros</v>
      </c>
      <c r="D146" s="46" t="str">
        <f>IF(Base!J144="","",Base!J144)</f>
        <v>Operador sala de filtros</v>
      </c>
      <c r="E146" s="45">
        <f>IF(Base!H144="","",Base!H144)</f>
        <v>1050574</v>
      </c>
      <c r="J146" s="53">
        <v>136</v>
      </c>
      <c r="K146" s="54"/>
      <c r="L146" s="55" t="str">
        <f t="shared" si="45"/>
        <v/>
      </c>
      <c r="M146" s="55" t="str">
        <f t="shared" si="46"/>
        <v/>
      </c>
      <c r="N146" s="56" t="str">
        <f t="shared" si="47"/>
        <v/>
      </c>
      <c r="O146" s="56" t="str">
        <f t="shared" si="48"/>
        <v/>
      </c>
      <c r="P146" s="57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0">
        <f t="shared" si="43"/>
        <v>0</v>
      </c>
      <c r="AF146" s="60">
        <f t="shared" si="43"/>
        <v>0</v>
      </c>
      <c r="AG146" s="61"/>
      <c r="AL146" s="45" t="str">
        <f t="shared" si="35"/>
        <v/>
      </c>
      <c r="AM146" s="45">
        <v>137</v>
      </c>
      <c r="AN146" s="45">
        <f t="shared" si="36"/>
        <v>0</v>
      </c>
      <c r="AO146" s="45">
        <f t="shared" si="37"/>
        <v>0</v>
      </c>
      <c r="AP146" s="45">
        <f t="shared" si="38"/>
        <v>0</v>
      </c>
      <c r="AQ146" s="45">
        <f t="shared" si="39"/>
        <v>0</v>
      </c>
      <c r="AR146" s="45">
        <f t="shared" si="40"/>
        <v>0</v>
      </c>
      <c r="AS146" s="45">
        <f t="shared" si="41"/>
        <v>0</v>
      </c>
      <c r="AT146" s="45">
        <f t="shared" si="42"/>
        <v>0</v>
      </c>
      <c r="AU146" s="62" t="str">
        <f t="shared" si="44"/>
        <v/>
      </c>
    </row>
    <row r="147" spans="1:47" ht="13.5">
      <c r="A147" s="45" t="str">
        <f>IF(Base!B145="","",Base!B145)</f>
        <v>09.608.532-K</v>
      </c>
      <c r="B147" s="45" t="str">
        <f>IF(Base!F145="","",Base!F145)</f>
        <v>LUIS  PEZO  ANRIQUEZ</v>
      </c>
      <c r="C147" s="45" t="str">
        <f>IF(Base!I145="","",Base!I145)</f>
        <v>Supervisor</v>
      </c>
      <c r="D147" s="46" t="str">
        <f>IF(Base!J145="","",Base!J145)</f>
        <v>Supervisor</v>
      </c>
      <c r="E147" s="45">
        <f>IF(Base!H145="","",Base!H145)</f>
        <v>1050603</v>
      </c>
      <c r="J147" s="53">
        <v>137</v>
      </c>
      <c r="K147" s="54"/>
      <c r="L147" s="55" t="str">
        <f t="shared" si="45"/>
        <v/>
      </c>
      <c r="M147" s="55" t="str">
        <f t="shared" si="46"/>
        <v/>
      </c>
      <c r="N147" s="56" t="str">
        <f t="shared" si="47"/>
        <v/>
      </c>
      <c r="O147" s="56" t="str">
        <f t="shared" si="48"/>
        <v/>
      </c>
      <c r="P147" s="57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0">
        <f t="shared" si="43"/>
        <v>0</v>
      </c>
      <c r="AF147" s="60">
        <f t="shared" si="43"/>
        <v>0</v>
      </c>
      <c r="AG147" s="61"/>
      <c r="AL147" s="45" t="str">
        <f t="shared" si="35"/>
        <v/>
      </c>
      <c r="AM147" s="45">
        <v>138</v>
      </c>
      <c r="AN147" s="45">
        <f t="shared" si="36"/>
        <v>0</v>
      </c>
      <c r="AO147" s="45">
        <f t="shared" si="37"/>
        <v>0</v>
      </c>
      <c r="AP147" s="45">
        <f t="shared" si="38"/>
        <v>0</v>
      </c>
      <c r="AQ147" s="45">
        <f t="shared" si="39"/>
        <v>0</v>
      </c>
      <c r="AR147" s="45">
        <f t="shared" si="40"/>
        <v>0</v>
      </c>
      <c r="AS147" s="45">
        <f t="shared" si="41"/>
        <v>0</v>
      </c>
      <c r="AT147" s="45">
        <f t="shared" si="42"/>
        <v>0</v>
      </c>
      <c r="AU147" s="62" t="str">
        <f t="shared" si="44"/>
        <v/>
      </c>
    </row>
    <row r="148" spans="1:47" ht="13.5">
      <c r="A148" s="45" t="str">
        <f>IF(Base!B146="","",Base!B146)</f>
        <v>12.020.450-5</v>
      </c>
      <c r="B148" s="45" t="str">
        <f>IF(Base!F146="","",Base!F146)</f>
        <v>ROBERTO  PINEDA  PEREZ</v>
      </c>
      <c r="C148" s="45" t="str">
        <f>IF(Base!I146="","",Base!I146)</f>
        <v>Abastecimiento</v>
      </c>
      <c r="D148" s="46" t="str">
        <f>IF(Base!J146="","",Base!J146)</f>
        <v>Control Ingresos Cen</v>
      </c>
      <c r="E148" s="45">
        <f>IF(Base!H146="","",Base!H146)</f>
        <v>1050126</v>
      </c>
      <c r="J148" s="53">
        <v>138</v>
      </c>
      <c r="K148" s="54"/>
      <c r="L148" s="55" t="str">
        <f t="shared" si="45"/>
        <v/>
      </c>
      <c r="M148" s="55" t="str">
        <f t="shared" si="46"/>
        <v/>
      </c>
      <c r="N148" s="56" t="str">
        <f t="shared" si="47"/>
        <v/>
      </c>
      <c r="O148" s="56" t="str">
        <f t="shared" si="48"/>
        <v/>
      </c>
      <c r="P148" s="57"/>
      <c r="Q148" s="63"/>
      <c r="R148" s="53"/>
      <c r="S148" s="63"/>
      <c r="T148" s="53"/>
      <c r="U148" s="63"/>
      <c r="V148" s="53"/>
      <c r="W148" s="63"/>
      <c r="X148" s="53"/>
      <c r="Y148" s="63"/>
      <c r="Z148" s="53"/>
      <c r="AA148" s="63"/>
      <c r="AB148" s="53"/>
      <c r="AC148" s="63"/>
      <c r="AD148" s="53"/>
      <c r="AE148" s="60">
        <f t="shared" si="43"/>
        <v>0</v>
      </c>
      <c r="AF148" s="60">
        <f t="shared" si="43"/>
        <v>0</v>
      </c>
      <c r="AG148" s="61"/>
      <c r="AL148" s="45" t="str">
        <f t="shared" si="35"/>
        <v/>
      </c>
      <c r="AM148" s="45">
        <v>139</v>
      </c>
      <c r="AN148" s="45">
        <f t="shared" si="36"/>
        <v>0</v>
      </c>
      <c r="AO148" s="45">
        <f t="shared" si="37"/>
        <v>0</v>
      </c>
      <c r="AP148" s="45">
        <f t="shared" si="38"/>
        <v>0</v>
      </c>
      <c r="AQ148" s="45">
        <f t="shared" si="39"/>
        <v>0</v>
      </c>
      <c r="AR148" s="45">
        <f t="shared" si="40"/>
        <v>0</v>
      </c>
      <c r="AS148" s="45">
        <f t="shared" si="41"/>
        <v>0</v>
      </c>
      <c r="AT148" s="45">
        <f t="shared" si="42"/>
        <v>0</v>
      </c>
      <c r="AU148" s="62" t="str">
        <f t="shared" si="44"/>
        <v/>
      </c>
    </row>
    <row r="149" spans="1:47" ht="13.5">
      <c r="A149" s="45" t="str">
        <f>IF(Base!B147="","",Base!B147)</f>
        <v>06.528.911-3</v>
      </c>
      <c r="B149" s="45" t="str">
        <f>IF(Base!F147="","",Base!F147)</f>
        <v>CARLOS  PINO  MARTINEZ</v>
      </c>
      <c r="C149" s="45" t="str">
        <f>IF(Base!I147="","",Base!I147)</f>
        <v>Linea 2</v>
      </c>
      <c r="D149" s="46" t="str">
        <f>IF(Base!J147="","",Base!J147)</f>
        <v>Capsulado</v>
      </c>
      <c r="E149" s="45">
        <f>IF(Base!H147="","",Base!H147)</f>
        <v>1050554</v>
      </c>
      <c r="J149" s="53">
        <v>139</v>
      </c>
      <c r="K149" s="54"/>
      <c r="L149" s="55" t="str">
        <f t="shared" si="45"/>
        <v/>
      </c>
      <c r="M149" s="55" t="str">
        <f t="shared" si="46"/>
        <v/>
      </c>
      <c r="N149" s="56" t="str">
        <f t="shared" si="47"/>
        <v/>
      </c>
      <c r="O149" s="56" t="str">
        <f t="shared" si="48"/>
        <v/>
      </c>
      <c r="P149" s="57"/>
      <c r="Q149" s="63"/>
      <c r="R149" s="53"/>
      <c r="S149" s="63"/>
      <c r="T149" s="53"/>
      <c r="U149" s="63"/>
      <c r="V149" s="53"/>
      <c r="W149" s="63"/>
      <c r="X149" s="53"/>
      <c r="Y149" s="63"/>
      <c r="Z149" s="53"/>
      <c r="AA149" s="63"/>
      <c r="AB149" s="53"/>
      <c r="AC149" s="63"/>
      <c r="AD149" s="53"/>
      <c r="AE149" s="60">
        <f t="shared" si="43"/>
        <v>0</v>
      </c>
      <c r="AF149" s="60">
        <f t="shared" si="43"/>
        <v>0</v>
      </c>
      <c r="AG149" s="61"/>
      <c r="AL149" s="45" t="str">
        <f t="shared" si="35"/>
        <v/>
      </c>
      <c r="AM149" s="45">
        <v>140</v>
      </c>
      <c r="AN149" s="45">
        <f t="shared" si="36"/>
        <v>0</v>
      </c>
      <c r="AO149" s="45">
        <f t="shared" si="37"/>
        <v>0</v>
      </c>
      <c r="AP149" s="45">
        <f t="shared" si="38"/>
        <v>0</v>
      </c>
      <c r="AQ149" s="45">
        <f t="shared" si="39"/>
        <v>0</v>
      </c>
      <c r="AR149" s="45">
        <f t="shared" si="40"/>
        <v>0</v>
      </c>
      <c r="AS149" s="45">
        <f t="shared" si="41"/>
        <v>0</v>
      </c>
      <c r="AT149" s="45">
        <f t="shared" si="42"/>
        <v>0</v>
      </c>
      <c r="AU149" s="62" t="str">
        <f t="shared" si="44"/>
        <v/>
      </c>
    </row>
    <row r="150" spans="1:47" ht="13.5">
      <c r="A150" s="45" t="str">
        <f>IF(Base!B148="","",Base!B148)</f>
        <v>06.010.169-8</v>
      </c>
      <c r="B150" s="45" t="str">
        <f>IF(Base!F148="","",Base!F148)</f>
        <v>GUILLERMO  PINO  QUINTANILLA</v>
      </c>
      <c r="C150" s="45" t="str">
        <f>IF(Base!I148="","",Base!I148)</f>
        <v>Linea 7</v>
      </c>
      <c r="D150" s="46" t="str">
        <f>IF(Base!J148="","",Base!J148)</f>
        <v>Embalador</v>
      </c>
      <c r="E150" s="45">
        <f>IF(Base!H148="","",Base!H148)</f>
        <v>1050616</v>
      </c>
      <c r="J150" s="53">
        <v>140</v>
      </c>
      <c r="K150" s="54"/>
      <c r="L150" s="55" t="str">
        <f t="shared" si="45"/>
        <v/>
      </c>
      <c r="M150" s="55" t="str">
        <f t="shared" si="46"/>
        <v/>
      </c>
      <c r="N150" s="56" t="str">
        <f t="shared" si="47"/>
        <v/>
      </c>
      <c r="O150" s="56" t="str">
        <f t="shared" si="48"/>
        <v/>
      </c>
      <c r="P150" s="57"/>
      <c r="Q150" s="63"/>
      <c r="R150" s="53"/>
      <c r="S150" s="63"/>
      <c r="T150" s="53"/>
      <c r="U150" s="63"/>
      <c r="V150" s="53"/>
      <c r="W150" s="63"/>
      <c r="X150" s="53"/>
      <c r="Y150" s="63"/>
      <c r="Z150" s="53"/>
      <c r="AA150" s="63"/>
      <c r="AB150" s="53"/>
      <c r="AC150" s="63"/>
      <c r="AD150" s="53"/>
      <c r="AE150" s="60">
        <f t="shared" si="43"/>
        <v>0</v>
      </c>
      <c r="AF150" s="60">
        <f t="shared" si="43"/>
        <v>0</v>
      </c>
      <c r="AG150" s="61"/>
      <c r="AL150" s="45" t="str">
        <f t="shared" si="35"/>
        <v/>
      </c>
      <c r="AM150" s="45">
        <v>141</v>
      </c>
      <c r="AN150" s="45">
        <f t="shared" si="36"/>
        <v>0</v>
      </c>
      <c r="AO150" s="45">
        <f t="shared" si="37"/>
        <v>0</v>
      </c>
      <c r="AP150" s="45">
        <f t="shared" si="38"/>
        <v>0</v>
      </c>
      <c r="AQ150" s="45">
        <f t="shared" si="39"/>
        <v>0</v>
      </c>
      <c r="AR150" s="45">
        <f t="shared" si="40"/>
        <v>0</v>
      </c>
      <c r="AS150" s="45">
        <f t="shared" si="41"/>
        <v>0</v>
      </c>
      <c r="AT150" s="45">
        <f t="shared" si="42"/>
        <v>0</v>
      </c>
      <c r="AU150" s="62" t="str">
        <f t="shared" si="44"/>
        <v/>
      </c>
    </row>
    <row r="151" spans="1:47" ht="13.5">
      <c r="A151" s="45" t="str">
        <f>IF(Base!B149="","",Base!B149)</f>
        <v>06.940.813-3</v>
      </c>
      <c r="B151" s="45" t="str">
        <f>IF(Base!F149="","",Base!F149)</f>
        <v>ISAIAS  PLAZA  ALFARO</v>
      </c>
      <c r="C151" s="45" t="str">
        <f>IF(Base!I149="","",Base!I149)</f>
        <v>Linea 3</v>
      </c>
      <c r="D151" s="46" t="str">
        <f>IF(Base!J149="","",Base!J149)</f>
        <v>Despalletizador</v>
      </c>
      <c r="E151" s="45">
        <f>IF(Base!H149="","",Base!H149)</f>
        <v>1050555</v>
      </c>
      <c r="J151" s="53">
        <v>141</v>
      </c>
      <c r="K151" s="54"/>
      <c r="L151" s="55" t="str">
        <f t="shared" si="45"/>
        <v/>
      </c>
      <c r="M151" s="55" t="str">
        <f t="shared" si="46"/>
        <v/>
      </c>
      <c r="N151" s="56" t="str">
        <f t="shared" si="47"/>
        <v/>
      </c>
      <c r="O151" s="56" t="str">
        <f t="shared" si="48"/>
        <v/>
      </c>
      <c r="P151" s="57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0">
        <f t="shared" si="43"/>
        <v>0</v>
      </c>
      <c r="AF151" s="60">
        <f t="shared" si="43"/>
        <v>0</v>
      </c>
      <c r="AG151" s="61"/>
      <c r="AL151" s="45" t="str">
        <f t="shared" si="35"/>
        <v/>
      </c>
      <c r="AM151" s="45">
        <v>142</v>
      </c>
      <c r="AN151" s="45">
        <f t="shared" si="36"/>
        <v>0</v>
      </c>
      <c r="AO151" s="45">
        <f t="shared" si="37"/>
        <v>0</v>
      </c>
      <c r="AP151" s="45">
        <f t="shared" si="38"/>
        <v>0</v>
      </c>
      <c r="AQ151" s="45">
        <f t="shared" si="39"/>
        <v>0</v>
      </c>
      <c r="AR151" s="45">
        <f t="shared" si="40"/>
        <v>0</v>
      </c>
      <c r="AS151" s="45">
        <f t="shared" si="41"/>
        <v>0</v>
      </c>
      <c r="AT151" s="45">
        <f t="shared" si="42"/>
        <v>0</v>
      </c>
      <c r="AU151" s="62" t="str">
        <f t="shared" si="44"/>
        <v/>
      </c>
    </row>
    <row r="152" spans="1:47" ht="13.5">
      <c r="A152" s="45" t="str">
        <f>IF(Base!B150="","",Base!B150)</f>
        <v>15.444.951-5</v>
      </c>
      <c r="B152" s="45" t="str">
        <f>IF(Base!F150="","",Base!F150)</f>
        <v>MIGUEL ANTONIO  PLAZA  ARAYA</v>
      </c>
      <c r="C152" s="45" t="str">
        <f>IF(Base!I150="","",Base!I150)</f>
        <v>Abastecimiento</v>
      </c>
      <c r="D152" s="46" t="str">
        <f>IF(Base!J150="","",Base!J150)</f>
        <v>Suministro de Líneas</v>
      </c>
      <c r="E152" s="45">
        <f>IF(Base!H150="","",Base!H150)</f>
        <v>1050633</v>
      </c>
      <c r="J152" s="53">
        <v>142</v>
      </c>
      <c r="K152" s="54"/>
      <c r="L152" s="55" t="str">
        <f t="shared" si="45"/>
        <v/>
      </c>
      <c r="M152" s="55" t="str">
        <f t="shared" si="46"/>
        <v/>
      </c>
      <c r="N152" s="56" t="str">
        <f t="shared" si="47"/>
        <v/>
      </c>
      <c r="O152" s="56" t="str">
        <f t="shared" si="48"/>
        <v/>
      </c>
      <c r="P152" s="57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0">
        <f t="shared" si="43"/>
        <v>0</v>
      </c>
      <c r="AF152" s="60">
        <f t="shared" si="43"/>
        <v>0</v>
      </c>
      <c r="AG152" s="61"/>
      <c r="AL152" s="45" t="str">
        <f t="shared" si="35"/>
        <v/>
      </c>
      <c r="AM152" s="45">
        <v>143</v>
      </c>
      <c r="AN152" s="45">
        <f t="shared" si="36"/>
        <v>0</v>
      </c>
      <c r="AO152" s="45">
        <f t="shared" si="37"/>
        <v>0</v>
      </c>
      <c r="AP152" s="45">
        <f t="shared" si="38"/>
        <v>0</v>
      </c>
      <c r="AQ152" s="45">
        <f t="shared" si="39"/>
        <v>0</v>
      </c>
      <c r="AR152" s="45">
        <f t="shared" si="40"/>
        <v>0</v>
      </c>
      <c r="AS152" s="45">
        <f t="shared" si="41"/>
        <v>0</v>
      </c>
      <c r="AT152" s="45">
        <f t="shared" si="42"/>
        <v>0</v>
      </c>
      <c r="AU152" s="62" t="str">
        <f t="shared" si="44"/>
        <v/>
      </c>
    </row>
    <row r="153" spans="1:47" ht="13.5">
      <c r="A153" s="45" t="str">
        <f>IF(Base!B151="","",Base!B151)</f>
        <v>13.297.988-K</v>
      </c>
      <c r="B153" s="45" t="str">
        <f>IF(Base!F151="","",Base!F151)</f>
        <v>JORGE  POBLETE  RIVEROS</v>
      </c>
      <c r="C153" s="45" t="str">
        <f>IF(Base!I151="","",Base!I151)</f>
        <v>Linea 6</v>
      </c>
      <c r="D153" s="46" t="str">
        <f>IF(Base!J151="","",Base!J151)</f>
        <v>Llenador</v>
      </c>
      <c r="E153" s="45">
        <f>IF(Base!H151="","",Base!H151)</f>
        <v>1050609</v>
      </c>
      <c r="J153" s="53">
        <v>143</v>
      </c>
      <c r="K153" s="54"/>
      <c r="L153" s="55" t="str">
        <f t="shared" si="45"/>
        <v/>
      </c>
      <c r="M153" s="55" t="str">
        <f t="shared" si="46"/>
        <v/>
      </c>
      <c r="N153" s="56" t="str">
        <f t="shared" si="47"/>
        <v/>
      </c>
      <c r="O153" s="56" t="str">
        <f t="shared" si="48"/>
        <v/>
      </c>
      <c r="P153" s="57"/>
      <c r="Q153" s="63"/>
      <c r="R153" s="53"/>
      <c r="S153" s="63"/>
      <c r="T153" s="53"/>
      <c r="U153" s="63"/>
      <c r="V153" s="53"/>
      <c r="W153" s="63"/>
      <c r="X153" s="53"/>
      <c r="Y153" s="63"/>
      <c r="Z153" s="53"/>
      <c r="AA153" s="63"/>
      <c r="AB153" s="53"/>
      <c r="AC153" s="63"/>
      <c r="AD153" s="53"/>
      <c r="AE153" s="60">
        <f t="shared" si="43"/>
        <v>0</v>
      </c>
      <c r="AF153" s="60">
        <f t="shared" si="43"/>
        <v>0</v>
      </c>
      <c r="AG153" s="61"/>
      <c r="AL153" s="45" t="str">
        <f t="shared" ref="AL153:AL216" si="49">IF(K153="","",K153)</f>
        <v/>
      </c>
      <c r="AM153" s="45">
        <v>144</v>
      </c>
      <c r="AN153" s="45">
        <f t="shared" ref="AN153:AN216" si="50">SUM(Q153:R153)</f>
        <v>0</v>
      </c>
      <c r="AO153" s="45">
        <f t="shared" ref="AO153:AO216" si="51">SUM(S153:T153)</f>
        <v>0</v>
      </c>
      <c r="AP153" s="45">
        <f t="shared" ref="AP153:AP216" si="52">SUM(U153:V153)</f>
        <v>0</v>
      </c>
      <c r="AQ153" s="45">
        <f t="shared" ref="AQ153:AQ216" si="53">SUM(W153:X153)</f>
        <v>0</v>
      </c>
      <c r="AR153" s="45">
        <f t="shared" ref="AR153:AR216" si="54">SUM(Y153:Z153)</f>
        <v>0</v>
      </c>
      <c r="AS153" s="45">
        <f t="shared" ref="AS153:AS216" si="55">SUM(AA153:AB153)</f>
        <v>0</v>
      </c>
      <c r="AT153" s="45">
        <f t="shared" ref="AT153:AT216" si="56">SUM(AC153:AD153)</f>
        <v>0</v>
      </c>
      <c r="AU153" s="62" t="str">
        <f t="shared" si="44"/>
        <v/>
      </c>
    </row>
    <row r="154" spans="1:47" ht="13.5">
      <c r="A154" s="45" t="str">
        <f>IF(Base!B152="","",Base!B152)</f>
        <v>16149604-</v>
      </c>
      <c r="B154" s="45" t="str">
        <f>IF(Base!F152="","",Base!F152)</f>
        <v>RODRIGO  POBLETE  SANDOVAL</v>
      </c>
      <c r="C154" s="45" t="str">
        <f>IF(Base!I152="","",Base!I152)</f>
        <v>Setup</v>
      </c>
      <c r="D154" s="46" t="str">
        <f>IF(Base!J152="","",Base!J152)</f>
        <v>Setup</v>
      </c>
      <c r="E154" s="45">
        <f>IF(Base!H152="","",Base!H152)</f>
        <v>1050529</v>
      </c>
      <c r="J154" s="53">
        <v>144</v>
      </c>
      <c r="K154" s="54"/>
      <c r="L154" s="55" t="str">
        <f t="shared" si="45"/>
        <v/>
      </c>
      <c r="M154" s="55" t="str">
        <f t="shared" si="46"/>
        <v/>
      </c>
      <c r="N154" s="56" t="str">
        <f t="shared" si="47"/>
        <v/>
      </c>
      <c r="O154" s="56" t="str">
        <f t="shared" si="48"/>
        <v/>
      </c>
      <c r="P154" s="57"/>
      <c r="Q154" s="63"/>
      <c r="R154" s="53"/>
      <c r="S154" s="63"/>
      <c r="T154" s="53"/>
      <c r="U154" s="63"/>
      <c r="V154" s="53"/>
      <c r="W154" s="63"/>
      <c r="X154" s="53"/>
      <c r="Y154" s="63"/>
      <c r="Z154" s="53"/>
      <c r="AA154" s="63"/>
      <c r="AB154" s="53"/>
      <c r="AC154" s="63"/>
      <c r="AD154" s="53"/>
      <c r="AE154" s="60">
        <f t="shared" si="43"/>
        <v>0</v>
      </c>
      <c r="AF154" s="60">
        <f t="shared" si="43"/>
        <v>0</v>
      </c>
      <c r="AG154" s="61"/>
      <c r="AL154" s="45" t="str">
        <f t="shared" si="49"/>
        <v/>
      </c>
      <c r="AM154" s="45">
        <v>145</v>
      </c>
      <c r="AN154" s="45">
        <f t="shared" si="50"/>
        <v>0</v>
      </c>
      <c r="AO154" s="45">
        <f t="shared" si="51"/>
        <v>0</v>
      </c>
      <c r="AP154" s="45">
        <f t="shared" si="52"/>
        <v>0</v>
      </c>
      <c r="AQ154" s="45">
        <f t="shared" si="53"/>
        <v>0</v>
      </c>
      <c r="AR154" s="45">
        <f t="shared" si="54"/>
        <v>0</v>
      </c>
      <c r="AS154" s="45">
        <f t="shared" si="55"/>
        <v>0</v>
      </c>
      <c r="AT154" s="45">
        <f t="shared" si="56"/>
        <v>0</v>
      </c>
      <c r="AU154" s="62" t="str">
        <f t="shared" si="44"/>
        <v/>
      </c>
    </row>
    <row r="155" spans="1:47" ht="13.5">
      <c r="A155" s="45" t="str">
        <f>IF(Base!B153="","",Base!B153)</f>
        <v>16.408.490-6</v>
      </c>
      <c r="B155" s="45" t="str">
        <f>IF(Base!F153="","",Base!F153)</f>
        <v>JUAN MIGUEL  POZO  CAMPOS</v>
      </c>
      <c r="C155" s="45" t="str">
        <f>IF(Base!I153="","",Base!I153)</f>
        <v>Reemplazo Sindicato</v>
      </c>
      <c r="D155" s="46" t="str">
        <f>IF(Base!J153="","",Base!J153)</f>
        <v>Reemplazo Sindicato</v>
      </c>
      <c r="E155" s="45">
        <f>IF(Base!H153="","",Base!H153)</f>
        <v>1050502</v>
      </c>
      <c r="J155" s="53">
        <v>145</v>
      </c>
      <c r="K155" s="54"/>
      <c r="L155" s="55" t="str">
        <f t="shared" si="45"/>
        <v/>
      </c>
      <c r="M155" s="55" t="str">
        <f t="shared" si="46"/>
        <v/>
      </c>
      <c r="N155" s="56" t="str">
        <f t="shared" si="47"/>
        <v/>
      </c>
      <c r="O155" s="56" t="str">
        <f t="shared" si="48"/>
        <v/>
      </c>
      <c r="P155" s="57"/>
      <c r="Q155" s="63"/>
      <c r="R155" s="53"/>
      <c r="S155" s="63"/>
      <c r="T155" s="53"/>
      <c r="U155" s="63"/>
      <c r="V155" s="53"/>
      <c r="W155" s="63"/>
      <c r="X155" s="53"/>
      <c r="Y155" s="63"/>
      <c r="Z155" s="53"/>
      <c r="AA155" s="63"/>
      <c r="AB155" s="53"/>
      <c r="AC155" s="63"/>
      <c r="AD155" s="53"/>
      <c r="AE155" s="60">
        <f t="shared" si="43"/>
        <v>0</v>
      </c>
      <c r="AF155" s="60">
        <f t="shared" si="43"/>
        <v>0</v>
      </c>
      <c r="AG155" s="61"/>
      <c r="AL155" s="45" t="str">
        <f t="shared" si="49"/>
        <v/>
      </c>
      <c r="AM155" s="45">
        <v>146</v>
      </c>
      <c r="AN155" s="45">
        <f t="shared" si="50"/>
        <v>0</v>
      </c>
      <c r="AO155" s="45">
        <f t="shared" si="51"/>
        <v>0</v>
      </c>
      <c r="AP155" s="45">
        <f t="shared" si="52"/>
        <v>0</v>
      </c>
      <c r="AQ155" s="45">
        <f t="shared" si="53"/>
        <v>0</v>
      </c>
      <c r="AR155" s="45">
        <f t="shared" si="54"/>
        <v>0</v>
      </c>
      <c r="AS155" s="45">
        <f t="shared" si="55"/>
        <v>0</v>
      </c>
      <c r="AT155" s="45">
        <f t="shared" si="56"/>
        <v>0</v>
      </c>
      <c r="AU155" s="62" t="str">
        <f t="shared" si="44"/>
        <v/>
      </c>
    </row>
    <row r="156" spans="1:47" ht="13.5">
      <c r="A156" s="45" t="str">
        <f>IF(Base!B154="","",Base!B154)</f>
        <v>07.721.223-K</v>
      </c>
      <c r="B156" s="45" t="str">
        <f>IF(Base!F154="","",Base!F154)</f>
        <v>JOSE MANUEL  QUIROZ  VENEGAS</v>
      </c>
      <c r="C156" s="45" t="str">
        <f>IF(Base!I154="","",Base!I154)</f>
        <v>Abastecimiento</v>
      </c>
      <c r="D156" s="46" t="str">
        <f>IF(Base!J154="","",Base!J154)</f>
        <v>Suministro de Líneas</v>
      </c>
      <c r="E156" s="45">
        <f>IF(Base!H154="","",Base!H154)</f>
        <v>1050633</v>
      </c>
      <c r="J156" s="53">
        <v>146</v>
      </c>
      <c r="K156" s="54"/>
      <c r="L156" s="55" t="str">
        <f t="shared" si="45"/>
        <v/>
      </c>
      <c r="M156" s="55" t="str">
        <f t="shared" si="46"/>
        <v/>
      </c>
      <c r="N156" s="56" t="str">
        <f t="shared" si="47"/>
        <v/>
      </c>
      <c r="O156" s="56" t="str">
        <f t="shared" si="48"/>
        <v/>
      </c>
      <c r="P156" s="57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0">
        <f t="shared" si="43"/>
        <v>0</v>
      </c>
      <c r="AF156" s="60">
        <f t="shared" si="43"/>
        <v>0</v>
      </c>
      <c r="AG156" s="61"/>
      <c r="AL156" s="45" t="str">
        <f t="shared" si="49"/>
        <v/>
      </c>
      <c r="AM156" s="45">
        <v>147</v>
      </c>
      <c r="AN156" s="45">
        <f t="shared" si="50"/>
        <v>0</v>
      </c>
      <c r="AO156" s="45">
        <f t="shared" si="51"/>
        <v>0</v>
      </c>
      <c r="AP156" s="45">
        <f t="shared" si="52"/>
        <v>0</v>
      </c>
      <c r="AQ156" s="45">
        <f t="shared" si="53"/>
        <v>0</v>
      </c>
      <c r="AR156" s="45">
        <f t="shared" si="54"/>
        <v>0</v>
      </c>
      <c r="AS156" s="45">
        <f t="shared" si="55"/>
        <v>0</v>
      </c>
      <c r="AT156" s="45">
        <f t="shared" si="56"/>
        <v>0</v>
      </c>
      <c r="AU156" s="62" t="str">
        <f t="shared" si="44"/>
        <v/>
      </c>
    </row>
    <row r="157" spans="1:47" ht="13.5">
      <c r="A157" s="45" t="str">
        <f>IF(Base!B155="","",Base!B155)</f>
        <v>12.051.254-4</v>
      </c>
      <c r="B157" s="45" t="str">
        <f>IF(Base!F155="","",Base!F155)</f>
        <v>MAURICIO  NOVA  FIGUEROA</v>
      </c>
      <c r="C157" s="45" t="str">
        <f>IF(Base!I155="","",Base!I155)</f>
        <v>Abastecimiento</v>
      </c>
      <c r="D157" s="46" t="str">
        <f>IF(Base!J155="","",Base!J155)</f>
        <v>Analista de Inventario</v>
      </c>
      <c r="E157" s="45">
        <f>IF(Base!H155="","",Base!H155)</f>
        <v>1050161</v>
      </c>
      <c r="J157" s="53">
        <v>147</v>
      </c>
      <c r="K157" s="54"/>
      <c r="L157" s="55" t="str">
        <f t="shared" si="45"/>
        <v/>
      </c>
      <c r="M157" s="55" t="str">
        <f t="shared" si="46"/>
        <v/>
      </c>
      <c r="N157" s="56" t="str">
        <f t="shared" si="47"/>
        <v/>
      </c>
      <c r="O157" s="56" t="str">
        <f t="shared" si="48"/>
        <v/>
      </c>
      <c r="P157" s="57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0">
        <f t="shared" si="43"/>
        <v>0</v>
      </c>
      <c r="AF157" s="60">
        <f t="shared" si="43"/>
        <v>0</v>
      </c>
      <c r="AG157" s="61"/>
      <c r="AL157" s="45" t="str">
        <f t="shared" si="49"/>
        <v/>
      </c>
      <c r="AM157" s="45">
        <v>148</v>
      </c>
      <c r="AN157" s="45">
        <f t="shared" si="50"/>
        <v>0</v>
      </c>
      <c r="AO157" s="45">
        <f t="shared" si="51"/>
        <v>0</v>
      </c>
      <c r="AP157" s="45">
        <f t="shared" si="52"/>
        <v>0</v>
      </c>
      <c r="AQ157" s="45">
        <f t="shared" si="53"/>
        <v>0</v>
      </c>
      <c r="AR157" s="45">
        <f t="shared" si="54"/>
        <v>0</v>
      </c>
      <c r="AS157" s="45">
        <f t="shared" si="55"/>
        <v>0</v>
      </c>
      <c r="AT157" s="45">
        <f t="shared" si="56"/>
        <v>0</v>
      </c>
      <c r="AU157" s="62" t="str">
        <f t="shared" si="44"/>
        <v/>
      </c>
    </row>
    <row r="158" spans="1:47" ht="13.5">
      <c r="A158" s="45" t="str">
        <f>IF(Base!B156="","",Base!B156)</f>
        <v>07.913.597-6</v>
      </c>
      <c r="B158" s="45" t="str">
        <f>IF(Base!F156="","",Base!F156)</f>
        <v>JOSE  RAMIREZ  ROJAS</v>
      </c>
      <c r="C158" s="45" t="str">
        <f>IF(Base!I156="","",Base!I156)</f>
        <v>Abastecimiento</v>
      </c>
      <c r="D158" s="46" t="str">
        <f>IF(Base!J156="","",Base!J156)</f>
        <v>Preparación de Insum</v>
      </c>
      <c r="E158" s="45">
        <f>IF(Base!H156="","",Base!H156)</f>
        <v>1050127</v>
      </c>
      <c r="J158" s="53">
        <v>148</v>
      </c>
      <c r="K158" s="54"/>
      <c r="L158" s="55" t="str">
        <f t="shared" si="45"/>
        <v/>
      </c>
      <c r="M158" s="55" t="str">
        <f t="shared" si="46"/>
        <v/>
      </c>
      <c r="N158" s="56" t="str">
        <f t="shared" si="47"/>
        <v/>
      </c>
      <c r="O158" s="56" t="str">
        <f t="shared" si="48"/>
        <v/>
      </c>
      <c r="P158" s="57"/>
      <c r="Q158" s="63"/>
      <c r="R158" s="53"/>
      <c r="S158" s="63"/>
      <c r="T158" s="53"/>
      <c r="U158" s="63"/>
      <c r="V158" s="53"/>
      <c r="W158" s="63"/>
      <c r="X158" s="53"/>
      <c r="Y158" s="63"/>
      <c r="Z158" s="53"/>
      <c r="AA158" s="63"/>
      <c r="AB158" s="53"/>
      <c r="AC158" s="63"/>
      <c r="AD158" s="53"/>
      <c r="AE158" s="60">
        <f t="shared" si="43"/>
        <v>0</v>
      </c>
      <c r="AF158" s="60">
        <f t="shared" si="43"/>
        <v>0</v>
      </c>
      <c r="AG158" s="61"/>
      <c r="AL158" s="45" t="str">
        <f t="shared" si="49"/>
        <v/>
      </c>
      <c r="AM158" s="45">
        <v>149</v>
      </c>
      <c r="AN158" s="45">
        <f t="shared" si="50"/>
        <v>0</v>
      </c>
      <c r="AO158" s="45">
        <f t="shared" si="51"/>
        <v>0</v>
      </c>
      <c r="AP158" s="45">
        <f t="shared" si="52"/>
        <v>0</v>
      </c>
      <c r="AQ158" s="45">
        <f t="shared" si="53"/>
        <v>0</v>
      </c>
      <c r="AR158" s="45">
        <f t="shared" si="54"/>
        <v>0</v>
      </c>
      <c r="AS158" s="45">
        <f t="shared" si="55"/>
        <v>0</v>
      </c>
      <c r="AT158" s="45">
        <f t="shared" si="56"/>
        <v>0</v>
      </c>
      <c r="AU158" s="62" t="str">
        <f t="shared" si="44"/>
        <v/>
      </c>
    </row>
    <row r="159" spans="1:47" ht="13.5">
      <c r="A159" s="45" t="str">
        <f>IF(Base!B157="","",Base!B157)</f>
        <v>10.168.958-1</v>
      </c>
      <c r="B159" s="45" t="str">
        <f>IF(Base!F157="","",Base!F157)</f>
        <v>RAUL  RAMIREZ  VASQUEZ</v>
      </c>
      <c r="C159" s="45" t="str">
        <f>IF(Base!I157="","",Base!I157)</f>
        <v>Abastecimiento</v>
      </c>
      <c r="D159" s="46" t="str">
        <f>IF(Base!J157="","",Base!J157)</f>
        <v>Suministro de Líneas</v>
      </c>
      <c r="E159" s="45">
        <f>IF(Base!H157="","",Base!H157)</f>
        <v>1050633</v>
      </c>
      <c r="J159" s="53">
        <v>149</v>
      </c>
      <c r="K159" s="54"/>
      <c r="L159" s="55" t="str">
        <f t="shared" si="45"/>
        <v/>
      </c>
      <c r="M159" s="55" t="str">
        <f t="shared" si="46"/>
        <v/>
      </c>
      <c r="N159" s="56" t="str">
        <f t="shared" si="47"/>
        <v/>
      </c>
      <c r="O159" s="56" t="str">
        <f t="shared" si="48"/>
        <v/>
      </c>
      <c r="P159" s="57"/>
      <c r="Q159" s="63"/>
      <c r="R159" s="53"/>
      <c r="S159" s="63"/>
      <c r="T159" s="53"/>
      <c r="U159" s="63"/>
      <c r="V159" s="53"/>
      <c r="W159" s="63"/>
      <c r="X159" s="53"/>
      <c r="Y159" s="63"/>
      <c r="Z159" s="53"/>
      <c r="AA159" s="63"/>
      <c r="AB159" s="53"/>
      <c r="AC159" s="63"/>
      <c r="AD159" s="53"/>
      <c r="AE159" s="60">
        <f t="shared" si="43"/>
        <v>0</v>
      </c>
      <c r="AF159" s="60">
        <f t="shared" si="43"/>
        <v>0</v>
      </c>
      <c r="AG159" s="61"/>
      <c r="AL159" s="45" t="str">
        <f t="shared" si="49"/>
        <v/>
      </c>
      <c r="AM159" s="45">
        <v>150</v>
      </c>
      <c r="AN159" s="45">
        <f t="shared" si="50"/>
        <v>0</v>
      </c>
      <c r="AO159" s="45">
        <f t="shared" si="51"/>
        <v>0</v>
      </c>
      <c r="AP159" s="45">
        <f t="shared" si="52"/>
        <v>0</v>
      </c>
      <c r="AQ159" s="45">
        <f t="shared" si="53"/>
        <v>0</v>
      </c>
      <c r="AR159" s="45">
        <f t="shared" si="54"/>
        <v>0</v>
      </c>
      <c r="AS159" s="45">
        <f t="shared" si="55"/>
        <v>0</v>
      </c>
      <c r="AT159" s="45">
        <f t="shared" si="56"/>
        <v>0</v>
      </c>
      <c r="AU159" s="62" t="str">
        <f t="shared" si="44"/>
        <v/>
      </c>
    </row>
    <row r="160" spans="1:47" ht="13.5">
      <c r="A160" s="45" t="str">
        <f>IF(Base!B158="","",Base!B158)</f>
        <v>09.741.880-2</v>
      </c>
      <c r="B160" s="45" t="str">
        <f>IF(Base!F158="","",Base!F158)</f>
        <v>LAURA CECILIA  REINOSO  SALAS</v>
      </c>
      <c r="C160" s="45" t="str">
        <f>IF(Base!I158="","",Base!I158)</f>
        <v>Abastecimiento</v>
      </c>
      <c r="D160" s="46" t="str">
        <f>IF(Base!J158="","",Base!J158)</f>
        <v>Control Ingresos Cen</v>
      </c>
      <c r="E160" s="45">
        <f>IF(Base!H158="","",Base!H158)</f>
        <v>1050126</v>
      </c>
      <c r="J160" s="53">
        <v>150</v>
      </c>
      <c r="K160" s="54"/>
      <c r="L160" s="55" t="str">
        <f t="shared" si="45"/>
        <v/>
      </c>
      <c r="M160" s="55" t="str">
        <f t="shared" si="46"/>
        <v/>
      </c>
      <c r="N160" s="56" t="str">
        <f t="shared" si="47"/>
        <v/>
      </c>
      <c r="O160" s="56" t="str">
        <f t="shared" si="48"/>
        <v/>
      </c>
      <c r="P160" s="57"/>
      <c r="Q160" s="63"/>
      <c r="R160" s="53"/>
      <c r="S160" s="63"/>
      <c r="T160" s="53"/>
      <c r="U160" s="63"/>
      <c r="V160" s="53"/>
      <c r="W160" s="63"/>
      <c r="X160" s="53"/>
      <c r="Y160" s="63"/>
      <c r="Z160" s="53"/>
      <c r="AA160" s="63"/>
      <c r="AB160" s="53"/>
      <c r="AC160" s="63"/>
      <c r="AD160" s="53"/>
      <c r="AE160" s="60">
        <f t="shared" si="43"/>
        <v>0</v>
      </c>
      <c r="AF160" s="60">
        <f t="shared" si="43"/>
        <v>0</v>
      </c>
      <c r="AG160" s="61"/>
      <c r="AL160" s="45" t="str">
        <f t="shared" si="49"/>
        <v/>
      </c>
      <c r="AM160" s="45">
        <v>151</v>
      </c>
      <c r="AN160" s="45">
        <f t="shared" si="50"/>
        <v>0</v>
      </c>
      <c r="AO160" s="45">
        <f t="shared" si="51"/>
        <v>0</v>
      </c>
      <c r="AP160" s="45">
        <f t="shared" si="52"/>
        <v>0</v>
      </c>
      <c r="AQ160" s="45">
        <f t="shared" si="53"/>
        <v>0</v>
      </c>
      <c r="AR160" s="45">
        <f t="shared" si="54"/>
        <v>0</v>
      </c>
      <c r="AS160" s="45">
        <f t="shared" si="55"/>
        <v>0</v>
      </c>
      <c r="AT160" s="45">
        <f t="shared" si="56"/>
        <v>0</v>
      </c>
      <c r="AU160" s="62" t="str">
        <f t="shared" si="44"/>
        <v/>
      </c>
    </row>
    <row r="161" spans="1:47" ht="13.5">
      <c r="A161" s="45" t="str">
        <f>IF(Base!B159="","",Base!B159)</f>
        <v>15.444.698-2</v>
      </c>
      <c r="B161" s="45" t="str">
        <f>IF(Base!F159="","",Base!F159)</f>
        <v>MAURICIO ALEJANDRO  RETAMAL  ACUÑA</v>
      </c>
      <c r="C161" s="45" t="str">
        <f>IF(Base!I159="","",Base!I159)</f>
        <v>Abastecimiento</v>
      </c>
      <c r="D161" s="46" t="str">
        <f>IF(Base!J159="","",Base!J159)</f>
        <v>Preparación de Insum</v>
      </c>
      <c r="E161" s="45">
        <f>IF(Base!H159="","",Base!H159)</f>
        <v>1050127</v>
      </c>
      <c r="J161" s="53">
        <v>151</v>
      </c>
      <c r="K161" s="54"/>
      <c r="L161" s="55" t="str">
        <f t="shared" si="45"/>
        <v/>
      </c>
      <c r="M161" s="55" t="str">
        <f t="shared" si="46"/>
        <v/>
      </c>
      <c r="N161" s="56" t="str">
        <f t="shared" si="47"/>
        <v/>
      </c>
      <c r="O161" s="56" t="str">
        <f t="shared" si="48"/>
        <v/>
      </c>
      <c r="P161" s="57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0">
        <f t="shared" si="43"/>
        <v>0</v>
      </c>
      <c r="AF161" s="60">
        <f t="shared" si="43"/>
        <v>0</v>
      </c>
      <c r="AG161" s="61"/>
      <c r="AL161" s="45" t="str">
        <f t="shared" si="49"/>
        <v/>
      </c>
      <c r="AM161" s="45">
        <v>152</v>
      </c>
      <c r="AN161" s="45">
        <f t="shared" si="50"/>
        <v>0</v>
      </c>
      <c r="AO161" s="45">
        <f t="shared" si="51"/>
        <v>0</v>
      </c>
      <c r="AP161" s="45">
        <f t="shared" si="52"/>
        <v>0</v>
      </c>
      <c r="AQ161" s="45">
        <f t="shared" si="53"/>
        <v>0</v>
      </c>
      <c r="AR161" s="45">
        <f t="shared" si="54"/>
        <v>0</v>
      </c>
      <c r="AS161" s="45">
        <f t="shared" si="55"/>
        <v>0</v>
      </c>
      <c r="AT161" s="45">
        <f t="shared" si="56"/>
        <v>0</v>
      </c>
      <c r="AU161" s="62" t="str">
        <f t="shared" si="44"/>
        <v/>
      </c>
    </row>
    <row r="162" spans="1:47" ht="13.5">
      <c r="A162" s="45" t="str">
        <f>IF(Base!B160="","",Base!B160)</f>
        <v>13.553.033-6</v>
      </c>
      <c r="B162" s="45" t="str">
        <f>IF(Base!F160="","",Base!F160)</f>
        <v>CLAUDIO  RETAMALES  SEPULVEDA</v>
      </c>
      <c r="C162" s="45" t="str">
        <f>IF(Base!I160="","",Base!I160)</f>
        <v>Linea 6</v>
      </c>
      <c r="D162" s="46" t="str">
        <f>IF(Base!J160="","",Base!J160)</f>
        <v>Etiquetador</v>
      </c>
      <c r="E162" s="45">
        <f>IF(Base!H160="","",Base!H160)</f>
        <v>1050610</v>
      </c>
      <c r="J162" s="53">
        <v>152</v>
      </c>
      <c r="K162" s="54"/>
      <c r="L162" s="55" t="str">
        <f t="shared" si="45"/>
        <v/>
      </c>
      <c r="M162" s="55" t="str">
        <f t="shared" si="46"/>
        <v/>
      </c>
      <c r="N162" s="56" t="str">
        <f t="shared" si="47"/>
        <v/>
      </c>
      <c r="O162" s="56" t="str">
        <f t="shared" si="48"/>
        <v/>
      </c>
      <c r="P162" s="57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0">
        <f t="shared" si="43"/>
        <v>0</v>
      </c>
      <c r="AF162" s="60">
        <f t="shared" si="43"/>
        <v>0</v>
      </c>
      <c r="AG162" s="61"/>
      <c r="AL162" s="45" t="str">
        <f t="shared" si="49"/>
        <v/>
      </c>
      <c r="AM162" s="45">
        <v>153</v>
      </c>
      <c r="AN162" s="45">
        <f t="shared" si="50"/>
        <v>0</v>
      </c>
      <c r="AO162" s="45">
        <f t="shared" si="51"/>
        <v>0</v>
      </c>
      <c r="AP162" s="45">
        <f t="shared" si="52"/>
        <v>0</v>
      </c>
      <c r="AQ162" s="45">
        <f t="shared" si="53"/>
        <v>0</v>
      </c>
      <c r="AR162" s="45">
        <f t="shared" si="54"/>
        <v>0</v>
      </c>
      <c r="AS162" s="45">
        <f t="shared" si="55"/>
        <v>0</v>
      </c>
      <c r="AT162" s="45">
        <f t="shared" si="56"/>
        <v>0</v>
      </c>
      <c r="AU162" s="62" t="str">
        <f t="shared" si="44"/>
        <v/>
      </c>
    </row>
    <row r="163" spans="1:47" ht="13.5">
      <c r="A163" s="45" t="str">
        <f>IF(Base!B161="","",Base!B161)</f>
        <v>16.697.450-K</v>
      </c>
      <c r="B163" s="45" t="str">
        <f>IF(Base!F161="","",Base!F161)</f>
        <v>NATALIA BELEN  REYES  ESPINOZA</v>
      </c>
      <c r="C163" s="45" t="str">
        <f>IF(Base!I161="","",Base!I161)</f>
        <v>Abastecimiento</v>
      </c>
      <c r="D163" s="46" t="str">
        <f>IF(Base!J161="","",Base!J161)</f>
        <v>Preparación de Insum</v>
      </c>
      <c r="E163" s="45">
        <f>IF(Base!H161="","",Base!H161)</f>
        <v>1050127</v>
      </c>
      <c r="J163" s="53">
        <v>153</v>
      </c>
      <c r="K163" s="54"/>
      <c r="L163" s="55" t="str">
        <f t="shared" si="45"/>
        <v/>
      </c>
      <c r="M163" s="55" t="str">
        <f t="shared" si="46"/>
        <v/>
      </c>
      <c r="N163" s="56" t="str">
        <f t="shared" si="47"/>
        <v/>
      </c>
      <c r="O163" s="56" t="str">
        <f t="shared" si="48"/>
        <v/>
      </c>
      <c r="P163" s="57"/>
      <c r="Q163" s="63"/>
      <c r="R163" s="53"/>
      <c r="S163" s="63"/>
      <c r="T163" s="53"/>
      <c r="U163" s="63"/>
      <c r="V163" s="53"/>
      <c r="W163" s="63"/>
      <c r="X163" s="53"/>
      <c r="Y163" s="63"/>
      <c r="Z163" s="53"/>
      <c r="AA163" s="63"/>
      <c r="AB163" s="53"/>
      <c r="AC163" s="63"/>
      <c r="AD163" s="53"/>
      <c r="AE163" s="60">
        <f t="shared" si="43"/>
        <v>0</v>
      </c>
      <c r="AF163" s="60">
        <f t="shared" si="43"/>
        <v>0</v>
      </c>
      <c r="AG163" s="61"/>
      <c r="AL163" s="45" t="str">
        <f t="shared" si="49"/>
        <v/>
      </c>
      <c r="AM163" s="45">
        <v>154</v>
      </c>
      <c r="AN163" s="45">
        <f t="shared" si="50"/>
        <v>0</v>
      </c>
      <c r="AO163" s="45">
        <f t="shared" si="51"/>
        <v>0</v>
      </c>
      <c r="AP163" s="45">
        <f t="shared" si="52"/>
        <v>0</v>
      </c>
      <c r="AQ163" s="45">
        <f t="shared" si="53"/>
        <v>0</v>
      </c>
      <c r="AR163" s="45">
        <f t="shared" si="54"/>
        <v>0</v>
      </c>
      <c r="AS163" s="45">
        <f t="shared" si="55"/>
        <v>0</v>
      </c>
      <c r="AT163" s="45">
        <f t="shared" si="56"/>
        <v>0</v>
      </c>
      <c r="AU163" s="62" t="str">
        <f t="shared" si="44"/>
        <v/>
      </c>
    </row>
    <row r="164" spans="1:47" ht="13.5">
      <c r="A164" s="45" t="str">
        <f>IF(Base!B162="","",Base!B162)</f>
        <v>14.185.109-8</v>
      </c>
      <c r="B164" s="45" t="str">
        <f>IF(Base!F162="","",Base!F162)</f>
        <v>GUILLERMO ANTONIO  REYES  FUENZALIDA</v>
      </c>
      <c r="C164" s="45" t="str">
        <f>IF(Base!I162="","",Base!I162)</f>
        <v>Abastecimiento</v>
      </c>
      <c r="D164" s="46" t="str">
        <f>IF(Base!J162="","",Base!J162)</f>
        <v>Almacen Envases Pirq</v>
      </c>
      <c r="E164" s="45">
        <f>IF(Base!H162="","",Base!H162)</f>
        <v>1050162</v>
      </c>
      <c r="J164" s="53">
        <v>154</v>
      </c>
      <c r="K164" s="54"/>
      <c r="L164" s="55" t="str">
        <f t="shared" si="45"/>
        <v/>
      </c>
      <c r="M164" s="55" t="str">
        <f t="shared" si="46"/>
        <v/>
      </c>
      <c r="N164" s="56" t="str">
        <f t="shared" si="47"/>
        <v/>
      </c>
      <c r="O164" s="56" t="str">
        <f t="shared" si="48"/>
        <v/>
      </c>
      <c r="P164" s="57"/>
      <c r="Q164" s="63"/>
      <c r="R164" s="53"/>
      <c r="S164" s="63"/>
      <c r="T164" s="53"/>
      <c r="U164" s="63"/>
      <c r="V164" s="53"/>
      <c r="W164" s="63"/>
      <c r="X164" s="53"/>
      <c r="Y164" s="63"/>
      <c r="Z164" s="53"/>
      <c r="AA164" s="63"/>
      <c r="AB164" s="53"/>
      <c r="AC164" s="63"/>
      <c r="AD164" s="53"/>
      <c r="AE164" s="60">
        <f t="shared" si="43"/>
        <v>0</v>
      </c>
      <c r="AF164" s="60">
        <f t="shared" si="43"/>
        <v>0</v>
      </c>
      <c r="AG164" s="61"/>
      <c r="AL164" s="45" t="str">
        <f t="shared" si="49"/>
        <v/>
      </c>
      <c r="AM164" s="45">
        <v>155</v>
      </c>
      <c r="AN164" s="45">
        <f t="shared" si="50"/>
        <v>0</v>
      </c>
      <c r="AO164" s="45">
        <f t="shared" si="51"/>
        <v>0</v>
      </c>
      <c r="AP164" s="45">
        <f t="shared" si="52"/>
        <v>0</v>
      </c>
      <c r="AQ164" s="45">
        <f t="shared" si="53"/>
        <v>0</v>
      </c>
      <c r="AR164" s="45">
        <f t="shared" si="54"/>
        <v>0</v>
      </c>
      <c r="AS164" s="45">
        <f t="shared" si="55"/>
        <v>0</v>
      </c>
      <c r="AT164" s="45">
        <f t="shared" si="56"/>
        <v>0</v>
      </c>
      <c r="AU164" s="62" t="str">
        <f t="shared" si="44"/>
        <v/>
      </c>
    </row>
    <row r="165" spans="1:47" ht="13.5">
      <c r="A165" s="45" t="str">
        <f>IF(Base!B163="","",Base!B163)</f>
        <v>16.029.464-7</v>
      </c>
      <c r="B165" s="45" t="str">
        <f>IF(Base!F163="","",Base!F163)</f>
        <v>VICTOR  REYES  GALVEZ</v>
      </c>
      <c r="C165" s="45" t="str">
        <f>IF(Base!I163="","",Base!I163)</f>
        <v>Control y Gestión</v>
      </c>
      <c r="D165" s="46" t="str">
        <f>IF(Base!J163="","",Base!J163)</f>
        <v>Inspector tiempo</v>
      </c>
      <c r="E165" s="45">
        <f>IF(Base!H163="","",Base!H163)</f>
        <v>1050632</v>
      </c>
      <c r="J165" s="53">
        <v>155</v>
      </c>
      <c r="K165" s="54"/>
      <c r="L165" s="55" t="str">
        <f t="shared" si="45"/>
        <v/>
      </c>
      <c r="M165" s="55" t="str">
        <f t="shared" si="46"/>
        <v/>
      </c>
      <c r="N165" s="56" t="str">
        <f t="shared" si="47"/>
        <v/>
      </c>
      <c r="O165" s="56" t="str">
        <f t="shared" si="48"/>
        <v/>
      </c>
      <c r="P165" s="57"/>
      <c r="Q165" s="63"/>
      <c r="R165" s="53"/>
      <c r="S165" s="63"/>
      <c r="T165" s="53"/>
      <c r="U165" s="63"/>
      <c r="V165" s="53"/>
      <c r="W165" s="63"/>
      <c r="X165" s="53"/>
      <c r="Y165" s="63"/>
      <c r="Z165" s="53"/>
      <c r="AA165" s="63"/>
      <c r="AB165" s="53"/>
      <c r="AC165" s="63"/>
      <c r="AD165" s="53"/>
      <c r="AE165" s="60">
        <f t="shared" si="43"/>
        <v>0</v>
      </c>
      <c r="AF165" s="60">
        <f t="shared" si="43"/>
        <v>0</v>
      </c>
      <c r="AG165" s="61"/>
      <c r="AL165" s="45" t="str">
        <f t="shared" si="49"/>
        <v/>
      </c>
      <c r="AM165" s="45">
        <v>156</v>
      </c>
      <c r="AN165" s="45">
        <f t="shared" si="50"/>
        <v>0</v>
      </c>
      <c r="AO165" s="45">
        <f t="shared" si="51"/>
        <v>0</v>
      </c>
      <c r="AP165" s="45">
        <f t="shared" si="52"/>
        <v>0</v>
      </c>
      <c r="AQ165" s="45">
        <f t="shared" si="53"/>
        <v>0</v>
      </c>
      <c r="AR165" s="45">
        <f t="shared" si="54"/>
        <v>0</v>
      </c>
      <c r="AS165" s="45">
        <f t="shared" si="55"/>
        <v>0</v>
      </c>
      <c r="AT165" s="45">
        <f t="shared" si="56"/>
        <v>0</v>
      </c>
      <c r="AU165" s="62" t="str">
        <f t="shared" si="44"/>
        <v/>
      </c>
    </row>
    <row r="166" spans="1:47" ht="13.5">
      <c r="A166" s="45" t="str">
        <f>IF(Base!B164="","",Base!B164)</f>
        <v>10.309.203-5</v>
      </c>
      <c r="B166" s="45" t="str">
        <f>IF(Base!F164="","",Base!F164)</f>
        <v>ANGELA ADELA  REYES  LARA</v>
      </c>
      <c r="C166" s="45" t="str">
        <f>IF(Base!I164="","",Base!I164)</f>
        <v>Abastecimiento</v>
      </c>
      <c r="D166" s="46" t="str">
        <f>IF(Base!J164="","",Base!J164)</f>
        <v>Suministro de Líneas</v>
      </c>
      <c r="E166" s="45">
        <f>IF(Base!H164="","",Base!H164)</f>
        <v>1050633</v>
      </c>
      <c r="J166" s="53">
        <v>156</v>
      </c>
      <c r="K166" s="54"/>
      <c r="L166" s="55" t="str">
        <f t="shared" si="45"/>
        <v/>
      </c>
      <c r="M166" s="55" t="str">
        <f t="shared" si="46"/>
        <v/>
      </c>
      <c r="N166" s="56" t="str">
        <f t="shared" si="47"/>
        <v/>
      </c>
      <c r="O166" s="56" t="str">
        <f t="shared" si="48"/>
        <v/>
      </c>
      <c r="P166" s="57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0">
        <f t="shared" si="43"/>
        <v>0</v>
      </c>
      <c r="AF166" s="60">
        <f t="shared" si="43"/>
        <v>0</v>
      </c>
      <c r="AG166" s="61"/>
      <c r="AL166" s="45" t="str">
        <f t="shared" si="49"/>
        <v/>
      </c>
      <c r="AM166" s="45">
        <v>157</v>
      </c>
      <c r="AN166" s="45">
        <f t="shared" si="50"/>
        <v>0</v>
      </c>
      <c r="AO166" s="45">
        <f t="shared" si="51"/>
        <v>0</v>
      </c>
      <c r="AP166" s="45">
        <f t="shared" si="52"/>
        <v>0</v>
      </c>
      <c r="AQ166" s="45">
        <f t="shared" si="53"/>
        <v>0</v>
      </c>
      <c r="AR166" s="45">
        <f t="shared" si="54"/>
        <v>0</v>
      </c>
      <c r="AS166" s="45">
        <f t="shared" si="55"/>
        <v>0</v>
      </c>
      <c r="AT166" s="45">
        <f t="shared" si="56"/>
        <v>0</v>
      </c>
      <c r="AU166" s="62" t="str">
        <f t="shared" si="44"/>
        <v/>
      </c>
    </row>
    <row r="167" spans="1:47" ht="13.5">
      <c r="A167" s="45" t="str">
        <f>IF(Base!B165="","",Base!B165)</f>
        <v>18.074.081-3</v>
      </c>
      <c r="B167" s="45" t="str">
        <f>IF(Base!F165="","",Base!F165)</f>
        <v>MATIAS ANDRES  REYES  SERRANO</v>
      </c>
      <c r="C167" s="45" t="str">
        <f>IF(Base!I165="","",Base!I165)</f>
        <v>Linea 6</v>
      </c>
      <c r="D167" s="46" t="str">
        <f>IF(Base!J165="","",Base!J165)</f>
        <v>Despalletizador</v>
      </c>
      <c r="E167" s="45">
        <f>IF(Base!H165="","",Base!H165)</f>
        <v>1050609</v>
      </c>
      <c r="J167" s="53">
        <v>157</v>
      </c>
      <c r="K167" s="54"/>
      <c r="L167" s="55" t="str">
        <f t="shared" si="45"/>
        <v/>
      </c>
      <c r="M167" s="55" t="str">
        <f t="shared" si="46"/>
        <v/>
      </c>
      <c r="N167" s="56" t="str">
        <f t="shared" si="47"/>
        <v/>
      </c>
      <c r="O167" s="56" t="str">
        <f t="shared" si="48"/>
        <v/>
      </c>
      <c r="P167" s="57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0">
        <f t="shared" si="43"/>
        <v>0</v>
      </c>
      <c r="AF167" s="60">
        <f t="shared" si="43"/>
        <v>0</v>
      </c>
      <c r="AG167" s="61"/>
      <c r="AL167" s="45" t="str">
        <f t="shared" si="49"/>
        <v/>
      </c>
      <c r="AM167" s="45">
        <v>158</v>
      </c>
      <c r="AN167" s="45">
        <f t="shared" si="50"/>
        <v>0</v>
      </c>
      <c r="AO167" s="45">
        <f t="shared" si="51"/>
        <v>0</v>
      </c>
      <c r="AP167" s="45">
        <f t="shared" si="52"/>
        <v>0</v>
      </c>
      <c r="AQ167" s="45">
        <f t="shared" si="53"/>
        <v>0</v>
      </c>
      <c r="AR167" s="45">
        <f t="shared" si="54"/>
        <v>0</v>
      </c>
      <c r="AS167" s="45">
        <f t="shared" si="55"/>
        <v>0</v>
      </c>
      <c r="AT167" s="45">
        <f t="shared" si="56"/>
        <v>0</v>
      </c>
      <c r="AU167" s="62" t="str">
        <f t="shared" si="44"/>
        <v/>
      </c>
    </row>
    <row r="168" spans="1:47" ht="13.5">
      <c r="A168" s="45" t="str">
        <f>IF(Base!B166="","",Base!B166)</f>
        <v>09.806.171-1</v>
      </c>
      <c r="B168" s="45" t="str">
        <f>IF(Base!F166="","",Base!F166)</f>
        <v>VICTOR MANUEL  RIOS  MIRANDA</v>
      </c>
      <c r="C168" s="45" t="str">
        <f>IF(Base!I166="","",Base!I166)</f>
        <v>BIB</v>
      </c>
      <c r="D168" s="46" t="str">
        <f>IF(Base!J166="","",Base!J166)</f>
        <v>BIB</v>
      </c>
      <c r="E168" s="45">
        <f>IF(Base!H166="","",Base!H166)</f>
        <v>1050595</v>
      </c>
      <c r="J168" s="53">
        <v>158</v>
      </c>
      <c r="K168" s="54"/>
      <c r="L168" s="55" t="str">
        <f t="shared" si="45"/>
        <v/>
      </c>
      <c r="M168" s="55" t="str">
        <f t="shared" si="46"/>
        <v/>
      </c>
      <c r="N168" s="56" t="str">
        <f t="shared" si="47"/>
        <v/>
      </c>
      <c r="O168" s="56" t="str">
        <f t="shared" si="48"/>
        <v/>
      </c>
      <c r="P168" s="57"/>
      <c r="Q168" s="63"/>
      <c r="R168" s="53"/>
      <c r="S168" s="63"/>
      <c r="T168" s="53"/>
      <c r="U168" s="63"/>
      <c r="V168" s="53"/>
      <c r="W168" s="63"/>
      <c r="X168" s="53"/>
      <c r="Y168" s="63"/>
      <c r="Z168" s="53"/>
      <c r="AA168" s="63"/>
      <c r="AB168" s="53"/>
      <c r="AC168" s="63"/>
      <c r="AD168" s="53"/>
      <c r="AE168" s="60">
        <f t="shared" ref="AE168:AF229" si="57">SUM(Q168,S168,U168,W168,Y168,AA168,AC168)</f>
        <v>0</v>
      </c>
      <c r="AF168" s="60">
        <f t="shared" si="57"/>
        <v>0</v>
      </c>
      <c r="AG168" s="61"/>
      <c r="AL168" s="45" t="str">
        <f t="shared" si="49"/>
        <v/>
      </c>
      <c r="AM168" s="45">
        <v>159</v>
      </c>
      <c r="AN168" s="45">
        <f t="shared" si="50"/>
        <v>0</v>
      </c>
      <c r="AO168" s="45">
        <f t="shared" si="51"/>
        <v>0</v>
      </c>
      <c r="AP168" s="45">
        <f t="shared" si="52"/>
        <v>0</v>
      </c>
      <c r="AQ168" s="45">
        <f t="shared" si="53"/>
        <v>0</v>
      </c>
      <c r="AR168" s="45">
        <f t="shared" si="54"/>
        <v>0</v>
      </c>
      <c r="AS168" s="45">
        <f t="shared" si="55"/>
        <v>0</v>
      </c>
      <c r="AT168" s="45">
        <f t="shared" si="56"/>
        <v>0</v>
      </c>
      <c r="AU168" s="62" t="str">
        <f t="shared" si="44"/>
        <v/>
      </c>
    </row>
    <row r="169" spans="1:47" ht="13.5">
      <c r="A169" s="45" t="str">
        <f>IF(Base!B167="","",Base!B167)</f>
        <v>16.296.340-6</v>
      </c>
      <c r="B169" s="45" t="str">
        <f>IF(Base!F167="","",Base!F167)</f>
        <v>FRANCISCO JAVIER  RIQUELME  GONZALEZ</v>
      </c>
      <c r="C169" s="45" t="str">
        <f>IF(Base!I167="","",Base!I167)</f>
        <v>Abastecimiento</v>
      </c>
      <c r="D169" s="46" t="str">
        <f>IF(Base!J167="","",Base!J167)</f>
        <v>Almacen Insumos Pque</v>
      </c>
      <c r="E169" s="45">
        <f>IF(Base!H167="","",Base!H167)</f>
        <v>1050581</v>
      </c>
      <c r="J169" s="53">
        <v>159</v>
      </c>
      <c r="K169" s="54"/>
      <c r="L169" s="55" t="str">
        <f t="shared" si="45"/>
        <v/>
      </c>
      <c r="M169" s="55" t="str">
        <f t="shared" si="46"/>
        <v/>
      </c>
      <c r="N169" s="56" t="str">
        <f t="shared" si="47"/>
        <v/>
      </c>
      <c r="O169" s="56" t="str">
        <f t="shared" si="48"/>
        <v/>
      </c>
      <c r="P169" s="57"/>
      <c r="Q169" s="63"/>
      <c r="R169" s="53"/>
      <c r="S169" s="63"/>
      <c r="T169" s="53"/>
      <c r="U169" s="63"/>
      <c r="V169" s="53"/>
      <c r="W169" s="63"/>
      <c r="X169" s="53"/>
      <c r="Y169" s="63"/>
      <c r="Z169" s="53"/>
      <c r="AA169" s="63"/>
      <c r="AB169" s="53"/>
      <c r="AC169" s="63"/>
      <c r="AD169" s="53"/>
      <c r="AE169" s="60">
        <f t="shared" si="57"/>
        <v>0</v>
      </c>
      <c r="AF169" s="60">
        <f t="shared" si="57"/>
        <v>0</v>
      </c>
      <c r="AG169" s="61"/>
      <c r="AL169" s="45" t="str">
        <f t="shared" si="49"/>
        <v/>
      </c>
      <c r="AM169" s="45">
        <v>160</v>
      </c>
      <c r="AN169" s="45">
        <f t="shared" si="50"/>
        <v>0</v>
      </c>
      <c r="AO169" s="45">
        <f t="shared" si="51"/>
        <v>0</v>
      </c>
      <c r="AP169" s="45">
        <f t="shared" si="52"/>
        <v>0</v>
      </c>
      <c r="AQ169" s="45">
        <f t="shared" si="53"/>
        <v>0</v>
      </c>
      <c r="AR169" s="45">
        <f t="shared" si="54"/>
        <v>0</v>
      </c>
      <c r="AS169" s="45">
        <f t="shared" si="55"/>
        <v>0</v>
      </c>
      <c r="AT169" s="45">
        <f t="shared" si="56"/>
        <v>0</v>
      </c>
      <c r="AU169" s="62" t="str">
        <f t="shared" si="44"/>
        <v/>
      </c>
    </row>
    <row r="170" spans="1:47" ht="13.5">
      <c r="A170" s="45" t="str">
        <f>IF(Base!B168="","",Base!B168)</f>
        <v>12.688.280-7</v>
      </c>
      <c r="B170" s="45" t="str">
        <f>IF(Base!F168="","",Base!F168)</f>
        <v>VERONICA ANDREA  RIVERA  VARGAS</v>
      </c>
      <c r="C170" s="45" t="str">
        <f>IF(Base!I168="","",Base!I168)</f>
        <v>Abastecimiento</v>
      </c>
      <c r="D170" s="46" t="str">
        <f>IF(Base!J168="","",Base!J168)</f>
        <v>Suministro de Líneas</v>
      </c>
      <c r="E170" s="45">
        <f>IF(Base!H168="","",Base!H168)</f>
        <v>1050633</v>
      </c>
      <c r="J170" s="53">
        <v>160</v>
      </c>
      <c r="K170" s="54"/>
      <c r="L170" s="55" t="str">
        <f t="shared" si="45"/>
        <v/>
      </c>
      <c r="M170" s="55" t="str">
        <f t="shared" si="46"/>
        <v/>
      </c>
      <c r="N170" s="56" t="str">
        <f t="shared" si="47"/>
        <v/>
      </c>
      <c r="O170" s="56" t="str">
        <f t="shared" si="48"/>
        <v/>
      </c>
      <c r="P170" s="57"/>
      <c r="Q170" s="63"/>
      <c r="R170" s="53"/>
      <c r="S170" s="63"/>
      <c r="T170" s="53"/>
      <c r="U170" s="63"/>
      <c r="V170" s="53"/>
      <c r="W170" s="63"/>
      <c r="X170" s="53"/>
      <c r="Y170" s="63"/>
      <c r="Z170" s="53"/>
      <c r="AA170" s="63"/>
      <c r="AB170" s="53"/>
      <c r="AC170" s="63"/>
      <c r="AD170" s="53"/>
      <c r="AE170" s="60">
        <f t="shared" si="57"/>
        <v>0</v>
      </c>
      <c r="AF170" s="60">
        <f t="shared" si="57"/>
        <v>0</v>
      </c>
      <c r="AG170" s="61"/>
      <c r="AL170" s="45" t="str">
        <f t="shared" si="49"/>
        <v/>
      </c>
      <c r="AM170" s="45">
        <v>161</v>
      </c>
      <c r="AN170" s="45">
        <f t="shared" si="50"/>
        <v>0</v>
      </c>
      <c r="AO170" s="45">
        <f t="shared" si="51"/>
        <v>0</v>
      </c>
      <c r="AP170" s="45">
        <f t="shared" si="52"/>
        <v>0</v>
      </c>
      <c r="AQ170" s="45">
        <f t="shared" si="53"/>
        <v>0</v>
      </c>
      <c r="AR170" s="45">
        <f t="shared" si="54"/>
        <v>0</v>
      </c>
      <c r="AS170" s="45">
        <f t="shared" si="55"/>
        <v>0</v>
      </c>
      <c r="AT170" s="45">
        <f t="shared" si="56"/>
        <v>0</v>
      </c>
      <c r="AU170" s="62" t="str">
        <f t="shared" si="44"/>
        <v/>
      </c>
    </row>
    <row r="171" spans="1:47" ht="13.5">
      <c r="A171" s="45" t="str">
        <f>IF(Base!B169="","",Base!B169)</f>
        <v>11.476.853-7</v>
      </c>
      <c r="B171" s="45" t="str">
        <f>IF(Base!F169="","",Base!F169)</f>
        <v>ALEJANDRA  RIVERA  PANES</v>
      </c>
      <c r="C171" s="45" t="str">
        <f>IF(Base!I169="","",Base!I169)</f>
        <v>Linea 6</v>
      </c>
      <c r="D171" s="46" t="str">
        <f>IF(Base!J169="","",Base!J169)</f>
        <v>Inspector etiqueta</v>
      </c>
      <c r="E171" s="45">
        <f>IF(Base!H169="","",Base!H169)</f>
        <v>1050610</v>
      </c>
      <c r="J171" s="53">
        <v>161</v>
      </c>
      <c r="K171" s="54"/>
      <c r="L171" s="55" t="str">
        <f t="shared" si="45"/>
        <v/>
      </c>
      <c r="M171" s="55" t="str">
        <f t="shared" si="46"/>
        <v/>
      </c>
      <c r="N171" s="56" t="str">
        <f t="shared" si="47"/>
        <v/>
      </c>
      <c r="O171" s="56" t="str">
        <f t="shared" si="48"/>
        <v/>
      </c>
      <c r="P171" s="57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0">
        <f t="shared" si="57"/>
        <v>0</v>
      </c>
      <c r="AF171" s="60">
        <f t="shared" si="57"/>
        <v>0</v>
      </c>
      <c r="AG171" s="61"/>
      <c r="AL171" s="45" t="str">
        <f t="shared" si="49"/>
        <v/>
      </c>
      <c r="AM171" s="45">
        <v>162</v>
      </c>
      <c r="AN171" s="45">
        <f t="shared" si="50"/>
        <v>0</v>
      </c>
      <c r="AO171" s="45">
        <f t="shared" si="51"/>
        <v>0</v>
      </c>
      <c r="AP171" s="45">
        <f t="shared" si="52"/>
        <v>0</v>
      </c>
      <c r="AQ171" s="45">
        <f t="shared" si="53"/>
        <v>0</v>
      </c>
      <c r="AR171" s="45">
        <f t="shared" si="54"/>
        <v>0</v>
      </c>
      <c r="AS171" s="45">
        <f t="shared" si="55"/>
        <v>0</v>
      </c>
      <c r="AT171" s="45">
        <f t="shared" si="56"/>
        <v>0</v>
      </c>
      <c r="AU171" s="62" t="str">
        <f t="shared" si="44"/>
        <v/>
      </c>
    </row>
    <row r="172" spans="1:47" ht="13.5">
      <c r="A172" s="45" t="str">
        <f>IF(Base!B170="","",Base!B170)</f>
        <v>10.933.716-1</v>
      </c>
      <c r="B172" s="45" t="str">
        <f>IF(Base!F170="","",Base!F170)</f>
        <v>HERNANDO  RIVEROS  RIFFO</v>
      </c>
      <c r="C172" s="45" t="str">
        <f>IF(Base!I170="","",Base!I170)</f>
        <v>Sala filtros</v>
      </c>
      <c r="D172" s="46" t="str">
        <f>IF(Base!J170="","",Base!J170)</f>
        <v>Operador sala de filtros</v>
      </c>
      <c r="E172" s="45">
        <f>IF(Base!H170="","",Base!H170)</f>
        <v>1050574</v>
      </c>
      <c r="J172" s="53">
        <v>162</v>
      </c>
      <c r="K172" s="54"/>
      <c r="L172" s="55" t="str">
        <f t="shared" si="45"/>
        <v/>
      </c>
      <c r="M172" s="55" t="str">
        <f t="shared" si="46"/>
        <v/>
      </c>
      <c r="N172" s="56" t="str">
        <f t="shared" si="47"/>
        <v/>
      </c>
      <c r="O172" s="56" t="str">
        <f t="shared" si="48"/>
        <v/>
      </c>
      <c r="P172" s="57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0">
        <f t="shared" si="57"/>
        <v>0</v>
      </c>
      <c r="AF172" s="60">
        <f t="shared" si="57"/>
        <v>0</v>
      </c>
      <c r="AG172" s="61"/>
      <c r="AL172" s="45" t="str">
        <f t="shared" si="49"/>
        <v/>
      </c>
      <c r="AM172" s="45">
        <v>163</v>
      </c>
      <c r="AN172" s="45">
        <f t="shared" si="50"/>
        <v>0</v>
      </c>
      <c r="AO172" s="45">
        <f t="shared" si="51"/>
        <v>0</v>
      </c>
      <c r="AP172" s="45">
        <f t="shared" si="52"/>
        <v>0</v>
      </c>
      <c r="AQ172" s="45">
        <f t="shared" si="53"/>
        <v>0</v>
      </c>
      <c r="AR172" s="45">
        <f t="shared" si="54"/>
        <v>0</v>
      </c>
      <c r="AS172" s="45">
        <f t="shared" si="55"/>
        <v>0</v>
      </c>
      <c r="AT172" s="45">
        <f t="shared" si="56"/>
        <v>0</v>
      </c>
      <c r="AU172" s="62" t="str">
        <f t="shared" si="44"/>
        <v/>
      </c>
    </row>
    <row r="173" spans="1:47" ht="13.5">
      <c r="A173" s="45" t="str">
        <f>IF(Base!B171="","",Base!B171)</f>
        <v>08.634.737-7</v>
      </c>
      <c r="B173" s="45" t="str">
        <f>IF(Base!F171="","",Base!F171)</f>
        <v>RAFAEL  RODRIGUEZ  CISTERNA</v>
      </c>
      <c r="C173" s="45" t="str">
        <f>IF(Base!I171="","",Base!I171)</f>
        <v>Linea 2</v>
      </c>
      <c r="D173" s="46" t="str">
        <f>IF(Base!J171="","",Base!J171)</f>
        <v>Despalletizador</v>
      </c>
      <c r="E173" s="45">
        <f>IF(Base!H171="","",Base!H171)</f>
        <v>1050553</v>
      </c>
      <c r="J173" s="53">
        <v>163</v>
      </c>
      <c r="K173" s="54"/>
      <c r="L173" s="55" t="str">
        <f t="shared" si="45"/>
        <v/>
      </c>
      <c r="M173" s="55" t="str">
        <f t="shared" si="46"/>
        <v/>
      </c>
      <c r="N173" s="56" t="str">
        <f t="shared" si="47"/>
        <v/>
      </c>
      <c r="O173" s="56" t="str">
        <f t="shared" si="48"/>
        <v/>
      </c>
      <c r="P173" s="57"/>
      <c r="Q173" s="63"/>
      <c r="R173" s="53"/>
      <c r="S173" s="63"/>
      <c r="T173" s="53"/>
      <c r="U173" s="63"/>
      <c r="V173" s="53"/>
      <c r="W173" s="63"/>
      <c r="X173" s="53"/>
      <c r="Y173" s="63"/>
      <c r="Z173" s="53"/>
      <c r="AA173" s="63"/>
      <c r="AB173" s="53"/>
      <c r="AC173" s="63"/>
      <c r="AD173" s="53"/>
      <c r="AE173" s="60">
        <f t="shared" si="57"/>
        <v>0</v>
      </c>
      <c r="AF173" s="60">
        <f t="shared" si="57"/>
        <v>0</v>
      </c>
      <c r="AG173" s="61"/>
      <c r="AL173" s="45" t="str">
        <f t="shared" si="49"/>
        <v/>
      </c>
      <c r="AM173" s="45">
        <v>164</v>
      </c>
      <c r="AN173" s="45">
        <f t="shared" si="50"/>
        <v>0</v>
      </c>
      <c r="AO173" s="45">
        <f t="shared" si="51"/>
        <v>0</v>
      </c>
      <c r="AP173" s="45">
        <f t="shared" si="52"/>
        <v>0</v>
      </c>
      <c r="AQ173" s="45">
        <f t="shared" si="53"/>
        <v>0</v>
      </c>
      <c r="AR173" s="45">
        <f t="shared" si="54"/>
        <v>0</v>
      </c>
      <c r="AS173" s="45">
        <f t="shared" si="55"/>
        <v>0</v>
      </c>
      <c r="AT173" s="45">
        <f t="shared" si="56"/>
        <v>0</v>
      </c>
      <c r="AU173" s="62" t="str">
        <f t="shared" si="44"/>
        <v/>
      </c>
    </row>
    <row r="174" spans="1:47" ht="13.5">
      <c r="A174" s="45" t="str">
        <f>IF(Base!B172="","",Base!B172)</f>
        <v>09.485.526-8</v>
      </c>
      <c r="B174" s="45" t="str">
        <f>IF(Base!F172="","",Base!F172)</f>
        <v>LUIS ALBERTO  ROJAS  GONZALEZ</v>
      </c>
      <c r="C174" s="45" t="str">
        <f>IF(Base!I172="","",Base!I172)</f>
        <v>Abastecimiento</v>
      </c>
      <c r="D174" s="46" t="str">
        <f>IF(Base!J172="","",Base!J172)</f>
        <v>Preparación de Insum</v>
      </c>
      <c r="E174" s="45">
        <f>IF(Base!H172="","",Base!H172)</f>
        <v>1050127</v>
      </c>
      <c r="J174" s="53">
        <v>164</v>
      </c>
      <c r="K174" s="54"/>
      <c r="L174" s="55" t="str">
        <f t="shared" si="45"/>
        <v/>
      </c>
      <c r="M174" s="55" t="str">
        <f t="shared" si="46"/>
        <v/>
      </c>
      <c r="N174" s="56" t="str">
        <f t="shared" si="47"/>
        <v/>
      </c>
      <c r="O174" s="56" t="str">
        <f t="shared" si="48"/>
        <v/>
      </c>
      <c r="P174" s="57"/>
      <c r="Q174" s="63"/>
      <c r="R174" s="53"/>
      <c r="S174" s="63"/>
      <c r="T174" s="53"/>
      <c r="U174" s="63"/>
      <c r="V174" s="53"/>
      <c r="W174" s="63"/>
      <c r="X174" s="53"/>
      <c r="Y174" s="63"/>
      <c r="Z174" s="53"/>
      <c r="AA174" s="63"/>
      <c r="AB174" s="53"/>
      <c r="AC174" s="63"/>
      <c r="AD174" s="53"/>
      <c r="AE174" s="60">
        <f t="shared" si="57"/>
        <v>0</v>
      </c>
      <c r="AF174" s="60">
        <f t="shared" si="57"/>
        <v>0</v>
      </c>
      <c r="AG174" s="61"/>
      <c r="AL174" s="45" t="str">
        <f t="shared" si="49"/>
        <v/>
      </c>
      <c r="AM174" s="45">
        <v>165</v>
      </c>
      <c r="AN174" s="45">
        <f t="shared" si="50"/>
        <v>0</v>
      </c>
      <c r="AO174" s="45">
        <f t="shared" si="51"/>
        <v>0</v>
      </c>
      <c r="AP174" s="45">
        <f t="shared" si="52"/>
        <v>0</v>
      </c>
      <c r="AQ174" s="45">
        <f t="shared" si="53"/>
        <v>0</v>
      </c>
      <c r="AR174" s="45">
        <f t="shared" si="54"/>
        <v>0</v>
      </c>
      <c r="AS174" s="45">
        <f t="shared" si="55"/>
        <v>0</v>
      </c>
      <c r="AT174" s="45">
        <f t="shared" si="56"/>
        <v>0</v>
      </c>
      <c r="AU174" s="62" t="str">
        <f t="shared" si="44"/>
        <v/>
      </c>
    </row>
    <row r="175" spans="1:47" ht="13.5">
      <c r="A175" s="45" t="str">
        <f>IF(Base!B173="","",Base!B173)</f>
        <v>17.245.009-1</v>
      </c>
      <c r="B175" s="45" t="str">
        <f>IF(Base!F173="","",Base!F173)</f>
        <v>RODRIGO ALEJANDRO  ROJAS  SALAMANCA</v>
      </c>
      <c r="C175" s="45" t="str">
        <f>IF(Base!I173="","",Base!I173)</f>
        <v>Abastecimiento</v>
      </c>
      <c r="D175" s="46" t="str">
        <f>IF(Base!J173="","",Base!J173)</f>
        <v>Almacen Insumos Pque</v>
      </c>
      <c r="E175" s="45">
        <f>IF(Base!H173="","",Base!H173)</f>
        <v>1050581</v>
      </c>
      <c r="J175" s="53">
        <v>165</v>
      </c>
      <c r="K175" s="54"/>
      <c r="L175" s="55" t="str">
        <f t="shared" si="45"/>
        <v/>
      </c>
      <c r="M175" s="55" t="str">
        <f t="shared" si="46"/>
        <v/>
      </c>
      <c r="N175" s="56" t="str">
        <f t="shared" si="47"/>
        <v/>
      </c>
      <c r="O175" s="56" t="str">
        <f t="shared" si="48"/>
        <v/>
      </c>
      <c r="P175" s="57"/>
      <c r="Q175" s="63"/>
      <c r="R175" s="53"/>
      <c r="S175" s="63"/>
      <c r="T175" s="53"/>
      <c r="U175" s="63"/>
      <c r="V175" s="53"/>
      <c r="W175" s="63"/>
      <c r="X175" s="53"/>
      <c r="Y175" s="63"/>
      <c r="Z175" s="53"/>
      <c r="AA175" s="63"/>
      <c r="AB175" s="53"/>
      <c r="AC175" s="63"/>
      <c r="AD175" s="53"/>
      <c r="AE175" s="60">
        <f t="shared" si="57"/>
        <v>0</v>
      </c>
      <c r="AF175" s="60">
        <f t="shared" si="57"/>
        <v>0</v>
      </c>
      <c r="AG175" s="61"/>
      <c r="AL175" s="45" t="str">
        <f t="shared" si="49"/>
        <v/>
      </c>
      <c r="AM175" s="45">
        <v>166</v>
      </c>
      <c r="AN175" s="45">
        <f t="shared" si="50"/>
        <v>0</v>
      </c>
      <c r="AO175" s="45">
        <f t="shared" si="51"/>
        <v>0</v>
      </c>
      <c r="AP175" s="45">
        <f t="shared" si="52"/>
        <v>0</v>
      </c>
      <c r="AQ175" s="45">
        <f t="shared" si="53"/>
        <v>0</v>
      </c>
      <c r="AR175" s="45">
        <f t="shared" si="54"/>
        <v>0</v>
      </c>
      <c r="AS175" s="45">
        <f t="shared" si="55"/>
        <v>0</v>
      </c>
      <c r="AT175" s="45">
        <f t="shared" si="56"/>
        <v>0</v>
      </c>
      <c r="AU175" s="62" t="str">
        <f t="shared" si="44"/>
        <v/>
      </c>
    </row>
    <row r="176" spans="1:47" ht="13.5">
      <c r="A176" s="45" t="str">
        <f>IF(Base!B174="","",Base!B174)</f>
        <v>09.839.411-7</v>
      </c>
      <c r="B176" s="45" t="str">
        <f>IF(Base!F174="","",Base!F174)</f>
        <v>VICTOR MANUEL  RUBIO  AYALA</v>
      </c>
      <c r="C176" s="45" t="str">
        <f>IF(Base!I174="","",Base!I174)</f>
        <v>Supervisor</v>
      </c>
      <c r="D176" s="46" t="str">
        <f>IF(Base!J174="","",Base!J174)</f>
        <v>Supervisor</v>
      </c>
      <c r="E176" s="45">
        <f>IF(Base!H174="","",Base!H174)</f>
        <v>1050603</v>
      </c>
      <c r="J176" s="53">
        <v>166</v>
      </c>
      <c r="K176" s="54"/>
      <c r="L176" s="55" t="str">
        <f t="shared" si="45"/>
        <v/>
      </c>
      <c r="M176" s="55" t="str">
        <f t="shared" si="46"/>
        <v/>
      </c>
      <c r="N176" s="56" t="str">
        <f t="shared" si="47"/>
        <v/>
      </c>
      <c r="O176" s="56" t="str">
        <f t="shared" si="48"/>
        <v/>
      </c>
      <c r="P176" s="57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0">
        <f t="shared" si="57"/>
        <v>0</v>
      </c>
      <c r="AF176" s="60">
        <f t="shared" si="57"/>
        <v>0</v>
      </c>
      <c r="AG176" s="61"/>
      <c r="AL176" s="45" t="str">
        <f t="shared" si="49"/>
        <v/>
      </c>
      <c r="AM176" s="45">
        <v>167</v>
      </c>
      <c r="AN176" s="45">
        <f t="shared" si="50"/>
        <v>0</v>
      </c>
      <c r="AO176" s="45">
        <f t="shared" si="51"/>
        <v>0</v>
      </c>
      <c r="AP176" s="45">
        <f t="shared" si="52"/>
        <v>0</v>
      </c>
      <c r="AQ176" s="45">
        <f t="shared" si="53"/>
        <v>0</v>
      </c>
      <c r="AR176" s="45">
        <f t="shared" si="54"/>
        <v>0</v>
      </c>
      <c r="AS176" s="45">
        <f t="shared" si="55"/>
        <v>0</v>
      </c>
      <c r="AT176" s="45">
        <f t="shared" si="56"/>
        <v>0</v>
      </c>
      <c r="AU176" s="62" t="str">
        <f t="shared" si="44"/>
        <v/>
      </c>
    </row>
    <row r="177" spans="1:47" ht="13.5">
      <c r="A177" s="45" t="str">
        <f>IF(Base!B175="","",Base!B175)</f>
        <v>07.916.907-2</v>
      </c>
      <c r="B177" s="45" t="str">
        <f>IF(Base!F175="","",Base!F175)</f>
        <v>MARCOS A  RUBIO  CASTRO</v>
      </c>
      <c r="C177" s="45" t="str">
        <f>IF(Base!I175="","",Base!I175)</f>
        <v>Monitor Llenado</v>
      </c>
      <c r="D177" s="46" t="str">
        <f>IF(Base!J175="","",Base!J175)</f>
        <v>Monitor Llenado</v>
      </c>
      <c r="E177" s="45">
        <f>IF(Base!H175="","",Base!H175)</f>
        <v>1050604</v>
      </c>
      <c r="J177" s="53">
        <v>167</v>
      </c>
      <c r="K177" s="54"/>
      <c r="L177" s="55" t="str">
        <f t="shared" si="45"/>
        <v/>
      </c>
      <c r="M177" s="55" t="str">
        <f t="shared" si="46"/>
        <v/>
      </c>
      <c r="N177" s="56" t="str">
        <f t="shared" si="47"/>
        <v/>
      </c>
      <c r="O177" s="56" t="str">
        <f t="shared" si="48"/>
        <v/>
      </c>
      <c r="P177" s="57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0">
        <f t="shared" si="57"/>
        <v>0</v>
      </c>
      <c r="AF177" s="60">
        <f t="shared" si="57"/>
        <v>0</v>
      </c>
      <c r="AG177" s="61"/>
      <c r="AL177" s="45" t="str">
        <f t="shared" si="49"/>
        <v/>
      </c>
      <c r="AM177" s="45">
        <v>168</v>
      </c>
      <c r="AN177" s="45">
        <f t="shared" si="50"/>
        <v>0</v>
      </c>
      <c r="AO177" s="45">
        <f t="shared" si="51"/>
        <v>0</v>
      </c>
      <c r="AP177" s="45">
        <f t="shared" si="52"/>
        <v>0</v>
      </c>
      <c r="AQ177" s="45">
        <f t="shared" si="53"/>
        <v>0</v>
      </c>
      <c r="AR177" s="45">
        <f t="shared" si="54"/>
        <v>0</v>
      </c>
      <c r="AS177" s="45">
        <f t="shared" si="55"/>
        <v>0</v>
      </c>
      <c r="AT177" s="45">
        <f t="shared" si="56"/>
        <v>0</v>
      </c>
      <c r="AU177" s="62" t="str">
        <f t="shared" si="44"/>
        <v/>
      </c>
    </row>
    <row r="178" spans="1:47" ht="13.5">
      <c r="A178" s="45" t="str">
        <f>IF(Base!B176="","",Base!B176)</f>
        <v>14.383.969-9</v>
      </c>
      <c r="B178" s="45" t="str">
        <f>IF(Base!F176="","",Base!F176)</f>
        <v>AMERICO ANDRES  RUBIO  GUZMAN</v>
      </c>
      <c r="C178" s="45" t="str">
        <f>IF(Base!I176="","",Base!I176)</f>
        <v xml:space="preserve">Setup </v>
      </c>
      <c r="D178" s="46" t="str">
        <f>IF(Base!J176="","",Base!J176)</f>
        <v xml:space="preserve">Setup </v>
      </c>
      <c r="E178" s="45">
        <f>IF(Base!H176="","",Base!H176)</f>
        <v>1050529</v>
      </c>
      <c r="J178" s="53">
        <v>168</v>
      </c>
      <c r="K178" s="54"/>
      <c r="L178" s="55" t="str">
        <f t="shared" si="45"/>
        <v/>
      </c>
      <c r="M178" s="55" t="str">
        <f t="shared" si="46"/>
        <v/>
      </c>
      <c r="N178" s="56" t="str">
        <f t="shared" si="47"/>
        <v/>
      </c>
      <c r="O178" s="56" t="str">
        <f t="shared" si="48"/>
        <v/>
      </c>
      <c r="P178" s="57"/>
      <c r="Q178" s="63"/>
      <c r="R178" s="53"/>
      <c r="S178" s="63"/>
      <c r="T178" s="53"/>
      <c r="U178" s="63"/>
      <c r="V178" s="53"/>
      <c r="W178" s="63"/>
      <c r="X178" s="53"/>
      <c r="Y178" s="63"/>
      <c r="Z178" s="53"/>
      <c r="AA178" s="63"/>
      <c r="AB178" s="53"/>
      <c r="AC178" s="63"/>
      <c r="AD178" s="53"/>
      <c r="AE178" s="60">
        <f t="shared" si="57"/>
        <v>0</v>
      </c>
      <c r="AF178" s="60">
        <f t="shared" si="57"/>
        <v>0</v>
      </c>
      <c r="AG178" s="61"/>
      <c r="AL178" s="45" t="str">
        <f t="shared" si="49"/>
        <v/>
      </c>
      <c r="AM178" s="45">
        <v>169</v>
      </c>
      <c r="AN178" s="45">
        <f t="shared" si="50"/>
        <v>0</v>
      </c>
      <c r="AO178" s="45">
        <f t="shared" si="51"/>
        <v>0</v>
      </c>
      <c r="AP178" s="45">
        <f t="shared" si="52"/>
        <v>0</v>
      </c>
      <c r="AQ178" s="45">
        <f t="shared" si="53"/>
        <v>0</v>
      </c>
      <c r="AR178" s="45">
        <f t="shared" si="54"/>
        <v>0</v>
      </c>
      <c r="AS178" s="45">
        <f t="shared" si="55"/>
        <v>0</v>
      </c>
      <c r="AT178" s="45">
        <f t="shared" si="56"/>
        <v>0</v>
      </c>
      <c r="AU178" s="62" t="str">
        <f t="shared" si="44"/>
        <v/>
      </c>
    </row>
    <row r="179" spans="1:47" ht="13.5">
      <c r="A179" s="45" t="str">
        <f>IF(Base!B177="","",Base!B177)</f>
        <v>11.657.838-7</v>
      </c>
      <c r="B179" s="45" t="str">
        <f>IF(Base!F177="","",Base!F177)</f>
        <v>JUAN RAMON  SALAMANCA  VIDAL</v>
      </c>
      <c r="C179" s="45" t="str">
        <f>IF(Base!I177="","",Base!I177)</f>
        <v>Abastecimiento</v>
      </c>
      <c r="D179" s="46" t="str">
        <f>IF(Base!J177="","",Base!J177)</f>
        <v>Preparación de Insum</v>
      </c>
      <c r="E179" s="45">
        <f>IF(Base!H177="","",Base!H177)</f>
        <v>1050127</v>
      </c>
      <c r="J179" s="53">
        <v>169</v>
      </c>
      <c r="K179" s="54"/>
      <c r="L179" s="55" t="str">
        <f t="shared" si="45"/>
        <v/>
      </c>
      <c r="M179" s="55" t="str">
        <f t="shared" si="46"/>
        <v/>
      </c>
      <c r="N179" s="56" t="str">
        <f t="shared" si="47"/>
        <v/>
      </c>
      <c r="O179" s="56" t="str">
        <f t="shared" si="48"/>
        <v/>
      </c>
      <c r="P179" s="57"/>
      <c r="Q179" s="63"/>
      <c r="R179" s="53"/>
      <c r="S179" s="63"/>
      <c r="T179" s="53"/>
      <c r="U179" s="63"/>
      <c r="V179" s="53"/>
      <c r="W179" s="63"/>
      <c r="X179" s="53"/>
      <c r="Y179" s="63"/>
      <c r="Z179" s="53"/>
      <c r="AA179" s="63"/>
      <c r="AB179" s="53"/>
      <c r="AC179" s="63"/>
      <c r="AD179" s="53"/>
      <c r="AE179" s="60">
        <f t="shared" si="57"/>
        <v>0</v>
      </c>
      <c r="AF179" s="60">
        <f t="shared" si="57"/>
        <v>0</v>
      </c>
      <c r="AG179" s="61"/>
      <c r="AL179" s="45" t="str">
        <f t="shared" si="49"/>
        <v/>
      </c>
      <c r="AM179" s="45">
        <v>170</v>
      </c>
      <c r="AN179" s="45">
        <f t="shared" si="50"/>
        <v>0</v>
      </c>
      <c r="AO179" s="45">
        <f t="shared" si="51"/>
        <v>0</v>
      </c>
      <c r="AP179" s="45">
        <f t="shared" si="52"/>
        <v>0</v>
      </c>
      <c r="AQ179" s="45">
        <f t="shared" si="53"/>
        <v>0</v>
      </c>
      <c r="AR179" s="45">
        <f t="shared" si="54"/>
        <v>0</v>
      </c>
      <c r="AS179" s="45">
        <f t="shared" si="55"/>
        <v>0</v>
      </c>
      <c r="AT179" s="45">
        <f t="shared" si="56"/>
        <v>0</v>
      </c>
      <c r="AU179" s="62" t="str">
        <f t="shared" si="44"/>
        <v/>
      </c>
    </row>
    <row r="180" spans="1:47" ht="13.5">
      <c r="A180" s="45" t="str">
        <f>IF(Base!B178="","",Base!B178)</f>
        <v>07.832.770-7</v>
      </c>
      <c r="B180" s="45" t="str">
        <f>IF(Base!F178="","",Base!F178)</f>
        <v>MIGUEL  SALAS  VALENZUELA</v>
      </c>
      <c r="C180" s="45" t="str">
        <f>IF(Base!I178="","",Base!I178)</f>
        <v>Linea 7</v>
      </c>
      <c r="D180" s="46" t="str">
        <f>IF(Base!J178="","",Base!J178)</f>
        <v>Embalador</v>
      </c>
      <c r="E180" s="45">
        <f>IF(Base!H178="","",Base!H178)</f>
        <v>1050616</v>
      </c>
      <c r="J180" s="53">
        <v>170</v>
      </c>
      <c r="K180" s="54"/>
      <c r="L180" s="55" t="str">
        <f t="shared" si="45"/>
        <v/>
      </c>
      <c r="M180" s="55" t="str">
        <f t="shared" si="46"/>
        <v/>
      </c>
      <c r="N180" s="56" t="str">
        <f t="shared" si="47"/>
        <v/>
      </c>
      <c r="O180" s="56" t="str">
        <f t="shared" si="48"/>
        <v/>
      </c>
      <c r="P180" s="57"/>
      <c r="Q180" s="63"/>
      <c r="R180" s="53"/>
      <c r="S180" s="63"/>
      <c r="T180" s="53"/>
      <c r="U180" s="63"/>
      <c r="V180" s="53"/>
      <c r="W180" s="63"/>
      <c r="X180" s="53"/>
      <c r="Y180" s="63"/>
      <c r="Z180" s="53"/>
      <c r="AA180" s="63"/>
      <c r="AB180" s="53"/>
      <c r="AC180" s="63"/>
      <c r="AD180" s="53"/>
      <c r="AE180" s="60">
        <f t="shared" si="57"/>
        <v>0</v>
      </c>
      <c r="AF180" s="60">
        <f t="shared" si="57"/>
        <v>0</v>
      </c>
      <c r="AG180" s="61"/>
      <c r="AL180" s="45" t="str">
        <f t="shared" si="49"/>
        <v/>
      </c>
      <c r="AM180" s="45">
        <v>171</v>
      </c>
      <c r="AN180" s="45">
        <f t="shared" si="50"/>
        <v>0</v>
      </c>
      <c r="AO180" s="45">
        <f t="shared" si="51"/>
        <v>0</v>
      </c>
      <c r="AP180" s="45">
        <f t="shared" si="52"/>
        <v>0</v>
      </c>
      <c r="AQ180" s="45">
        <f t="shared" si="53"/>
        <v>0</v>
      </c>
      <c r="AR180" s="45">
        <f t="shared" si="54"/>
        <v>0</v>
      </c>
      <c r="AS180" s="45">
        <f t="shared" si="55"/>
        <v>0</v>
      </c>
      <c r="AT180" s="45">
        <f t="shared" si="56"/>
        <v>0</v>
      </c>
      <c r="AU180" s="62" t="str">
        <f t="shared" si="44"/>
        <v/>
      </c>
    </row>
    <row r="181" spans="1:47" ht="13.5">
      <c r="A181" s="45" t="str">
        <f>IF(Base!B179="","",Base!B179)</f>
        <v>12.647.009-6</v>
      </c>
      <c r="B181" s="45" t="str">
        <f>IF(Base!F179="","",Base!F179)</f>
        <v>PAULO  SALAZAR  FREYHOFER</v>
      </c>
      <c r="C181" s="45" t="str">
        <f>IF(Base!I179="","",Base!I179)</f>
        <v>Abastecimiento</v>
      </c>
      <c r="D181" s="46" t="str">
        <f>IF(Base!J179="","",Base!J179)</f>
        <v>Supervisor Almacen Insumos</v>
      </c>
      <c r="E181" s="45">
        <f>IF(Base!H179="","",Base!H179)</f>
        <v>1050581</v>
      </c>
      <c r="J181" s="53">
        <v>171</v>
      </c>
      <c r="K181" s="54"/>
      <c r="L181" s="55" t="str">
        <f t="shared" si="45"/>
        <v/>
      </c>
      <c r="M181" s="55" t="str">
        <f t="shared" si="46"/>
        <v/>
      </c>
      <c r="N181" s="56" t="str">
        <f t="shared" si="47"/>
        <v/>
      </c>
      <c r="O181" s="56" t="str">
        <f t="shared" si="48"/>
        <v/>
      </c>
      <c r="P181" s="57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0">
        <f t="shared" si="57"/>
        <v>0</v>
      </c>
      <c r="AF181" s="60">
        <f t="shared" si="57"/>
        <v>0</v>
      </c>
      <c r="AG181" s="61"/>
      <c r="AL181" s="45" t="str">
        <f t="shared" si="49"/>
        <v/>
      </c>
      <c r="AM181" s="45">
        <v>172</v>
      </c>
      <c r="AN181" s="45">
        <f t="shared" si="50"/>
        <v>0</v>
      </c>
      <c r="AO181" s="45">
        <f t="shared" si="51"/>
        <v>0</v>
      </c>
      <c r="AP181" s="45">
        <f t="shared" si="52"/>
        <v>0</v>
      </c>
      <c r="AQ181" s="45">
        <f t="shared" si="53"/>
        <v>0</v>
      </c>
      <c r="AR181" s="45">
        <f t="shared" si="54"/>
        <v>0</v>
      </c>
      <c r="AS181" s="45">
        <f t="shared" si="55"/>
        <v>0</v>
      </c>
      <c r="AT181" s="45">
        <f t="shared" si="56"/>
        <v>0</v>
      </c>
      <c r="AU181" s="62" t="str">
        <f t="shared" si="44"/>
        <v/>
      </c>
    </row>
    <row r="182" spans="1:47" ht="13.5">
      <c r="A182" s="45" t="str">
        <f>IF(Base!B180="","",Base!B180)</f>
        <v>07.009.784-2</v>
      </c>
      <c r="B182" s="45" t="str">
        <f>IF(Base!F180="","",Base!F180)</f>
        <v>HECTOR ENRIQUE  SALAZAR  VIDELA</v>
      </c>
      <c r="C182" s="45" t="str">
        <f>IF(Base!I180="","",Base!I180)</f>
        <v>Abastecimiento</v>
      </c>
      <c r="D182" s="46" t="str">
        <f>IF(Base!J180="","",Base!J180)</f>
        <v>Control Ingresos Cen</v>
      </c>
      <c r="E182" s="45">
        <f>IF(Base!H180="","",Base!H180)</f>
        <v>1050126</v>
      </c>
      <c r="J182" s="53">
        <v>172</v>
      </c>
      <c r="K182" s="54"/>
      <c r="L182" s="55" t="str">
        <f t="shared" si="45"/>
        <v/>
      </c>
      <c r="M182" s="55" t="str">
        <f t="shared" si="46"/>
        <v/>
      </c>
      <c r="N182" s="56" t="str">
        <f t="shared" si="47"/>
        <v/>
      </c>
      <c r="O182" s="56" t="str">
        <f t="shared" si="48"/>
        <v/>
      </c>
      <c r="P182" s="57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0">
        <f t="shared" si="57"/>
        <v>0</v>
      </c>
      <c r="AF182" s="60">
        <f t="shared" si="57"/>
        <v>0</v>
      </c>
      <c r="AG182" s="61"/>
      <c r="AL182" s="45" t="str">
        <f t="shared" si="49"/>
        <v/>
      </c>
      <c r="AM182" s="45">
        <v>173</v>
      </c>
      <c r="AN182" s="45">
        <f t="shared" si="50"/>
        <v>0</v>
      </c>
      <c r="AO182" s="45">
        <f t="shared" si="51"/>
        <v>0</v>
      </c>
      <c r="AP182" s="45">
        <f t="shared" si="52"/>
        <v>0</v>
      </c>
      <c r="AQ182" s="45">
        <f t="shared" si="53"/>
        <v>0</v>
      </c>
      <c r="AR182" s="45">
        <f t="shared" si="54"/>
        <v>0</v>
      </c>
      <c r="AS182" s="45">
        <f t="shared" si="55"/>
        <v>0</v>
      </c>
      <c r="AT182" s="45">
        <f t="shared" si="56"/>
        <v>0</v>
      </c>
      <c r="AU182" s="62" t="str">
        <f t="shared" si="44"/>
        <v/>
      </c>
    </row>
    <row r="183" spans="1:47" ht="13.5">
      <c r="A183" s="45" t="str">
        <f>IF(Base!B181="","",Base!B181)</f>
        <v>08.245.727-5</v>
      </c>
      <c r="B183" s="45" t="str">
        <f>IF(Base!F181="","",Base!F181)</f>
        <v>JUAN  SALINAS  CUEVAS</v>
      </c>
      <c r="C183" s="45" t="str">
        <f>IF(Base!I181="","",Base!I181)</f>
        <v>Abastecimiento</v>
      </c>
      <c r="D183" s="46" t="str">
        <f>IF(Base!J181="","",Base!J181)</f>
        <v>Suministro de Líneas</v>
      </c>
      <c r="E183" s="45">
        <f>IF(Base!H181="","",Base!H181)</f>
        <v>1050633</v>
      </c>
      <c r="J183" s="53">
        <v>173</v>
      </c>
      <c r="K183" s="54"/>
      <c r="L183" s="55" t="str">
        <f t="shared" si="45"/>
        <v/>
      </c>
      <c r="M183" s="55" t="str">
        <f t="shared" si="46"/>
        <v/>
      </c>
      <c r="N183" s="56" t="str">
        <f t="shared" si="47"/>
        <v/>
      </c>
      <c r="O183" s="56" t="str">
        <f t="shared" si="48"/>
        <v/>
      </c>
      <c r="P183" s="57"/>
      <c r="Q183" s="63"/>
      <c r="R183" s="53"/>
      <c r="S183" s="63"/>
      <c r="T183" s="53"/>
      <c r="U183" s="63"/>
      <c r="V183" s="53"/>
      <c r="W183" s="63"/>
      <c r="X183" s="53"/>
      <c r="Y183" s="63"/>
      <c r="Z183" s="53"/>
      <c r="AA183" s="63"/>
      <c r="AB183" s="53"/>
      <c r="AC183" s="63"/>
      <c r="AD183" s="53"/>
      <c r="AE183" s="60">
        <f t="shared" si="57"/>
        <v>0</v>
      </c>
      <c r="AF183" s="60">
        <f t="shared" si="57"/>
        <v>0</v>
      </c>
      <c r="AG183" s="61"/>
      <c r="AL183" s="45" t="str">
        <f t="shared" si="49"/>
        <v/>
      </c>
      <c r="AM183" s="45">
        <v>174</v>
      </c>
      <c r="AN183" s="45">
        <f t="shared" si="50"/>
        <v>0</v>
      </c>
      <c r="AO183" s="45">
        <f t="shared" si="51"/>
        <v>0</v>
      </c>
      <c r="AP183" s="45">
        <f t="shared" si="52"/>
        <v>0</v>
      </c>
      <c r="AQ183" s="45">
        <f t="shared" si="53"/>
        <v>0</v>
      </c>
      <c r="AR183" s="45">
        <f t="shared" si="54"/>
        <v>0</v>
      </c>
      <c r="AS183" s="45">
        <f t="shared" si="55"/>
        <v>0</v>
      </c>
      <c r="AT183" s="45">
        <f t="shared" si="56"/>
        <v>0</v>
      </c>
      <c r="AU183" s="62" t="str">
        <f t="shared" si="44"/>
        <v/>
      </c>
    </row>
    <row r="184" spans="1:47" ht="13.5">
      <c r="A184" s="45" t="str">
        <f>IF(Base!B182="","",Base!B182)</f>
        <v>13.638.571-2</v>
      </c>
      <c r="B184" s="45" t="str">
        <f>IF(Base!F182="","",Base!F182)</f>
        <v>EDUARDO  SALINAS  MARIN</v>
      </c>
      <c r="C184" s="45" t="str">
        <f>IF(Base!I182="","",Base!I182)</f>
        <v>Linea 7</v>
      </c>
      <c r="D184" s="46" t="str">
        <f>IF(Base!J182="","",Base!J182)</f>
        <v>Etiquetador</v>
      </c>
      <c r="E184" s="45">
        <f>IF(Base!H182="","",Base!H182)</f>
        <v>1050616</v>
      </c>
      <c r="J184" s="53">
        <v>174</v>
      </c>
      <c r="K184" s="54"/>
      <c r="L184" s="55" t="str">
        <f t="shared" si="45"/>
        <v/>
      </c>
      <c r="M184" s="55" t="str">
        <f t="shared" si="46"/>
        <v/>
      </c>
      <c r="N184" s="56" t="str">
        <f t="shared" si="47"/>
        <v/>
      </c>
      <c r="O184" s="56" t="str">
        <f t="shared" si="48"/>
        <v/>
      </c>
      <c r="P184" s="57"/>
      <c r="Q184" s="63"/>
      <c r="R184" s="53"/>
      <c r="S184" s="63"/>
      <c r="T184" s="53"/>
      <c r="U184" s="63"/>
      <c r="V184" s="53"/>
      <c r="W184" s="63"/>
      <c r="X184" s="53"/>
      <c r="Y184" s="63"/>
      <c r="Z184" s="53"/>
      <c r="AA184" s="63"/>
      <c r="AB184" s="53"/>
      <c r="AC184" s="63"/>
      <c r="AD184" s="53"/>
      <c r="AE184" s="60">
        <f t="shared" si="57"/>
        <v>0</v>
      </c>
      <c r="AF184" s="60">
        <f t="shared" si="57"/>
        <v>0</v>
      </c>
      <c r="AG184" s="61"/>
      <c r="AL184" s="45" t="str">
        <f t="shared" si="49"/>
        <v/>
      </c>
      <c r="AM184" s="45">
        <v>175</v>
      </c>
      <c r="AN184" s="45">
        <f t="shared" si="50"/>
        <v>0</v>
      </c>
      <c r="AO184" s="45">
        <f t="shared" si="51"/>
        <v>0</v>
      </c>
      <c r="AP184" s="45">
        <f t="shared" si="52"/>
        <v>0</v>
      </c>
      <c r="AQ184" s="45">
        <f t="shared" si="53"/>
        <v>0</v>
      </c>
      <c r="AR184" s="45">
        <f t="shared" si="54"/>
        <v>0</v>
      </c>
      <c r="AS184" s="45">
        <f t="shared" si="55"/>
        <v>0</v>
      </c>
      <c r="AT184" s="45">
        <f t="shared" si="56"/>
        <v>0</v>
      </c>
      <c r="AU184" s="62" t="str">
        <f t="shared" si="44"/>
        <v/>
      </c>
    </row>
    <row r="185" spans="1:47" ht="13.5">
      <c r="A185" s="45" t="str">
        <f>IF(Base!B183="","",Base!B183)</f>
        <v>15.891.790-4</v>
      </c>
      <c r="B185" s="45" t="str">
        <f>IF(Base!F183="","",Base!F183)</f>
        <v>LUIS ALBERTO  SALINAS  SALDIAS</v>
      </c>
      <c r="C185" s="45" t="str">
        <f>IF(Base!I183="","",Base!I183)</f>
        <v>Reprocesos</v>
      </c>
      <c r="D185" s="46" t="str">
        <f>IF(Base!J183="","",Base!J183)</f>
        <v>Encargado</v>
      </c>
      <c r="E185" s="45">
        <f>IF(Base!H183="","",Base!H183)</f>
        <v>1050565</v>
      </c>
      <c r="J185" s="53">
        <v>175</v>
      </c>
      <c r="K185" s="54"/>
      <c r="L185" s="55" t="str">
        <f t="shared" si="45"/>
        <v/>
      </c>
      <c r="M185" s="55" t="str">
        <f t="shared" si="46"/>
        <v/>
      </c>
      <c r="N185" s="56" t="str">
        <f t="shared" si="47"/>
        <v/>
      </c>
      <c r="O185" s="56" t="str">
        <f t="shared" si="48"/>
        <v/>
      </c>
      <c r="P185" s="57"/>
      <c r="Q185" s="63"/>
      <c r="R185" s="53"/>
      <c r="S185" s="63"/>
      <c r="T185" s="53"/>
      <c r="U185" s="63"/>
      <c r="V185" s="53"/>
      <c r="W185" s="63"/>
      <c r="X185" s="53"/>
      <c r="Y185" s="63"/>
      <c r="Z185" s="53"/>
      <c r="AA185" s="63"/>
      <c r="AB185" s="53"/>
      <c r="AC185" s="63"/>
      <c r="AD185" s="53"/>
      <c r="AE185" s="60">
        <f t="shared" si="57"/>
        <v>0</v>
      </c>
      <c r="AF185" s="60">
        <f t="shared" si="57"/>
        <v>0</v>
      </c>
      <c r="AG185" s="61"/>
      <c r="AL185" s="45" t="str">
        <f t="shared" si="49"/>
        <v/>
      </c>
      <c r="AM185" s="45">
        <v>176</v>
      </c>
      <c r="AN185" s="45">
        <f t="shared" si="50"/>
        <v>0</v>
      </c>
      <c r="AO185" s="45">
        <f t="shared" si="51"/>
        <v>0</v>
      </c>
      <c r="AP185" s="45">
        <f t="shared" si="52"/>
        <v>0</v>
      </c>
      <c r="AQ185" s="45">
        <f t="shared" si="53"/>
        <v>0</v>
      </c>
      <c r="AR185" s="45">
        <f t="shared" si="54"/>
        <v>0</v>
      </c>
      <c r="AS185" s="45">
        <f t="shared" si="55"/>
        <v>0</v>
      </c>
      <c r="AT185" s="45">
        <f t="shared" si="56"/>
        <v>0</v>
      </c>
      <c r="AU185" s="62" t="str">
        <f t="shared" si="44"/>
        <v/>
      </c>
    </row>
    <row r="186" spans="1:47" ht="13.5">
      <c r="A186" s="45" t="str">
        <f>IF(Base!B184="","",Base!B184)</f>
        <v>12.500.119-K</v>
      </c>
      <c r="B186" s="45" t="str">
        <f>IF(Base!F184="","",Base!F184)</f>
        <v>FREDDY  SANCHEZ  TORRES</v>
      </c>
      <c r="C186" s="45" t="str">
        <f>IF(Base!I184="","",Base!I184)</f>
        <v>Abastecimiento</v>
      </c>
      <c r="D186" s="46" t="str">
        <f>IF(Base!J184="","",Base!J184)</f>
        <v>Control Inventario I</v>
      </c>
      <c r="E186" s="45">
        <f>IF(Base!H184="","",Base!H184)</f>
        <v>1050161</v>
      </c>
      <c r="J186" s="53">
        <v>176</v>
      </c>
      <c r="K186" s="54"/>
      <c r="L186" s="55" t="str">
        <f t="shared" si="45"/>
        <v/>
      </c>
      <c r="M186" s="55" t="str">
        <f t="shared" si="46"/>
        <v/>
      </c>
      <c r="N186" s="56" t="str">
        <f t="shared" si="47"/>
        <v/>
      </c>
      <c r="O186" s="56" t="str">
        <f t="shared" si="48"/>
        <v/>
      </c>
      <c r="P186" s="57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0">
        <f t="shared" si="57"/>
        <v>0</v>
      </c>
      <c r="AF186" s="60">
        <f t="shared" si="57"/>
        <v>0</v>
      </c>
      <c r="AG186" s="61"/>
      <c r="AL186" s="45" t="str">
        <f t="shared" si="49"/>
        <v/>
      </c>
      <c r="AM186" s="45">
        <v>177</v>
      </c>
      <c r="AN186" s="45">
        <f t="shared" si="50"/>
        <v>0</v>
      </c>
      <c r="AO186" s="45">
        <f t="shared" si="51"/>
        <v>0</v>
      </c>
      <c r="AP186" s="45">
        <f t="shared" si="52"/>
        <v>0</v>
      </c>
      <c r="AQ186" s="45">
        <f t="shared" si="53"/>
        <v>0</v>
      </c>
      <c r="AR186" s="45">
        <f t="shared" si="54"/>
        <v>0</v>
      </c>
      <c r="AS186" s="45">
        <f t="shared" si="55"/>
        <v>0</v>
      </c>
      <c r="AT186" s="45">
        <f t="shared" si="56"/>
        <v>0</v>
      </c>
      <c r="AU186" s="62" t="str">
        <f t="shared" si="44"/>
        <v/>
      </c>
    </row>
    <row r="187" spans="1:47" ht="13.5">
      <c r="A187" s="45" t="str">
        <f>IF(Base!B185="","",Base!B185)</f>
        <v>13.701.209-K</v>
      </c>
      <c r="B187" s="45" t="str">
        <f>IF(Base!F185="","",Base!F185)</f>
        <v>MARCELINO JHONATTAN  SANCHEZ  TORRES</v>
      </c>
      <c r="C187" s="45" t="str">
        <f>IF(Base!I185="","",Base!I185)</f>
        <v>Abastecimiento</v>
      </c>
      <c r="D187" s="46" t="str">
        <f>IF(Base!J185="","",Base!J185)</f>
        <v>Control Ingresos Cen</v>
      </c>
      <c r="E187" s="45">
        <f>IF(Base!H185="","",Base!H185)</f>
        <v>1050126</v>
      </c>
      <c r="J187" s="53">
        <v>177</v>
      </c>
      <c r="K187" s="54"/>
      <c r="L187" s="55" t="str">
        <f t="shared" si="45"/>
        <v/>
      </c>
      <c r="M187" s="55" t="str">
        <f t="shared" si="46"/>
        <v/>
      </c>
      <c r="N187" s="56" t="str">
        <f t="shared" si="47"/>
        <v/>
      </c>
      <c r="O187" s="56" t="str">
        <f t="shared" si="48"/>
        <v/>
      </c>
      <c r="P187" s="57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0">
        <f t="shared" si="57"/>
        <v>0</v>
      </c>
      <c r="AF187" s="60">
        <f t="shared" si="57"/>
        <v>0</v>
      </c>
      <c r="AG187" s="61"/>
      <c r="AL187" s="45" t="str">
        <f t="shared" si="49"/>
        <v/>
      </c>
      <c r="AM187" s="45">
        <v>178</v>
      </c>
      <c r="AN187" s="45">
        <f t="shared" si="50"/>
        <v>0</v>
      </c>
      <c r="AO187" s="45">
        <f t="shared" si="51"/>
        <v>0</v>
      </c>
      <c r="AP187" s="45">
        <f t="shared" si="52"/>
        <v>0</v>
      </c>
      <c r="AQ187" s="45">
        <f t="shared" si="53"/>
        <v>0</v>
      </c>
      <c r="AR187" s="45">
        <f t="shared" si="54"/>
        <v>0</v>
      </c>
      <c r="AS187" s="45">
        <f t="shared" si="55"/>
        <v>0</v>
      </c>
      <c r="AT187" s="45">
        <f t="shared" si="56"/>
        <v>0</v>
      </c>
      <c r="AU187" s="62" t="str">
        <f t="shared" si="44"/>
        <v/>
      </c>
    </row>
    <row r="188" spans="1:47" ht="13.5">
      <c r="A188" s="45" t="str">
        <f>IF(Base!B186="","",Base!B186)</f>
        <v>10.835.391-0</v>
      </c>
      <c r="B188" s="45" t="str">
        <f>IF(Base!F186="","",Base!F186)</f>
        <v>DANIEL PATRICIO  SANCHEZ  VASQUEZ</v>
      </c>
      <c r="C188" s="45" t="str">
        <f>IF(Base!I186="","",Base!I186)</f>
        <v>Abastecimiento</v>
      </c>
      <c r="D188" s="46" t="str">
        <f>IF(Base!J186="","",Base!J186)</f>
        <v>Almacen Insumos Pque</v>
      </c>
      <c r="E188" s="45">
        <f>IF(Base!H186="","",Base!H186)</f>
        <v>1050581</v>
      </c>
      <c r="J188" s="53">
        <v>178</v>
      </c>
      <c r="K188" s="54"/>
      <c r="L188" s="55" t="str">
        <f t="shared" si="45"/>
        <v/>
      </c>
      <c r="M188" s="55" t="str">
        <f t="shared" si="46"/>
        <v/>
      </c>
      <c r="N188" s="56" t="str">
        <f t="shared" si="47"/>
        <v/>
      </c>
      <c r="O188" s="56" t="str">
        <f t="shared" si="48"/>
        <v/>
      </c>
      <c r="P188" s="57"/>
      <c r="Q188" s="63"/>
      <c r="R188" s="53"/>
      <c r="S188" s="63"/>
      <c r="T188" s="53"/>
      <c r="U188" s="63"/>
      <c r="V188" s="53"/>
      <c r="W188" s="63"/>
      <c r="X188" s="53"/>
      <c r="Y188" s="63"/>
      <c r="Z188" s="53"/>
      <c r="AA188" s="63"/>
      <c r="AB188" s="53"/>
      <c r="AC188" s="63"/>
      <c r="AD188" s="53"/>
      <c r="AE188" s="60">
        <f t="shared" si="57"/>
        <v>0</v>
      </c>
      <c r="AF188" s="60">
        <f t="shared" si="57"/>
        <v>0</v>
      </c>
      <c r="AG188" s="61"/>
      <c r="AL188" s="45" t="str">
        <f t="shared" si="49"/>
        <v/>
      </c>
      <c r="AM188" s="45">
        <v>179</v>
      </c>
      <c r="AN188" s="45">
        <f t="shared" si="50"/>
        <v>0</v>
      </c>
      <c r="AO188" s="45">
        <f t="shared" si="51"/>
        <v>0</v>
      </c>
      <c r="AP188" s="45">
        <f t="shared" si="52"/>
        <v>0</v>
      </c>
      <c r="AQ188" s="45">
        <f t="shared" si="53"/>
        <v>0</v>
      </c>
      <c r="AR188" s="45">
        <f t="shared" si="54"/>
        <v>0</v>
      </c>
      <c r="AS188" s="45">
        <f t="shared" si="55"/>
        <v>0</v>
      </c>
      <c r="AT188" s="45">
        <f t="shared" si="56"/>
        <v>0</v>
      </c>
      <c r="AU188" s="62" t="str">
        <f t="shared" si="44"/>
        <v/>
      </c>
    </row>
    <row r="189" spans="1:47" ht="13.5">
      <c r="A189" s="45" t="str">
        <f>IF(Base!B187="","",Base!B187)</f>
        <v>08.618.882-1</v>
      </c>
      <c r="B189" s="45" t="str">
        <f>IF(Base!F187="","",Base!F187)</f>
        <v>VICTOR H.  SANDOVAL  ACUÑA</v>
      </c>
      <c r="C189" s="45" t="str">
        <f>IF(Base!I187="","",Base!I187)</f>
        <v>Abastecimiento</v>
      </c>
      <c r="D189" s="46" t="str">
        <f>IF(Base!J187="","",Base!J187)</f>
        <v>Suministro de Líneas</v>
      </c>
      <c r="E189" s="45">
        <f>IF(Base!H187="","",Base!H187)</f>
        <v>1050633</v>
      </c>
      <c r="J189" s="53">
        <v>179</v>
      </c>
      <c r="K189" s="54"/>
      <c r="L189" s="55" t="str">
        <f t="shared" si="45"/>
        <v/>
      </c>
      <c r="M189" s="55" t="str">
        <f t="shared" si="46"/>
        <v/>
      </c>
      <c r="N189" s="56" t="str">
        <f t="shared" si="47"/>
        <v/>
      </c>
      <c r="O189" s="56" t="str">
        <f t="shared" si="48"/>
        <v/>
      </c>
      <c r="P189" s="57"/>
      <c r="Q189" s="63"/>
      <c r="R189" s="53"/>
      <c r="S189" s="63"/>
      <c r="T189" s="53"/>
      <c r="U189" s="63"/>
      <c r="V189" s="53"/>
      <c r="W189" s="63"/>
      <c r="X189" s="53"/>
      <c r="Y189" s="63"/>
      <c r="Z189" s="53"/>
      <c r="AA189" s="63"/>
      <c r="AB189" s="53"/>
      <c r="AC189" s="63"/>
      <c r="AD189" s="53"/>
      <c r="AE189" s="60">
        <f t="shared" si="57"/>
        <v>0</v>
      </c>
      <c r="AF189" s="60">
        <f t="shared" si="57"/>
        <v>0</v>
      </c>
      <c r="AG189" s="61"/>
      <c r="AL189" s="45" t="str">
        <f t="shared" si="49"/>
        <v/>
      </c>
      <c r="AM189" s="45">
        <v>180</v>
      </c>
      <c r="AN189" s="45">
        <f t="shared" si="50"/>
        <v>0</v>
      </c>
      <c r="AO189" s="45">
        <f t="shared" si="51"/>
        <v>0</v>
      </c>
      <c r="AP189" s="45">
        <f t="shared" si="52"/>
        <v>0</v>
      </c>
      <c r="AQ189" s="45">
        <f t="shared" si="53"/>
        <v>0</v>
      </c>
      <c r="AR189" s="45">
        <f t="shared" si="54"/>
        <v>0</v>
      </c>
      <c r="AS189" s="45">
        <f t="shared" si="55"/>
        <v>0</v>
      </c>
      <c r="AT189" s="45">
        <f t="shared" si="56"/>
        <v>0</v>
      </c>
      <c r="AU189" s="62" t="str">
        <f t="shared" si="44"/>
        <v/>
      </c>
    </row>
    <row r="190" spans="1:47" ht="13.5">
      <c r="A190" s="45" t="str">
        <f>IF(Base!B188="","",Base!B188)</f>
        <v>16.691.386-1</v>
      </c>
      <c r="B190" s="45" t="str">
        <f>IF(Base!F188="","",Base!F188)</f>
        <v>LORENZO ARTURO  SANDOVAL  ALTAMIRANO</v>
      </c>
      <c r="C190" s="45" t="str">
        <f>IF(Base!I188="","",Base!I188)</f>
        <v>Abastecimiento</v>
      </c>
      <c r="D190" s="46" t="str">
        <f>IF(Base!J188="","",Base!J188)</f>
        <v>Almacen Insumos Pque</v>
      </c>
      <c r="E190" s="45">
        <f>IF(Base!H188="","",Base!H188)</f>
        <v>1050581</v>
      </c>
      <c r="J190" s="53">
        <v>180</v>
      </c>
      <c r="K190" s="54"/>
      <c r="L190" s="55" t="str">
        <f t="shared" si="45"/>
        <v/>
      </c>
      <c r="M190" s="55" t="str">
        <f t="shared" si="46"/>
        <v/>
      </c>
      <c r="N190" s="56" t="str">
        <f t="shared" si="47"/>
        <v/>
      </c>
      <c r="O190" s="56" t="str">
        <f t="shared" si="48"/>
        <v/>
      </c>
      <c r="P190" s="57"/>
      <c r="Q190" s="63"/>
      <c r="R190" s="53"/>
      <c r="S190" s="63"/>
      <c r="T190" s="53"/>
      <c r="U190" s="63"/>
      <c r="V190" s="53"/>
      <c r="W190" s="63"/>
      <c r="X190" s="53"/>
      <c r="Y190" s="63"/>
      <c r="Z190" s="53"/>
      <c r="AA190" s="63"/>
      <c r="AB190" s="53"/>
      <c r="AC190" s="63"/>
      <c r="AD190" s="53"/>
      <c r="AE190" s="60">
        <f t="shared" si="57"/>
        <v>0</v>
      </c>
      <c r="AF190" s="60">
        <f t="shared" si="57"/>
        <v>0</v>
      </c>
      <c r="AG190" s="61"/>
      <c r="AL190" s="45" t="str">
        <f t="shared" si="49"/>
        <v/>
      </c>
      <c r="AM190" s="45">
        <v>181</v>
      </c>
      <c r="AN190" s="45">
        <f t="shared" si="50"/>
        <v>0</v>
      </c>
      <c r="AO190" s="45">
        <f t="shared" si="51"/>
        <v>0</v>
      </c>
      <c r="AP190" s="45">
        <f t="shared" si="52"/>
        <v>0</v>
      </c>
      <c r="AQ190" s="45">
        <f t="shared" si="53"/>
        <v>0</v>
      </c>
      <c r="AR190" s="45">
        <f t="shared" si="54"/>
        <v>0</v>
      </c>
      <c r="AS190" s="45">
        <f t="shared" si="55"/>
        <v>0</v>
      </c>
      <c r="AT190" s="45">
        <f t="shared" si="56"/>
        <v>0</v>
      </c>
      <c r="AU190" s="62" t="str">
        <f t="shared" si="44"/>
        <v/>
      </c>
    </row>
    <row r="191" spans="1:47" ht="13.5">
      <c r="A191" s="45" t="str">
        <f>IF(Base!B189="","",Base!B189)</f>
        <v>08.085.825-6</v>
      </c>
      <c r="B191" s="45" t="str">
        <f>IF(Base!F189="","",Base!F189)</f>
        <v>ACISCLO ANTONIO  SANHUEZA  CUBILLOS</v>
      </c>
      <c r="C191" s="45" t="str">
        <f>IF(Base!I189="","",Base!I189)</f>
        <v>Linea 6</v>
      </c>
      <c r="D191" s="46" t="str">
        <f>IF(Base!J189="","",Base!J189)</f>
        <v>Llenador</v>
      </c>
      <c r="E191" s="45">
        <f>IF(Base!H189="","",Base!H189)</f>
        <v>1050609</v>
      </c>
      <c r="J191" s="53">
        <v>181</v>
      </c>
      <c r="K191" s="54"/>
      <c r="L191" s="55" t="str">
        <f t="shared" si="45"/>
        <v/>
      </c>
      <c r="M191" s="55" t="str">
        <f t="shared" si="46"/>
        <v/>
      </c>
      <c r="N191" s="56" t="str">
        <f t="shared" si="47"/>
        <v/>
      </c>
      <c r="O191" s="56" t="str">
        <f t="shared" si="48"/>
        <v/>
      </c>
      <c r="P191" s="57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0">
        <f t="shared" si="57"/>
        <v>0</v>
      </c>
      <c r="AF191" s="60">
        <f t="shared" si="57"/>
        <v>0</v>
      </c>
      <c r="AG191" s="61"/>
      <c r="AL191" s="45" t="str">
        <f t="shared" si="49"/>
        <v/>
      </c>
      <c r="AM191" s="45">
        <v>182</v>
      </c>
      <c r="AN191" s="45">
        <f t="shared" si="50"/>
        <v>0</v>
      </c>
      <c r="AO191" s="45">
        <f t="shared" si="51"/>
        <v>0</v>
      </c>
      <c r="AP191" s="45">
        <f t="shared" si="52"/>
        <v>0</v>
      </c>
      <c r="AQ191" s="45">
        <f t="shared" si="53"/>
        <v>0</v>
      </c>
      <c r="AR191" s="45">
        <f t="shared" si="54"/>
        <v>0</v>
      </c>
      <c r="AS191" s="45">
        <f t="shared" si="55"/>
        <v>0</v>
      </c>
      <c r="AT191" s="45">
        <f t="shared" si="56"/>
        <v>0</v>
      </c>
      <c r="AU191" s="62" t="str">
        <f t="shared" si="44"/>
        <v/>
      </c>
    </row>
    <row r="192" spans="1:47" ht="13.5">
      <c r="A192" s="45" t="str">
        <f>IF(Base!B190="","",Base!B190)</f>
        <v>10.849.076-4</v>
      </c>
      <c r="B192" s="45" t="str">
        <f>IF(Base!F190="","",Base!F190)</f>
        <v>RICARDO  SANTANA  PEREZ</v>
      </c>
      <c r="C192" s="45" t="str">
        <f>IF(Base!I190="","",Base!I190)</f>
        <v>Linea 3</v>
      </c>
      <c r="D192" s="46" t="str">
        <f>IF(Base!J190="","",Base!J190)</f>
        <v>Llenador</v>
      </c>
      <c r="E192" s="45">
        <f>IF(Base!H190="","",Base!H190)</f>
        <v>1050555</v>
      </c>
      <c r="J192" s="53">
        <v>182</v>
      </c>
      <c r="K192" s="54"/>
      <c r="L192" s="55" t="str">
        <f t="shared" si="45"/>
        <v/>
      </c>
      <c r="M192" s="55" t="str">
        <f t="shared" si="46"/>
        <v/>
      </c>
      <c r="N192" s="56" t="str">
        <f t="shared" si="47"/>
        <v/>
      </c>
      <c r="O192" s="56" t="str">
        <f t="shared" si="48"/>
        <v/>
      </c>
      <c r="P192" s="57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0">
        <f t="shared" si="57"/>
        <v>0</v>
      </c>
      <c r="AF192" s="60">
        <f t="shared" si="57"/>
        <v>0</v>
      </c>
      <c r="AG192" s="61"/>
      <c r="AL192" s="45" t="str">
        <f t="shared" si="49"/>
        <v/>
      </c>
      <c r="AM192" s="45">
        <v>183</v>
      </c>
      <c r="AN192" s="45">
        <f t="shared" si="50"/>
        <v>0</v>
      </c>
      <c r="AO192" s="45">
        <f t="shared" si="51"/>
        <v>0</v>
      </c>
      <c r="AP192" s="45">
        <f t="shared" si="52"/>
        <v>0</v>
      </c>
      <c r="AQ192" s="45">
        <f t="shared" si="53"/>
        <v>0</v>
      </c>
      <c r="AR192" s="45">
        <f t="shared" si="54"/>
        <v>0</v>
      </c>
      <c r="AS192" s="45">
        <f t="shared" si="55"/>
        <v>0</v>
      </c>
      <c r="AT192" s="45">
        <f t="shared" si="56"/>
        <v>0</v>
      </c>
      <c r="AU192" s="62" t="str">
        <f t="shared" si="44"/>
        <v/>
      </c>
    </row>
    <row r="193" spans="1:47" ht="13.5">
      <c r="A193" s="45" t="str">
        <f>IF(Base!B191="","",Base!B191)</f>
        <v>13.079.999-K</v>
      </c>
      <c r="B193" s="45" t="str">
        <f>IF(Base!F191="","",Base!F191)</f>
        <v>MAGALY ANDREA  SEPULVEDA  ARAVENA</v>
      </c>
      <c r="C193" s="45" t="str">
        <f>IF(Base!I191="","",Base!I191)</f>
        <v>Abastecimiento</v>
      </c>
      <c r="D193" s="46" t="str">
        <f>IF(Base!J191="","",Base!J191)</f>
        <v>Preparación de Insum</v>
      </c>
      <c r="E193" s="45">
        <f>IF(Base!H191="","",Base!H191)</f>
        <v>1050127</v>
      </c>
      <c r="J193" s="53">
        <v>183</v>
      </c>
      <c r="K193" s="54"/>
      <c r="L193" s="55" t="str">
        <f t="shared" si="45"/>
        <v/>
      </c>
      <c r="M193" s="55" t="str">
        <f t="shared" si="46"/>
        <v/>
      </c>
      <c r="N193" s="56" t="str">
        <f t="shared" si="47"/>
        <v/>
      </c>
      <c r="O193" s="56" t="str">
        <f t="shared" si="48"/>
        <v/>
      </c>
      <c r="P193" s="57"/>
      <c r="Q193" s="63"/>
      <c r="R193" s="53"/>
      <c r="S193" s="63"/>
      <c r="T193" s="53"/>
      <c r="U193" s="63"/>
      <c r="V193" s="53"/>
      <c r="W193" s="63"/>
      <c r="X193" s="53"/>
      <c r="Y193" s="63"/>
      <c r="Z193" s="53"/>
      <c r="AA193" s="63"/>
      <c r="AB193" s="53"/>
      <c r="AC193" s="63"/>
      <c r="AD193" s="53"/>
      <c r="AE193" s="60">
        <f t="shared" si="57"/>
        <v>0</v>
      </c>
      <c r="AF193" s="60">
        <f t="shared" si="57"/>
        <v>0</v>
      </c>
      <c r="AG193" s="61"/>
      <c r="AL193" s="45" t="str">
        <f t="shared" si="49"/>
        <v/>
      </c>
      <c r="AM193" s="45">
        <v>184</v>
      </c>
      <c r="AN193" s="45">
        <f t="shared" si="50"/>
        <v>0</v>
      </c>
      <c r="AO193" s="45">
        <f t="shared" si="51"/>
        <v>0</v>
      </c>
      <c r="AP193" s="45">
        <f t="shared" si="52"/>
        <v>0</v>
      </c>
      <c r="AQ193" s="45">
        <f t="shared" si="53"/>
        <v>0</v>
      </c>
      <c r="AR193" s="45">
        <f t="shared" si="54"/>
        <v>0</v>
      </c>
      <c r="AS193" s="45">
        <f t="shared" si="55"/>
        <v>0</v>
      </c>
      <c r="AT193" s="45">
        <f t="shared" si="56"/>
        <v>0</v>
      </c>
      <c r="AU193" s="62" t="str">
        <f t="shared" si="44"/>
        <v/>
      </c>
    </row>
    <row r="194" spans="1:47" ht="13.5">
      <c r="A194" s="45" t="str">
        <f>IF(Base!B192="","",Base!B192)</f>
        <v>12.896.000-7</v>
      </c>
      <c r="B194" s="45" t="str">
        <f>IF(Base!F192="","",Base!F192)</f>
        <v>IGNACIO ANDRES  SERRANO  VEGA</v>
      </c>
      <c r="C194" s="45" t="str">
        <f>IF(Base!I192="","",Base!I192)</f>
        <v>Linea 7</v>
      </c>
      <c r="D194" s="46" t="str">
        <f>IF(Base!J192="","",Base!J192)</f>
        <v>Etiquetador</v>
      </c>
      <c r="E194" s="45">
        <f>IF(Base!H192="","",Base!H192)</f>
        <v>10505616</v>
      </c>
      <c r="J194" s="53">
        <v>184</v>
      </c>
      <c r="K194" s="54"/>
      <c r="L194" s="55" t="str">
        <f t="shared" si="45"/>
        <v/>
      </c>
      <c r="M194" s="55" t="str">
        <f t="shared" si="46"/>
        <v/>
      </c>
      <c r="N194" s="56" t="str">
        <f t="shared" si="47"/>
        <v/>
      </c>
      <c r="O194" s="56" t="str">
        <f t="shared" si="48"/>
        <v/>
      </c>
      <c r="P194" s="57"/>
      <c r="Q194" s="63"/>
      <c r="R194" s="53"/>
      <c r="S194" s="63"/>
      <c r="T194" s="53"/>
      <c r="U194" s="63"/>
      <c r="V194" s="53"/>
      <c r="W194" s="63"/>
      <c r="X194" s="53"/>
      <c r="Y194" s="63"/>
      <c r="Z194" s="53"/>
      <c r="AA194" s="63"/>
      <c r="AB194" s="53"/>
      <c r="AC194" s="63"/>
      <c r="AD194" s="53"/>
      <c r="AE194" s="60">
        <f t="shared" si="57"/>
        <v>0</v>
      </c>
      <c r="AF194" s="60">
        <f t="shared" si="57"/>
        <v>0</v>
      </c>
      <c r="AG194" s="61"/>
      <c r="AL194" s="45" t="str">
        <f t="shared" si="49"/>
        <v/>
      </c>
      <c r="AM194" s="45">
        <v>185</v>
      </c>
      <c r="AN194" s="45">
        <f t="shared" si="50"/>
        <v>0</v>
      </c>
      <c r="AO194" s="45">
        <f t="shared" si="51"/>
        <v>0</v>
      </c>
      <c r="AP194" s="45">
        <f t="shared" si="52"/>
        <v>0</v>
      </c>
      <c r="AQ194" s="45">
        <f t="shared" si="53"/>
        <v>0</v>
      </c>
      <c r="AR194" s="45">
        <f t="shared" si="54"/>
        <v>0</v>
      </c>
      <c r="AS194" s="45">
        <f t="shared" si="55"/>
        <v>0</v>
      </c>
      <c r="AT194" s="45">
        <f t="shared" si="56"/>
        <v>0</v>
      </c>
      <c r="AU194" s="62" t="str">
        <f t="shared" si="44"/>
        <v/>
      </c>
    </row>
    <row r="195" spans="1:47" ht="13.5">
      <c r="A195" s="45" t="str">
        <f>IF(Base!B193="","",Base!B193)</f>
        <v>12.896.866-0</v>
      </c>
      <c r="B195" s="45" t="str">
        <f>IF(Base!F193="","",Base!F193)</f>
        <v>EDDIE LUIS  SOTO  SOTO</v>
      </c>
      <c r="C195" s="45" t="str">
        <f>IF(Base!I193="","",Base!I193)</f>
        <v>BIB</v>
      </c>
      <c r="D195" s="46" t="str">
        <f>IF(Base!J193="","",Base!J193)</f>
        <v>BIB</v>
      </c>
      <c r="E195" s="45">
        <f>IF(Base!H193="","",Base!H193)</f>
        <v>1050595</v>
      </c>
      <c r="J195" s="53">
        <v>185</v>
      </c>
      <c r="K195" s="54"/>
      <c r="L195" s="55" t="str">
        <f t="shared" si="45"/>
        <v/>
      </c>
      <c r="M195" s="55" t="str">
        <f t="shared" si="46"/>
        <v/>
      </c>
      <c r="N195" s="56" t="str">
        <f t="shared" si="47"/>
        <v/>
      </c>
      <c r="O195" s="56" t="str">
        <f t="shared" si="48"/>
        <v/>
      </c>
      <c r="P195" s="57"/>
      <c r="Q195" s="63"/>
      <c r="R195" s="53"/>
      <c r="S195" s="63"/>
      <c r="T195" s="53"/>
      <c r="U195" s="63"/>
      <c r="V195" s="53"/>
      <c r="W195" s="63"/>
      <c r="X195" s="53"/>
      <c r="Y195" s="63"/>
      <c r="Z195" s="53"/>
      <c r="AA195" s="63"/>
      <c r="AB195" s="53"/>
      <c r="AC195" s="63"/>
      <c r="AD195" s="53"/>
      <c r="AE195" s="60">
        <f t="shared" si="57"/>
        <v>0</v>
      </c>
      <c r="AF195" s="60">
        <f t="shared" si="57"/>
        <v>0</v>
      </c>
      <c r="AG195" s="61"/>
      <c r="AL195" s="45" t="str">
        <f t="shared" si="49"/>
        <v/>
      </c>
      <c r="AM195" s="45">
        <v>186</v>
      </c>
      <c r="AN195" s="45">
        <f t="shared" si="50"/>
        <v>0</v>
      </c>
      <c r="AO195" s="45">
        <f t="shared" si="51"/>
        <v>0</v>
      </c>
      <c r="AP195" s="45">
        <f t="shared" si="52"/>
        <v>0</v>
      </c>
      <c r="AQ195" s="45">
        <f t="shared" si="53"/>
        <v>0</v>
      </c>
      <c r="AR195" s="45">
        <f t="shared" si="54"/>
        <v>0</v>
      </c>
      <c r="AS195" s="45">
        <f t="shared" si="55"/>
        <v>0</v>
      </c>
      <c r="AT195" s="45">
        <f t="shared" si="56"/>
        <v>0</v>
      </c>
      <c r="AU195" s="62" t="str">
        <f t="shared" si="44"/>
        <v/>
      </c>
    </row>
    <row r="196" spans="1:47" ht="13.5">
      <c r="A196" s="45" t="str">
        <f>IF(Base!B194="","",Base!B194)</f>
        <v>12.392.999-3</v>
      </c>
      <c r="B196" s="45" t="str">
        <f>IF(Base!F194="","",Base!F194)</f>
        <v>CARLOS  TAPIA  CANTILLANA</v>
      </c>
      <c r="C196" s="45" t="str">
        <f>IF(Base!I194="","",Base!I194)</f>
        <v>Linea 6</v>
      </c>
      <c r="D196" s="46" t="str">
        <f>IF(Base!J194="","",Base!J194)</f>
        <v>Etiquetador</v>
      </c>
      <c r="E196" s="45">
        <f>IF(Base!H194="","",Base!H194)</f>
        <v>1050610</v>
      </c>
      <c r="J196" s="53">
        <v>186</v>
      </c>
      <c r="K196" s="54"/>
      <c r="L196" s="55" t="str">
        <f t="shared" si="45"/>
        <v/>
      </c>
      <c r="M196" s="55" t="str">
        <f t="shared" si="46"/>
        <v/>
      </c>
      <c r="N196" s="56" t="str">
        <f t="shared" si="47"/>
        <v/>
      </c>
      <c r="O196" s="56" t="str">
        <f t="shared" si="48"/>
        <v/>
      </c>
      <c r="P196" s="57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0">
        <f t="shared" si="57"/>
        <v>0</v>
      </c>
      <c r="AF196" s="60">
        <f t="shared" si="57"/>
        <v>0</v>
      </c>
      <c r="AG196" s="61"/>
      <c r="AL196" s="45" t="str">
        <f t="shared" si="49"/>
        <v/>
      </c>
      <c r="AM196" s="45">
        <v>187</v>
      </c>
      <c r="AN196" s="45">
        <f t="shared" si="50"/>
        <v>0</v>
      </c>
      <c r="AO196" s="45">
        <f t="shared" si="51"/>
        <v>0</v>
      </c>
      <c r="AP196" s="45">
        <f t="shared" si="52"/>
        <v>0</v>
      </c>
      <c r="AQ196" s="45">
        <f t="shared" si="53"/>
        <v>0</v>
      </c>
      <c r="AR196" s="45">
        <f t="shared" si="54"/>
        <v>0</v>
      </c>
      <c r="AS196" s="45">
        <f t="shared" si="55"/>
        <v>0</v>
      </c>
      <c r="AT196" s="45">
        <f t="shared" si="56"/>
        <v>0</v>
      </c>
      <c r="AU196" s="62" t="str">
        <f t="shared" si="44"/>
        <v/>
      </c>
    </row>
    <row r="197" spans="1:47" ht="13.5">
      <c r="A197" s="45" t="str">
        <f>IF(Base!B195="","",Base!B195)</f>
        <v>14.193.049-4</v>
      </c>
      <c r="B197" s="45" t="str">
        <f>IF(Base!F195="","",Base!F195)</f>
        <v>CESAR  TAPIA  IBARRA</v>
      </c>
      <c r="C197" s="45" t="str">
        <f>IF(Base!I195="","",Base!I195)</f>
        <v>Linea 6</v>
      </c>
      <c r="D197" s="46" t="str">
        <f>IF(Base!J195="","",Base!J195)</f>
        <v>Despalletizador</v>
      </c>
      <c r="E197" s="45">
        <f>IF(Base!H195="","",Base!H195)</f>
        <v>1050609</v>
      </c>
      <c r="J197" s="53">
        <v>187</v>
      </c>
      <c r="K197" s="54"/>
      <c r="L197" s="55" t="str">
        <f t="shared" si="45"/>
        <v/>
      </c>
      <c r="M197" s="55" t="str">
        <f t="shared" si="46"/>
        <v/>
      </c>
      <c r="N197" s="56" t="str">
        <f t="shared" si="47"/>
        <v/>
      </c>
      <c r="O197" s="56" t="str">
        <f t="shared" si="48"/>
        <v/>
      </c>
      <c r="P197" s="57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0">
        <f t="shared" si="57"/>
        <v>0</v>
      </c>
      <c r="AF197" s="60">
        <f t="shared" si="57"/>
        <v>0</v>
      </c>
      <c r="AG197" s="61"/>
      <c r="AL197" s="45" t="str">
        <f t="shared" si="49"/>
        <v/>
      </c>
      <c r="AM197" s="45">
        <v>188</v>
      </c>
      <c r="AN197" s="45">
        <f t="shared" si="50"/>
        <v>0</v>
      </c>
      <c r="AO197" s="45">
        <f t="shared" si="51"/>
        <v>0</v>
      </c>
      <c r="AP197" s="45">
        <f t="shared" si="52"/>
        <v>0</v>
      </c>
      <c r="AQ197" s="45">
        <f t="shared" si="53"/>
        <v>0</v>
      </c>
      <c r="AR197" s="45">
        <f t="shared" si="54"/>
        <v>0</v>
      </c>
      <c r="AS197" s="45">
        <f t="shared" si="55"/>
        <v>0</v>
      </c>
      <c r="AT197" s="45">
        <f t="shared" si="56"/>
        <v>0</v>
      </c>
      <c r="AU197" s="62" t="str">
        <f t="shared" si="44"/>
        <v/>
      </c>
    </row>
    <row r="198" spans="1:47" ht="13.5">
      <c r="A198" s="45" t="str">
        <f>IF(Base!B196="","",Base!B196)</f>
        <v>06.467.952-K</v>
      </c>
      <c r="B198" s="45" t="str">
        <f>IF(Base!F196="","",Base!F196)</f>
        <v>ORLANDINO GUMERCINDO  TAPIA  OLIVARES</v>
      </c>
      <c r="C198" s="45" t="str">
        <f>IF(Base!I196="","",Base!I196)</f>
        <v>Abastecimiento</v>
      </c>
      <c r="D198" s="46" t="str">
        <f>IF(Base!J196="","",Base!J196)</f>
        <v>Suministro de Líneas</v>
      </c>
      <c r="E198" s="45">
        <f>IF(Base!H196="","",Base!H196)</f>
        <v>1050633</v>
      </c>
      <c r="J198" s="53">
        <v>188</v>
      </c>
      <c r="K198" s="54"/>
      <c r="L198" s="55" t="str">
        <f t="shared" si="45"/>
        <v/>
      </c>
      <c r="M198" s="55" t="str">
        <f t="shared" si="46"/>
        <v/>
      </c>
      <c r="N198" s="56" t="str">
        <f t="shared" si="47"/>
        <v/>
      </c>
      <c r="O198" s="56" t="str">
        <f t="shared" si="48"/>
        <v/>
      </c>
      <c r="P198" s="57"/>
      <c r="Q198" s="63"/>
      <c r="R198" s="53"/>
      <c r="S198" s="63"/>
      <c r="T198" s="53"/>
      <c r="U198" s="63"/>
      <c r="V198" s="53"/>
      <c r="W198" s="63"/>
      <c r="X198" s="53"/>
      <c r="Y198" s="63"/>
      <c r="Z198" s="53"/>
      <c r="AA198" s="63"/>
      <c r="AB198" s="53"/>
      <c r="AC198" s="63"/>
      <c r="AD198" s="53"/>
      <c r="AE198" s="60">
        <f t="shared" si="57"/>
        <v>0</v>
      </c>
      <c r="AF198" s="60">
        <f t="shared" si="57"/>
        <v>0</v>
      </c>
      <c r="AG198" s="61"/>
      <c r="AL198" s="45" t="str">
        <f t="shared" si="49"/>
        <v/>
      </c>
      <c r="AM198" s="45">
        <v>189</v>
      </c>
      <c r="AN198" s="45">
        <f t="shared" si="50"/>
        <v>0</v>
      </c>
      <c r="AO198" s="45">
        <f t="shared" si="51"/>
        <v>0</v>
      </c>
      <c r="AP198" s="45">
        <f t="shared" si="52"/>
        <v>0</v>
      </c>
      <c r="AQ198" s="45">
        <f t="shared" si="53"/>
        <v>0</v>
      </c>
      <c r="AR198" s="45">
        <f t="shared" si="54"/>
        <v>0</v>
      </c>
      <c r="AS198" s="45">
        <f t="shared" si="55"/>
        <v>0</v>
      </c>
      <c r="AT198" s="45">
        <f t="shared" si="56"/>
        <v>0</v>
      </c>
      <c r="AU198" s="62" t="str">
        <f t="shared" si="44"/>
        <v/>
      </c>
    </row>
    <row r="199" spans="1:47" ht="13.5">
      <c r="A199" s="45" t="str">
        <f>IF(Base!B197="","",Base!B197)</f>
        <v>11.840.491-2</v>
      </c>
      <c r="B199" s="45" t="str">
        <f>IF(Base!F197="","",Base!F197)</f>
        <v>CESAR OMAR  TORRES  FARIAS</v>
      </c>
      <c r="C199" s="45" t="str">
        <f>IF(Base!I197="","",Base!I197)</f>
        <v>Linea 7</v>
      </c>
      <c r="D199" s="46" t="str">
        <f>IF(Base!J197="","",Base!J197)</f>
        <v>Palletizador</v>
      </c>
      <c r="E199" s="45">
        <f>IF(Base!H197="","",Base!H197)</f>
        <v>1050616</v>
      </c>
      <c r="J199" s="53">
        <v>189</v>
      </c>
      <c r="K199" s="54"/>
      <c r="L199" s="55" t="str">
        <f t="shared" si="45"/>
        <v/>
      </c>
      <c r="M199" s="55" t="str">
        <f t="shared" si="46"/>
        <v/>
      </c>
      <c r="N199" s="56" t="str">
        <f t="shared" si="47"/>
        <v/>
      </c>
      <c r="O199" s="56" t="str">
        <f t="shared" si="48"/>
        <v/>
      </c>
      <c r="P199" s="57"/>
      <c r="Q199" s="63"/>
      <c r="R199" s="53"/>
      <c r="S199" s="63"/>
      <c r="T199" s="53"/>
      <c r="U199" s="63"/>
      <c r="V199" s="53"/>
      <c r="W199" s="63"/>
      <c r="X199" s="53"/>
      <c r="Y199" s="63"/>
      <c r="Z199" s="53"/>
      <c r="AA199" s="63"/>
      <c r="AB199" s="53"/>
      <c r="AC199" s="63"/>
      <c r="AD199" s="53"/>
      <c r="AE199" s="60">
        <f t="shared" si="57"/>
        <v>0</v>
      </c>
      <c r="AF199" s="60">
        <f t="shared" si="57"/>
        <v>0</v>
      </c>
      <c r="AG199" s="61"/>
      <c r="AL199" s="45" t="str">
        <f t="shared" si="49"/>
        <v/>
      </c>
      <c r="AM199" s="45">
        <v>190</v>
      </c>
      <c r="AN199" s="45">
        <f t="shared" si="50"/>
        <v>0</v>
      </c>
      <c r="AO199" s="45">
        <f t="shared" si="51"/>
        <v>0</v>
      </c>
      <c r="AP199" s="45">
        <f t="shared" si="52"/>
        <v>0</v>
      </c>
      <c r="AQ199" s="45">
        <f t="shared" si="53"/>
        <v>0</v>
      </c>
      <c r="AR199" s="45">
        <f t="shared" si="54"/>
        <v>0</v>
      </c>
      <c r="AS199" s="45">
        <f t="shared" si="55"/>
        <v>0</v>
      </c>
      <c r="AT199" s="45">
        <f t="shared" si="56"/>
        <v>0</v>
      </c>
      <c r="AU199" s="62" t="str">
        <f t="shared" si="44"/>
        <v/>
      </c>
    </row>
    <row r="200" spans="1:47" ht="13.5">
      <c r="A200" s="45" t="str">
        <f>IF(Base!B198="","",Base!B198)</f>
        <v>13.839.512-K</v>
      </c>
      <c r="B200" s="45" t="str">
        <f>IF(Base!F198="","",Base!F198)</f>
        <v>EMILIO  URETA  PAREDES</v>
      </c>
      <c r="C200" s="45" t="str">
        <f>IF(Base!I198="","",Base!I198)</f>
        <v>Linea 2</v>
      </c>
      <c r="D200" s="46" t="str">
        <f>IF(Base!J198="","",Base!J198)</f>
        <v>Etiquetador</v>
      </c>
      <c r="E200" s="45">
        <f>IF(Base!H198="","",Base!H198)</f>
        <v>1050554</v>
      </c>
      <c r="J200" s="53">
        <v>190</v>
      </c>
      <c r="K200" s="54"/>
      <c r="L200" s="55" t="str">
        <f t="shared" si="45"/>
        <v/>
      </c>
      <c r="M200" s="55" t="str">
        <f t="shared" si="46"/>
        <v/>
      </c>
      <c r="N200" s="56" t="str">
        <f t="shared" si="47"/>
        <v/>
      </c>
      <c r="O200" s="56" t="str">
        <f t="shared" si="48"/>
        <v/>
      </c>
      <c r="P200" s="57"/>
      <c r="Q200" s="63"/>
      <c r="R200" s="53"/>
      <c r="S200" s="63"/>
      <c r="T200" s="53"/>
      <c r="U200" s="63"/>
      <c r="V200" s="53"/>
      <c r="W200" s="63"/>
      <c r="X200" s="53"/>
      <c r="Y200" s="63"/>
      <c r="Z200" s="53"/>
      <c r="AA200" s="63"/>
      <c r="AB200" s="53"/>
      <c r="AC200" s="63"/>
      <c r="AD200" s="53"/>
      <c r="AE200" s="60">
        <f t="shared" si="57"/>
        <v>0</v>
      </c>
      <c r="AF200" s="60">
        <f t="shared" si="57"/>
        <v>0</v>
      </c>
      <c r="AG200" s="61"/>
      <c r="AL200" s="45" t="str">
        <f t="shared" si="49"/>
        <v/>
      </c>
      <c r="AM200" s="45">
        <v>191</v>
      </c>
      <c r="AN200" s="45">
        <f t="shared" si="50"/>
        <v>0</v>
      </c>
      <c r="AO200" s="45">
        <f t="shared" si="51"/>
        <v>0</v>
      </c>
      <c r="AP200" s="45">
        <f t="shared" si="52"/>
        <v>0</v>
      </c>
      <c r="AQ200" s="45">
        <f t="shared" si="53"/>
        <v>0</v>
      </c>
      <c r="AR200" s="45">
        <f t="shared" si="54"/>
        <v>0</v>
      </c>
      <c r="AS200" s="45">
        <f t="shared" si="55"/>
        <v>0</v>
      </c>
      <c r="AT200" s="45">
        <f t="shared" si="56"/>
        <v>0</v>
      </c>
      <c r="AU200" s="62" t="str">
        <f t="shared" si="44"/>
        <v/>
      </c>
    </row>
    <row r="201" spans="1:47" ht="13.5">
      <c r="A201" s="45" t="str">
        <f>IF(Base!B199="","",Base!B199)</f>
        <v>21.516.766-6</v>
      </c>
      <c r="B201" s="45" t="str">
        <f>IF(Base!F199="","",Base!F199)</f>
        <v>LUIS  VALDEZ  WERNLI</v>
      </c>
      <c r="C201" s="45" t="str">
        <f>IF(Base!I199="","",Base!I199)</f>
        <v>Linea 3</v>
      </c>
      <c r="D201" s="46" t="str">
        <f>IF(Base!J199="","",Base!J199)</f>
        <v>Etiquetador</v>
      </c>
      <c r="E201" s="45">
        <f>IF(Base!H199="","",Base!H199)</f>
        <v>1050556</v>
      </c>
      <c r="J201" s="53">
        <v>191</v>
      </c>
      <c r="K201" s="54"/>
      <c r="L201" s="55" t="str">
        <f t="shared" si="45"/>
        <v/>
      </c>
      <c r="M201" s="55" t="str">
        <f t="shared" si="46"/>
        <v/>
      </c>
      <c r="N201" s="56" t="str">
        <f t="shared" si="47"/>
        <v/>
      </c>
      <c r="O201" s="56" t="str">
        <f t="shared" si="48"/>
        <v/>
      </c>
      <c r="P201" s="57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0">
        <f t="shared" si="57"/>
        <v>0</v>
      </c>
      <c r="AF201" s="60">
        <f t="shared" si="57"/>
        <v>0</v>
      </c>
      <c r="AG201" s="61"/>
      <c r="AL201" s="45" t="str">
        <f t="shared" si="49"/>
        <v/>
      </c>
      <c r="AM201" s="45">
        <v>192</v>
      </c>
      <c r="AN201" s="45">
        <f t="shared" si="50"/>
        <v>0</v>
      </c>
      <c r="AO201" s="45">
        <f t="shared" si="51"/>
        <v>0</v>
      </c>
      <c r="AP201" s="45">
        <f t="shared" si="52"/>
        <v>0</v>
      </c>
      <c r="AQ201" s="45">
        <f t="shared" si="53"/>
        <v>0</v>
      </c>
      <c r="AR201" s="45">
        <f t="shared" si="54"/>
        <v>0</v>
      </c>
      <c r="AS201" s="45">
        <f t="shared" si="55"/>
        <v>0</v>
      </c>
      <c r="AT201" s="45">
        <f t="shared" si="56"/>
        <v>0</v>
      </c>
      <c r="AU201" s="62" t="str">
        <f t="shared" si="44"/>
        <v/>
      </c>
    </row>
    <row r="202" spans="1:47" ht="13.5">
      <c r="A202" s="45" t="str">
        <f>IF(Base!B200="","",Base!B200)</f>
        <v>15.436.097-2</v>
      </c>
      <c r="B202" s="45" t="str">
        <f>IF(Base!F200="","",Base!F200)</f>
        <v>LUIS  VALENZUELA  DIAZ</v>
      </c>
      <c r="C202" s="45" t="str">
        <f>IF(Base!I200="","",Base!I200)</f>
        <v>Linea 1</v>
      </c>
      <c r="D202" s="46" t="str">
        <f>IF(Base!J200="","",Base!J200)</f>
        <v>Embalador</v>
      </c>
      <c r="E202" s="45">
        <f>IF(Base!H200="","",Base!H200)</f>
        <v>1050552</v>
      </c>
      <c r="J202" s="53">
        <v>192</v>
      </c>
      <c r="K202" s="54"/>
      <c r="L202" s="55" t="str">
        <f t="shared" si="45"/>
        <v/>
      </c>
      <c r="M202" s="55" t="str">
        <f t="shared" si="46"/>
        <v/>
      </c>
      <c r="N202" s="56" t="str">
        <f t="shared" si="47"/>
        <v/>
      </c>
      <c r="O202" s="56" t="str">
        <f t="shared" si="48"/>
        <v/>
      </c>
      <c r="P202" s="57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0">
        <f t="shared" si="57"/>
        <v>0</v>
      </c>
      <c r="AF202" s="60">
        <f t="shared" si="57"/>
        <v>0</v>
      </c>
      <c r="AG202" s="61"/>
      <c r="AL202" s="45" t="str">
        <f t="shared" si="49"/>
        <v/>
      </c>
      <c r="AM202" s="45">
        <v>193</v>
      </c>
      <c r="AN202" s="45">
        <f t="shared" si="50"/>
        <v>0</v>
      </c>
      <c r="AO202" s="45">
        <f t="shared" si="51"/>
        <v>0</v>
      </c>
      <c r="AP202" s="45">
        <f t="shared" si="52"/>
        <v>0</v>
      </c>
      <c r="AQ202" s="45">
        <f t="shared" si="53"/>
        <v>0</v>
      </c>
      <c r="AR202" s="45">
        <f t="shared" si="54"/>
        <v>0</v>
      </c>
      <c r="AS202" s="45">
        <f t="shared" si="55"/>
        <v>0</v>
      </c>
      <c r="AT202" s="45">
        <f t="shared" si="56"/>
        <v>0</v>
      </c>
      <c r="AU202" s="62" t="str">
        <f t="shared" si="44"/>
        <v/>
      </c>
    </row>
    <row r="203" spans="1:47" ht="13.5">
      <c r="A203" s="45" t="str">
        <f>IF(Base!B201="","",Base!B201)</f>
        <v>10.737.908-8</v>
      </c>
      <c r="B203" s="45" t="str">
        <f>IF(Base!F201="","",Base!F201)</f>
        <v>DANIEL  VALENZUELA   AREVALO</v>
      </c>
      <c r="C203" s="45" t="str">
        <f>IF(Base!I201="","",Base!I201)</f>
        <v>Abastecimiento</v>
      </c>
      <c r="D203" s="46" t="str">
        <f>IF(Base!J201="","",Base!J201)</f>
        <v>Jefe Centro Insumos</v>
      </c>
      <c r="E203" s="45">
        <f>IF(Base!H201="","",Base!H201)</f>
        <v>1050581</v>
      </c>
      <c r="J203" s="53">
        <v>193</v>
      </c>
      <c r="K203" s="54"/>
      <c r="L203" s="55" t="str">
        <f t="shared" si="45"/>
        <v/>
      </c>
      <c r="M203" s="55" t="str">
        <f t="shared" si="46"/>
        <v/>
      </c>
      <c r="N203" s="56" t="str">
        <f t="shared" si="47"/>
        <v/>
      </c>
      <c r="O203" s="56" t="str">
        <f t="shared" si="48"/>
        <v/>
      </c>
      <c r="P203" s="57"/>
      <c r="Q203" s="63"/>
      <c r="R203" s="53"/>
      <c r="S203" s="63"/>
      <c r="T203" s="53"/>
      <c r="U203" s="63"/>
      <c r="V203" s="53"/>
      <c r="W203" s="63"/>
      <c r="X203" s="53"/>
      <c r="Y203" s="63"/>
      <c r="Z203" s="53"/>
      <c r="AA203" s="63"/>
      <c r="AB203" s="53"/>
      <c r="AC203" s="63"/>
      <c r="AD203" s="53"/>
      <c r="AE203" s="60">
        <f t="shared" si="57"/>
        <v>0</v>
      </c>
      <c r="AF203" s="60">
        <f t="shared" si="57"/>
        <v>0</v>
      </c>
      <c r="AG203" s="61"/>
      <c r="AL203" s="45" t="str">
        <f t="shared" si="49"/>
        <v/>
      </c>
      <c r="AM203" s="45">
        <v>194</v>
      </c>
      <c r="AN203" s="45">
        <f t="shared" si="50"/>
        <v>0</v>
      </c>
      <c r="AO203" s="45">
        <f t="shared" si="51"/>
        <v>0</v>
      </c>
      <c r="AP203" s="45">
        <f t="shared" si="52"/>
        <v>0</v>
      </c>
      <c r="AQ203" s="45">
        <f t="shared" si="53"/>
        <v>0</v>
      </c>
      <c r="AR203" s="45">
        <f t="shared" si="54"/>
        <v>0</v>
      </c>
      <c r="AS203" s="45">
        <f t="shared" si="55"/>
        <v>0</v>
      </c>
      <c r="AT203" s="45">
        <f t="shared" si="56"/>
        <v>0</v>
      </c>
      <c r="AU203" s="62" t="str">
        <f t="shared" ref="AU203:AU260" si="58">IF(SUM(AE203:AF203)=0,"",SUM(AE203:AF203))</f>
        <v/>
      </c>
    </row>
    <row r="204" spans="1:47" ht="13.5">
      <c r="A204" s="45" t="str">
        <f>IF(Base!B202="","",Base!B202)</f>
        <v>11.123.851-0</v>
      </c>
      <c r="B204" s="45" t="str">
        <f>IF(Base!F202="","",Base!F202)</f>
        <v>MAURICIO  VALLE  GONZALEZ</v>
      </c>
      <c r="C204" s="45" t="str">
        <f>IF(Base!I202="","",Base!I202)</f>
        <v>BIB</v>
      </c>
      <c r="D204" s="46" t="str">
        <f>IF(Base!J202="","",Base!J202)</f>
        <v>BIB</v>
      </c>
      <c r="E204" s="45">
        <f>IF(Base!H202="","",Base!H202)</f>
        <v>1050595</v>
      </c>
      <c r="J204" s="53">
        <v>194</v>
      </c>
      <c r="K204" s="54"/>
      <c r="L204" s="55" t="str">
        <f t="shared" ref="L204:L260" si="59">IF(K204="","",VLOOKUP($K204,A:D,2,FALSE))</f>
        <v/>
      </c>
      <c r="M204" s="55" t="str">
        <f t="shared" ref="M204:M260" si="60">IF(K204="","",VLOOKUP(K204,A:E,5,FALSE))</f>
        <v/>
      </c>
      <c r="N204" s="56" t="str">
        <f t="shared" ref="N204:N260" si="61">IF(K204="","",VLOOKUP(K204,A:C,3,FALSE))</f>
        <v/>
      </c>
      <c r="O204" s="56" t="str">
        <f t="shared" ref="O204:O260" si="62">IF(K204="","",VLOOKUP(K204,A:D,4,FALSE))</f>
        <v/>
      </c>
      <c r="P204" s="57"/>
      <c r="Q204" s="63"/>
      <c r="R204" s="53"/>
      <c r="S204" s="63"/>
      <c r="T204" s="53"/>
      <c r="U204" s="63"/>
      <c r="V204" s="53"/>
      <c r="W204" s="63"/>
      <c r="X204" s="53"/>
      <c r="Y204" s="63"/>
      <c r="Z204" s="53"/>
      <c r="AA204" s="63"/>
      <c r="AB204" s="53"/>
      <c r="AC204" s="63"/>
      <c r="AD204" s="53"/>
      <c r="AE204" s="60">
        <f t="shared" si="57"/>
        <v>0</v>
      </c>
      <c r="AF204" s="60">
        <f t="shared" si="57"/>
        <v>0</v>
      </c>
      <c r="AG204" s="61"/>
      <c r="AL204" s="45" t="str">
        <f t="shared" si="49"/>
        <v/>
      </c>
      <c r="AM204" s="45">
        <v>195</v>
      </c>
      <c r="AN204" s="45">
        <f t="shared" si="50"/>
        <v>0</v>
      </c>
      <c r="AO204" s="45">
        <f t="shared" si="51"/>
        <v>0</v>
      </c>
      <c r="AP204" s="45">
        <f t="shared" si="52"/>
        <v>0</v>
      </c>
      <c r="AQ204" s="45">
        <f t="shared" si="53"/>
        <v>0</v>
      </c>
      <c r="AR204" s="45">
        <f t="shared" si="54"/>
        <v>0</v>
      </c>
      <c r="AS204" s="45">
        <f t="shared" si="55"/>
        <v>0</v>
      </c>
      <c r="AT204" s="45">
        <f t="shared" si="56"/>
        <v>0</v>
      </c>
      <c r="AU204" s="62" t="str">
        <f t="shared" si="58"/>
        <v/>
      </c>
    </row>
    <row r="205" spans="1:47" ht="13.5">
      <c r="A205" s="45" t="str">
        <f>IF(Base!B203="","",Base!B203)</f>
        <v>10.572.816-6</v>
      </c>
      <c r="B205" s="45" t="str">
        <f>IF(Base!F203="","",Base!F203)</f>
        <v>MARCO ANTONIO  VARGAS  MORENO</v>
      </c>
      <c r="C205" s="45" t="str">
        <f>IF(Base!I203="","",Base!I203)</f>
        <v>Abastecimiento</v>
      </c>
      <c r="D205" s="46" t="str">
        <f>IF(Base!J203="","",Base!J203)</f>
        <v>Suministro de Líneas</v>
      </c>
      <c r="E205" s="45">
        <f>IF(Base!H203="","",Base!H203)</f>
        <v>1050633</v>
      </c>
      <c r="J205" s="53">
        <v>195</v>
      </c>
      <c r="K205" s="54"/>
      <c r="L205" s="55" t="str">
        <f t="shared" si="59"/>
        <v/>
      </c>
      <c r="M205" s="55" t="str">
        <f t="shared" si="60"/>
        <v/>
      </c>
      <c r="N205" s="56" t="str">
        <f t="shared" si="61"/>
        <v/>
      </c>
      <c r="O205" s="56" t="str">
        <f t="shared" si="62"/>
        <v/>
      </c>
      <c r="P205" s="57"/>
      <c r="Q205" s="63"/>
      <c r="R205" s="53"/>
      <c r="S205" s="63"/>
      <c r="T205" s="53"/>
      <c r="U205" s="63"/>
      <c r="V205" s="53"/>
      <c r="W205" s="63"/>
      <c r="X205" s="53"/>
      <c r="Y205" s="63"/>
      <c r="Z205" s="53"/>
      <c r="AA205" s="63"/>
      <c r="AB205" s="53"/>
      <c r="AC205" s="63"/>
      <c r="AD205" s="53"/>
      <c r="AE205" s="60">
        <f t="shared" si="57"/>
        <v>0</v>
      </c>
      <c r="AF205" s="60">
        <f t="shared" si="57"/>
        <v>0</v>
      </c>
      <c r="AG205" s="61"/>
      <c r="AL205" s="45" t="str">
        <f t="shared" si="49"/>
        <v/>
      </c>
      <c r="AM205" s="45">
        <v>196</v>
      </c>
      <c r="AN205" s="45">
        <f t="shared" si="50"/>
        <v>0</v>
      </c>
      <c r="AO205" s="45">
        <f t="shared" si="51"/>
        <v>0</v>
      </c>
      <c r="AP205" s="45">
        <f t="shared" si="52"/>
        <v>0</v>
      </c>
      <c r="AQ205" s="45">
        <f t="shared" si="53"/>
        <v>0</v>
      </c>
      <c r="AR205" s="45">
        <f t="shared" si="54"/>
        <v>0</v>
      </c>
      <c r="AS205" s="45">
        <f t="shared" si="55"/>
        <v>0</v>
      </c>
      <c r="AT205" s="45">
        <f t="shared" si="56"/>
        <v>0</v>
      </c>
      <c r="AU205" s="62" t="str">
        <f t="shared" si="58"/>
        <v/>
      </c>
    </row>
    <row r="206" spans="1:47" ht="13.5">
      <c r="A206" s="45" t="str">
        <f>IF(Base!B204="","",Base!B204)</f>
        <v>15.327.501-7</v>
      </c>
      <c r="B206" s="45" t="str">
        <f>IF(Base!F204="","",Base!F204)</f>
        <v>LEONARDO  VASQUEZ  MONTECINO</v>
      </c>
      <c r="C206" s="45" t="str">
        <f>IF(Base!I204="","",Base!I204)</f>
        <v>Control y Gestión</v>
      </c>
      <c r="D206" s="46" t="str">
        <f>IF(Base!J204="","",Base!J204)</f>
        <v>Inspector tiempo</v>
      </c>
      <c r="E206" s="45">
        <f>IF(Base!H204="","",Base!H204)</f>
        <v>1050632</v>
      </c>
      <c r="J206" s="53">
        <v>196</v>
      </c>
      <c r="K206" s="54"/>
      <c r="L206" s="55" t="str">
        <f t="shared" si="59"/>
        <v/>
      </c>
      <c r="M206" s="55" t="str">
        <f t="shared" si="60"/>
        <v/>
      </c>
      <c r="N206" s="56" t="str">
        <f t="shared" si="61"/>
        <v/>
      </c>
      <c r="O206" s="56" t="str">
        <f t="shared" si="62"/>
        <v/>
      </c>
      <c r="P206" s="57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0">
        <f t="shared" si="57"/>
        <v>0</v>
      </c>
      <c r="AF206" s="60">
        <f t="shared" si="57"/>
        <v>0</v>
      </c>
      <c r="AG206" s="61"/>
      <c r="AL206" s="45" t="str">
        <f t="shared" si="49"/>
        <v/>
      </c>
      <c r="AM206" s="45">
        <v>197</v>
      </c>
      <c r="AN206" s="45">
        <f t="shared" si="50"/>
        <v>0</v>
      </c>
      <c r="AO206" s="45">
        <f t="shared" si="51"/>
        <v>0</v>
      </c>
      <c r="AP206" s="45">
        <f t="shared" si="52"/>
        <v>0</v>
      </c>
      <c r="AQ206" s="45">
        <f t="shared" si="53"/>
        <v>0</v>
      </c>
      <c r="AR206" s="45">
        <f t="shared" si="54"/>
        <v>0</v>
      </c>
      <c r="AS206" s="45">
        <f t="shared" si="55"/>
        <v>0</v>
      </c>
      <c r="AT206" s="45">
        <f t="shared" si="56"/>
        <v>0</v>
      </c>
      <c r="AU206" s="62" t="str">
        <f t="shared" si="58"/>
        <v/>
      </c>
    </row>
    <row r="207" spans="1:47" ht="13.5">
      <c r="A207" s="45" t="str">
        <f>IF(Base!B205="","",Base!B205)</f>
        <v>08.881.760-5</v>
      </c>
      <c r="B207" s="45" t="str">
        <f>IF(Base!F205="","",Base!F205)</f>
        <v>MANUEL ORLANDO  VEGA  LEYTON</v>
      </c>
      <c r="C207" s="45" t="str">
        <f>IF(Base!I205="","",Base!I205)</f>
        <v>Sala filtros</v>
      </c>
      <c r="D207" s="46" t="str">
        <f>IF(Base!J205="","",Base!J205)</f>
        <v>Operador sala de filtros</v>
      </c>
      <c r="E207" s="45">
        <f>IF(Base!H205="","",Base!H205)</f>
        <v>1050574</v>
      </c>
      <c r="J207" s="53">
        <v>197</v>
      </c>
      <c r="K207" s="54"/>
      <c r="L207" s="55" t="str">
        <f t="shared" si="59"/>
        <v/>
      </c>
      <c r="M207" s="55" t="str">
        <f t="shared" si="60"/>
        <v/>
      </c>
      <c r="N207" s="56" t="str">
        <f t="shared" si="61"/>
        <v/>
      </c>
      <c r="O207" s="56" t="str">
        <f t="shared" si="62"/>
        <v/>
      </c>
      <c r="P207" s="57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0">
        <f t="shared" si="57"/>
        <v>0</v>
      </c>
      <c r="AF207" s="60">
        <f t="shared" si="57"/>
        <v>0</v>
      </c>
      <c r="AG207" s="61"/>
      <c r="AL207" s="45" t="str">
        <f t="shared" si="49"/>
        <v/>
      </c>
      <c r="AM207" s="45">
        <v>198</v>
      </c>
      <c r="AN207" s="45">
        <f t="shared" si="50"/>
        <v>0</v>
      </c>
      <c r="AO207" s="45">
        <f t="shared" si="51"/>
        <v>0</v>
      </c>
      <c r="AP207" s="45">
        <f t="shared" si="52"/>
        <v>0</v>
      </c>
      <c r="AQ207" s="45">
        <f t="shared" si="53"/>
        <v>0</v>
      </c>
      <c r="AR207" s="45">
        <f t="shared" si="54"/>
        <v>0</v>
      </c>
      <c r="AS207" s="45">
        <f t="shared" si="55"/>
        <v>0</v>
      </c>
      <c r="AT207" s="45">
        <f t="shared" si="56"/>
        <v>0</v>
      </c>
      <c r="AU207" s="62" t="str">
        <f t="shared" si="58"/>
        <v/>
      </c>
    </row>
    <row r="208" spans="1:47" ht="13.5">
      <c r="A208" s="45" t="str">
        <f>IF(Base!B206="","",Base!B206)</f>
        <v>09.959.939-1</v>
      </c>
      <c r="B208" s="45" t="str">
        <f>IF(Base!F206="","",Base!F206)</f>
        <v>LEONOR VARINIA  VENEGAS  SANCHEZ</v>
      </c>
      <c r="C208" s="45" t="str">
        <f>IF(Base!I206="","",Base!I206)</f>
        <v>Linea 3</v>
      </c>
      <c r="D208" s="46" t="str">
        <f>IF(Base!J206="","",Base!J206)</f>
        <v>Inspector etiqueta</v>
      </c>
      <c r="E208" s="45">
        <f>IF(Base!H206="","",Base!H206)</f>
        <v>1050556</v>
      </c>
      <c r="J208" s="53">
        <v>198</v>
      </c>
      <c r="K208" s="54"/>
      <c r="L208" s="55" t="str">
        <f t="shared" si="59"/>
        <v/>
      </c>
      <c r="M208" s="55" t="str">
        <f t="shared" si="60"/>
        <v/>
      </c>
      <c r="N208" s="56" t="str">
        <f t="shared" si="61"/>
        <v/>
      </c>
      <c r="O208" s="56" t="str">
        <f t="shared" si="62"/>
        <v/>
      </c>
      <c r="P208" s="57"/>
      <c r="Q208" s="63"/>
      <c r="R208" s="53"/>
      <c r="S208" s="63"/>
      <c r="T208" s="53"/>
      <c r="U208" s="63"/>
      <c r="V208" s="53"/>
      <c r="W208" s="63"/>
      <c r="X208" s="53"/>
      <c r="Y208" s="63"/>
      <c r="Z208" s="53"/>
      <c r="AA208" s="63"/>
      <c r="AB208" s="53"/>
      <c r="AC208" s="63"/>
      <c r="AD208" s="53"/>
      <c r="AE208" s="60">
        <f t="shared" si="57"/>
        <v>0</v>
      </c>
      <c r="AF208" s="60">
        <f t="shared" si="57"/>
        <v>0</v>
      </c>
      <c r="AG208" s="61"/>
      <c r="AL208" s="45" t="str">
        <f t="shared" si="49"/>
        <v/>
      </c>
      <c r="AM208" s="45">
        <v>199</v>
      </c>
      <c r="AN208" s="45">
        <f t="shared" si="50"/>
        <v>0</v>
      </c>
      <c r="AO208" s="45">
        <f t="shared" si="51"/>
        <v>0</v>
      </c>
      <c r="AP208" s="45">
        <f t="shared" si="52"/>
        <v>0</v>
      </c>
      <c r="AQ208" s="45">
        <f t="shared" si="53"/>
        <v>0</v>
      </c>
      <c r="AR208" s="45">
        <f t="shared" si="54"/>
        <v>0</v>
      </c>
      <c r="AS208" s="45">
        <f t="shared" si="55"/>
        <v>0</v>
      </c>
      <c r="AT208" s="45">
        <f t="shared" si="56"/>
        <v>0</v>
      </c>
      <c r="AU208" s="62" t="str">
        <f t="shared" si="58"/>
        <v/>
      </c>
    </row>
    <row r="209" spans="1:47" ht="13.5">
      <c r="A209" s="45" t="str">
        <f>IF(Base!B207="","",Base!B207)</f>
        <v>14.182.371-K</v>
      </c>
      <c r="B209" s="45" t="str">
        <f>IF(Base!F207="","",Base!F207)</f>
        <v>OSCAR EDUARDO  VERA  PALAVECINO</v>
      </c>
      <c r="C209" s="45" t="str">
        <f>IF(Base!I207="","",Base!I207)</f>
        <v>Control y Gestión</v>
      </c>
      <c r="D209" s="46" t="str">
        <f>IF(Base!J207="","",Base!J207)</f>
        <v>Inspector tiempo</v>
      </c>
      <c r="E209" s="45">
        <f>IF(Base!H207="","",Base!H207)</f>
        <v>1050632</v>
      </c>
      <c r="J209" s="53">
        <v>199</v>
      </c>
      <c r="K209" s="54"/>
      <c r="L209" s="55" t="str">
        <f t="shared" si="59"/>
        <v/>
      </c>
      <c r="M209" s="55" t="str">
        <f t="shared" si="60"/>
        <v/>
      </c>
      <c r="N209" s="56" t="str">
        <f t="shared" si="61"/>
        <v/>
      </c>
      <c r="O209" s="56" t="str">
        <f t="shared" si="62"/>
        <v/>
      </c>
      <c r="P209" s="57"/>
      <c r="Q209" s="63"/>
      <c r="R209" s="53"/>
      <c r="S209" s="63"/>
      <c r="T209" s="53"/>
      <c r="U209" s="63"/>
      <c r="V209" s="53"/>
      <c r="W209" s="63"/>
      <c r="X209" s="53"/>
      <c r="Y209" s="63"/>
      <c r="Z209" s="53"/>
      <c r="AA209" s="63"/>
      <c r="AB209" s="53"/>
      <c r="AC209" s="63"/>
      <c r="AD209" s="53"/>
      <c r="AE209" s="60">
        <f t="shared" si="57"/>
        <v>0</v>
      </c>
      <c r="AF209" s="60">
        <f t="shared" si="57"/>
        <v>0</v>
      </c>
      <c r="AG209" s="61"/>
      <c r="AL209" s="45" t="str">
        <f t="shared" si="49"/>
        <v/>
      </c>
      <c r="AM209" s="45">
        <v>200</v>
      </c>
      <c r="AN209" s="45">
        <f t="shared" si="50"/>
        <v>0</v>
      </c>
      <c r="AO209" s="45">
        <f t="shared" si="51"/>
        <v>0</v>
      </c>
      <c r="AP209" s="45">
        <f t="shared" si="52"/>
        <v>0</v>
      </c>
      <c r="AQ209" s="45">
        <f t="shared" si="53"/>
        <v>0</v>
      </c>
      <c r="AR209" s="45">
        <f t="shared" si="54"/>
        <v>0</v>
      </c>
      <c r="AS209" s="45">
        <f t="shared" si="55"/>
        <v>0</v>
      </c>
      <c r="AT209" s="45">
        <f t="shared" si="56"/>
        <v>0</v>
      </c>
      <c r="AU209" s="62" t="str">
        <f t="shared" si="58"/>
        <v/>
      </c>
    </row>
    <row r="210" spans="1:47" ht="13.5">
      <c r="A210" s="45" t="str">
        <f>IF(Base!B208="","",Base!B208)</f>
        <v>16.267.560-5</v>
      </c>
      <c r="B210" s="45" t="str">
        <f>IF(Base!F208="","",Base!F208)</f>
        <v>BRAULIO SEBASTIAN  VICENCIO  ALVEAR</v>
      </c>
      <c r="C210" s="45" t="str">
        <f>IF(Base!I208="","",Base!I208)</f>
        <v>Linea 2</v>
      </c>
      <c r="D210" s="46" t="str">
        <f>IF(Base!J208="","",Base!J208)</f>
        <v>Embalador</v>
      </c>
      <c r="E210" s="45">
        <f>IF(Base!H208="","",Base!H208)</f>
        <v>1050554</v>
      </c>
      <c r="J210" s="53">
        <v>200</v>
      </c>
      <c r="K210" s="54"/>
      <c r="L210" s="55" t="str">
        <f t="shared" si="59"/>
        <v/>
      </c>
      <c r="M210" s="55" t="str">
        <f t="shared" si="60"/>
        <v/>
      </c>
      <c r="N210" s="56" t="str">
        <f t="shared" si="61"/>
        <v/>
      </c>
      <c r="O210" s="56" t="str">
        <f t="shared" si="62"/>
        <v/>
      </c>
      <c r="P210" s="57"/>
      <c r="Q210" s="63"/>
      <c r="R210" s="53"/>
      <c r="S210" s="63"/>
      <c r="T210" s="53"/>
      <c r="U210" s="63"/>
      <c r="V210" s="53"/>
      <c r="W210" s="63"/>
      <c r="X210" s="53"/>
      <c r="Y210" s="63"/>
      <c r="Z210" s="53"/>
      <c r="AA210" s="63"/>
      <c r="AB210" s="53"/>
      <c r="AC210" s="63"/>
      <c r="AD210" s="53"/>
      <c r="AE210" s="60">
        <f t="shared" si="57"/>
        <v>0</v>
      </c>
      <c r="AF210" s="60">
        <f t="shared" si="57"/>
        <v>0</v>
      </c>
      <c r="AG210" s="61"/>
      <c r="AL210" s="45" t="str">
        <f t="shared" si="49"/>
        <v/>
      </c>
      <c r="AM210" s="45">
        <v>201</v>
      </c>
      <c r="AN210" s="45">
        <f t="shared" si="50"/>
        <v>0</v>
      </c>
      <c r="AO210" s="45">
        <f t="shared" si="51"/>
        <v>0</v>
      </c>
      <c r="AP210" s="45">
        <f t="shared" si="52"/>
        <v>0</v>
      </c>
      <c r="AQ210" s="45">
        <f t="shared" si="53"/>
        <v>0</v>
      </c>
      <c r="AR210" s="45">
        <f t="shared" si="54"/>
        <v>0</v>
      </c>
      <c r="AS210" s="45">
        <f t="shared" si="55"/>
        <v>0</v>
      </c>
      <c r="AT210" s="45">
        <f t="shared" si="56"/>
        <v>0</v>
      </c>
      <c r="AU210" s="62" t="str">
        <f t="shared" si="58"/>
        <v/>
      </c>
    </row>
    <row r="211" spans="1:47" ht="13.5">
      <c r="A211" s="45" t="str">
        <f>IF(Base!B209="","",Base!B209)</f>
        <v>10.311.290-7</v>
      </c>
      <c r="B211" s="45" t="str">
        <f>IF(Base!F209="","",Base!F209)</f>
        <v>RICARDO V.  VIDAL  ATENAS</v>
      </c>
      <c r="C211" s="45" t="str">
        <f>IF(Base!I209="","",Base!I209)</f>
        <v>Sala filtros</v>
      </c>
      <c r="D211" s="46" t="str">
        <f>IF(Base!J209="","",Base!J209)</f>
        <v>Operador sala de filtros</v>
      </c>
      <c r="E211" s="45">
        <f>IF(Base!H209="","",Base!H209)</f>
        <v>1050574</v>
      </c>
      <c r="J211" s="53">
        <v>201</v>
      </c>
      <c r="K211" s="54"/>
      <c r="L211" s="55" t="str">
        <f t="shared" si="59"/>
        <v/>
      </c>
      <c r="M211" s="55" t="str">
        <f t="shared" si="60"/>
        <v/>
      </c>
      <c r="N211" s="56" t="str">
        <f t="shared" si="61"/>
        <v/>
      </c>
      <c r="O211" s="56" t="str">
        <f t="shared" si="62"/>
        <v/>
      </c>
      <c r="P211" s="57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0">
        <f t="shared" si="57"/>
        <v>0</v>
      </c>
      <c r="AF211" s="60">
        <f t="shared" si="57"/>
        <v>0</v>
      </c>
      <c r="AG211" s="61"/>
      <c r="AL211" s="45" t="str">
        <f t="shared" si="49"/>
        <v/>
      </c>
      <c r="AM211" s="45">
        <v>202</v>
      </c>
      <c r="AN211" s="45">
        <f t="shared" si="50"/>
        <v>0</v>
      </c>
      <c r="AO211" s="45">
        <f t="shared" si="51"/>
        <v>0</v>
      </c>
      <c r="AP211" s="45">
        <f t="shared" si="52"/>
        <v>0</v>
      </c>
      <c r="AQ211" s="45">
        <f t="shared" si="53"/>
        <v>0</v>
      </c>
      <c r="AR211" s="45">
        <f t="shared" si="54"/>
        <v>0</v>
      </c>
      <c r="AS211" s="45">
        <f t="shared" si="55"/>
        <v>0</v>
      </c>
      <c r="AT211" s="45">
        <f t="shared" si="56"/>
        <v>0</v>
      </c>
      <c r="AU211" s="62" t="str">
        <f t="shared" si="58"/>
        <v/>
      </c>
    </row>
    <row r="212" spans="1:47" ht="13.5">
      <c r="A212" s="45" t="str">
        <f>IF(Base!B210="","",Base!B210)</f>
        <v>07.807.741-7</v>
      </c>
      <c r="B212" s="45" t="str">
        <f>IF(Base!F210="","",Base!F210)</f>
        <v>RUBEN A  VIDAL  ORMAZABAL</v>
      </c>
      <c r="C212" s="45" t="str">
        <f>IF(Base!I210="","",Base!I210)</f>
        <v>BIB</v>
      </c>
      <c r="D212" s="46" t="str">
        <f>IF(Base!J210="","",Base!J210)</f>
        <v>BIB</v>
      </c>
      <c r="E212" s="45">
        <f>IF(Base!H210="","",Base!H210)</f>
        <v>1050595</v>
      </c>
      <c r="J212" s="53">
        <v>202</v>
      </c>
      <c r="K212" s="54"/>
      <c r="L212" s="55" t="str">
        <f t="shared" si="59"/>
        <v/>
      </c>
      <c r="M212" s="55" t="str">
        <f t="shared" si="60"/>
        <v/>
      </c>
      <c r="N212" s="56" t="str">
        <f t="shared" si="61"/>
        <v/>
      </c>
      <c r="O212" s="56" t="str">
        <f t="shared" si="62"/>
        <v/>
      </c>
      <c r="P212" s="57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0">
        <f t="shared" si="57"/>
        <v>0</v>
      </c>
      <c r="AF212" s="60">
        <f t="shared" si="57"/>
        <v>0</v>
      </c>
      <c r="AG212" s="61"/>
      <c r="AL212" s="45" t="str">
        <f t="shared" si="49"/>
        <v/>
      </c>
      <c r="AM212" s="45">
        <v>203</v>
      </c>
      <c r="AN212" s="45">
        <f t="shared" si="50"/>
        <v>0</v>
      </c>
      <c r="AO212" s="45">
        <f t="shared" si="51"/>
        <v>0</v>
      </c>
      <c r="AP212" s="45">
        <f t="shared" si="52"/>
        <v>0</v>
      </c>
      <c r="AQ212" s="45">
        <f t="shared" si="53"/>
        <v>0</v>
      </c>
      <c r="AR212" s="45">
        <f t="shared" si="54"/>
        <v>0</v>
      </c>
      <c r="AS212" s="45">
        <f t="shared" si="55"/>
        <v>0</v>
      </c>
      <c r="AT212" s="45">
        <f t="shared" si="56"/>
        <v>0</v>
      </c>
      <c r="AU212" s="62" t="str">
        <f t="shared" si="58"/>
        <v/>
      </c>
    </row>
    <row r="213" spans="1:47" ht="13.5">
      <c r="A213" s="45" t="str">
        <f>IF(Base!B211="","",Base!B211)</f>
        <v>13.835.927-1</v>
      </c>
      <c r="B213" s="45" t="str">
        <f>IF(Base!F211="","",Base!F211)</f>
        <v>FELIPE  ZAVALA  ARAVENA</v>
      </c>
      <c r="C213" s="45" t="str">
        <f>IF(Base!I211="","",Base!I211)</f>
        <v>Linea 3</v>
      </c>
      <c r="D213" s="46" t="str">
        <f>IF(Base!J211="","",Base!J211)</f>
        <v>Lavador externo</v>
      </c>
      <c r="E213" s="45">
        <f>IF(Base!H211="","",Base!H211)</f>
        <v>1050556</v>
      </c>
      <c r="J213" s="53">
        <v>203</v>
      </c>
      <c r="K213" s="54"/>
      <c r="L213" s="55" t="str">
        <f t="shared" si="59"/>
        <v/>
      </c>
      <c r="M213" s="55" t="str">
        <f t="shared" si="60"/>
        <v/>
      </c>
      <c r="N213" s="56" t="str">
        <f t="shared" si="61"/>
        <v/>
      </c>
      <c r="O213" s="56" t="str">
        <f t="shared" si="62"/>
        <v/>
      </c>
      <c r="P213" s="57"/>
      <c r="Q213" s="63"/>
      <c r="R213" s="53"/>
      <c r="S213" s="63"/>
      <c r="T213" s="53"/>
      <c r="U213" s="63"/>
      <c r="V213" s="53"/>
      <c r="W213" s="63"/>
      <c r="X213" s="53"/>
      <c r="Y213" s="63"/>
      <c r="Z213" s="53"/>
      <c r="AA213" s="63"/>
      <c r="AB213" s="53"/>
      <c r="AC213" s="63"/>
      <c r="AD213" s="53"/>
      <c r="AE213" s="60">
        <f t="shared" si="57"/>
        <v>0</v>
      </c>
      <c r="AF213" s="60">
        <f t="shared" si="57"/>
        <v>0</v>
      </c>
      <c r="AG213" s="61"/>
      <c r="AL213" s="45" t="str">
        <f t="shared" si="49"/>
        <v/>
      </c>
      <c r="AM213" s="45">
        <v>204</v>
      </c>
      <c r="AN213" s="45">
        <f t="shared" si="50"/>
        <v>0</v>
      </c>
      <c r="AO213" s="45">
        <f t="shared" si="51"/>
        <v>0</v>
      </c>
      <c r="AP213" s="45">
        <f t="shared" si="52"/>
        <v>0</v>
      </c>
      <c r="AQ213" s="45">
        <f t="shared" si="53"/>
        <v>0</v>
      </c>
      <c r="AR213" s="45">
        <f t="shared" si="54"/>
        <v>0</v>
      </c>
      <c r="AS213" s="45">
        <f t="shared" si="55"/>
        <v>0</v>
      </c>
      <c r="AT213" s="45">
        <f t="shared" si="56"/>
        <v>0</v>
      </c>
      <c r="AU213" s="62" t="str">
        <f t="shared" si="58"/>
        <v/>
      </c>
    </row>
    <row r="214" spans="1:47" ht="13.5">
      <c r="A214" s="45" t="str">
        <f>IF(Base!B212="","",Base!B212)</f>
        <v>12719073-9</v>
      </c>
      <c r="B214" s="45" t="str">
        <f>IF(Base!F212="","",Base!F212)</f>
        <v>ALEX  EYZAGUIRRE  LARA</v>
      </c>
      <c r="C214" s="45" t="str">
        <f>IF(Base!I212="","",Base!I212)</f>
        <v>Supervisor</v>
      </c>
      <c r="D214" s="46" t="str">
        <f>IF(Base!J212="","",Base!J212)</f>
        <v>Supervisor</v>
      </c>
      <c r="E214" s="45">
        <f>IF(Base!H212="","",Base!H212)</f>
        <v>1050603</v>
      </c>
      <c r="J214" s="53">
        <v>204</v>
      </c>
      <c r="K214" s="54"/>
      <c r="L214" s="55" t="str">
        <f t="shared" si="59"/>
        <v/>
      </c>
      <c r="M214" s="55" t="str">
        <f t="shared" si="60"/>
        <v/>
      </c>
      <c r="N214" s="56" t="str">
        <f t="shared" si="61"/>
        <v/>
      </c>
      <c r="O214" s="56" t="str">
        <f t="shared" si="62"/>
        <v/>
      </c>
      <c r="P214" s="57"/>
      <c r="Q214" s="63"/>
      <c r="R214" s="53"/>
      <c r="S214" s="63"/>
      <c r="T214" s="53"/>
      <c r="U214" s="63"/>
      <c r="V214" s="53"/>
      <c r="W214" s="63"/>
      <c r="X214" s="53"/>
      <c r="Y214" s="63"/>
      <c r="Z214" s="53"/>
      <c r="AA214" s="63"/>
      <c r="AB214" s="53"/>
      <c r="AC214" s="63"/>
      <c r="AD214" s="53"/>
      <c r="AE214" s="60">
        <f t="shared" si="57"/>
        <v>0</v>
      </c>
      <c r="AF214" s="60">
        <f t="shared" si="57"/>
        <v>0</v>
      </c>
      <c r="AG214" s="61"/>
      <c r="AL214" s="45" t="str">
        <f t="shared" si="49"/>
        <v/>
      </c>
      <c r="AM214" s="45">
        <v>205</v>
      </c>
      <c r="AN214" s="45">
        <f t="shared" si="50"/>
        <v>0</v>
      </c>
      <c r="AO214" s="45">
        <f t="shared" si="51"/>
        <v>0</v>
      </c>
      <c r="AP214" s="45">
        <f t="shared" si="52"/>
        <v>0</v>
      </c>
      <c r="AQ214" s="45">
        <f t="shared" si="53"/>
        <v>0</v>
      </c>
      <c r="AR214" s="45">
        <f t="shared" si="54"/>
        <v>0</v>
      </c>
      <c r="AS214" s="45">
        <f t="shared" si="55"/>
        <v>0</v>
      </c>
      <c r="AT214" s="45">
        <f t="shared" si="56"/>
        <v>0</v>
      </c>
      <c r="AU214" s="62" t="str">
        <f t="shared" si="58"/>
        <v/>
      </c>
    </row>
    <row r="215" spans="1:47" ht="13.5">
      <c r="A215" s="45" t="str">
        <f>IF(Base!B213="","",Base!B213)</f>
        <v>12.175.753-2</v>
      </c>
      <c r="B215" s="45" t="str">
        <f>IF(Base!F213="","",Base!F213)</f>
        <v>MARIO  MESIAS  PALMA</v>
      </c>
      <c r="C215" s="45" t="str">
        <f>IF(Base!I213="","",Base!I213)</f>
        <v>Jefe control y gestión</v>
      </c>
      <c r="D215" s="46" t="str">
        <f>IF(Base!J213="","",Base!J213)</f>
        <v>Jefe control y gestión</v>
      </c>
      <c r="E215" s="45">
        <f>IF(Base!H213="","",Base!H213)</f>
        <v>1050632</v>
      </c>
      <c r="J215" s="53">
        <v>205</v>
      </c>
      <c r="K215" s="54"/>
      <c r="L215" s="55" t="str">
        <f t="shared" si="59"/>
        <v/>
      </c>
      <c r="M215" s="55" t="str">
        <f t="shared" si="60"/>
        <v/>
      </c>
      <c r="N215" s="56" t="str">
        <f t="shared" si="61"/>
        <v/>
      </c>
      <c r="O215" s="56" t="str">
        <f t="shared" si="62"/>
        <v/>
      </c>
      <c r="P215" s="57"/>
      <c r="Q215" s="63"/>
      <c r="R215" s="53"/>
      <c r="S215" s="63"/>
      <c r="T215" s="53"/>
      <c r="U215" s="63"/>
      <c r="V215" s="53"/>
      <c r="W215" s="63"/>
      <c r="X215" s="53"/>
      <c r="Y215" s="63"/>
      <c r="Z215" s="53"/>
      <c r="AA215" s="63"/>
      <c r="AB215" s="53"/>
      <c r="AC215" s="63"/>
      <c r="AD215" s="53"/>
      <c r="AE215" s="60">
        <f t="shared" si="57"/>
        <v>0</v>
      </c>
      <c r="AF215" s="60">
        <f t="shared" si="57"/>
        <v>0</v>
      </c>
      <c r="AG215" s="61"/>
      <c r="AL215" s="45" t="str">
        <f t="shared" si="49"/>
        <v/>
      </c>
      <c r="AM215" s="45">
        <v>206</v>
      </c>
      <c r="AN215" s="45">
        <f t="shared" si="50"/>
        <v>0</v>
      </c>
      <c r="AO215" s="45">
        <f t="shared" si="51"/>
        <v>0</v>
      </c>
      <c r="AP215" s="45">
        <f t="shared" si="52"/>
        <v>0</v>
      </c>
      <c r="AQ215" s="45">
        <f t="shared" si="53"/>
        <v>0</v>
      </c>
      <c r="AR215" s="45">
        <f t="shared" si="54"/>
        <v>0</v>
      </c>
      <c r="AS215" s="45">
        <f t="shared" si="55"/>
        <v>0</v>
      </c>
      <c r="AT215" s="45">
        <f t="shared" si="56"/>
        <v>0</v>
      </c>
      <c r="AU215" s="62" t="str">
        <f t="shared" si="58"/>
        <v/>
      </c>
    </row>
    <row r="216" spans="1:47" ht="13.5">
      <c r="A216" s="45" t="str">
        <f>IF(Base!B214="","",Base!B214)</f>
        <v>13.045.231-0</v>
      </c>
      <c r="B216" s="45" t="str">
        <f>IF(Base!F214="","",Base!F214)</f>
        <v>FELIPE  ARANCIBIA  SILVA</v>
      </c>
      <c r="C216" s="45" t="str">
        <f>IF(Base!I214="","",Base!I214)</f>
        <v xml:space="preserve">Setup </v>
      </c>
      <c r="D216" s="46" t="str">
        <f>IF(Base!J214="","",Base!J214)</f>
        <v xml:space="preserve">Setup </v>
      </c>
      <c r="E216" s="45">
        <f>IF(Base!H214="","",Base!H214)</f>
        <v>1050529</v>
      </c>
      <c r="J216" s="53">
        <v>206</v>
      </c>
      <c r="K216" s="54"/>
      <c r="L216" s="55" t="str">
        <f t="shared" si="59"/>
        <v/>
      </c>
      <c r="M216" s="55" t="str">
        <f t="shared" si="60"/>
        <v/>
      </c>
      <c r="N216" s="56" t="str">
        <f t="shared" si="61"/>
        <v/>
      </c>
      <c r="O216" s="56" t="str">
        <f t="shared" si="62"/>
        <v/>
      </c>
      <c r="P216" s="57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0">
        <f t="shared" si="57"/>
        <v>0</v>
      </c>
      <c r="AF216" s="60">
        <f t="shared" si="57"/>
        <v>0</v>
      </c>
      <c r="AG216" s="61"/>
      <c r="AL216" s="45" t="str">
        <f t="shared" si="49"/>
        <v/>
      </c>
      <c r="AM216" s="45">
        <v>207</v>
      </c>
      <c r="AN216" s="45">
        <f t="shared" si="50"/>
        <v>0</v>
      </c>
      <c r="AO216" s="45">
        <f t="shared" si="51"/>
        <v>0</v>
      </c>
      <c r="AP216" s="45">
        <f t="shared" si="52"/>
        <v>0</v>
      </c>
      <c r="AQ216" s="45">
        <f t="shared" si="53"/>
        <v>0</v>
      </c>
      <c r="AR216" s="45">
        <f t="shared" si="54"/>
        <v>0</v>
      </c>
      <c r="AS216" s="45">
        <f t="shared" si="55"/>
        <v>0</v>
      </c>
      <c r="AT216" s="45">
        <f t="shared" si="56"/>
        <v>0</v>
      </c>
      <c r="AU216" s="62" t="str">
        <f t="shared" si="58"/>
        <v/>
      </c>
    </row>
    <row r="217" spans="1:47" ht="13.5">
      <c r="A217" s="45" t="str">
        <f>IF(Base!B215="","",Base!B215)</f>
        <v>14.307.619-9</v>
      </c>
      <c r="B217" s="45" t="str">
        <f>IF(Base!F215="","",Base!F215)</f>
        <v>LUIS ROBERTO  BERRIOS  LOPEZ</v>
      </c>
      <c r="C217" s="45" t="str">
        <f>IF(Base!I215="","",Base!I215)</f>
        <v xml:space="preserve">Setup </v>
      </c>
      <c r="D217" s="46" t="str">
        <f>IF(Base!J215="","",Base!J215)</f>
        <v xml:space="preserve">Setup </v>
      </c>
      <c r="E217" s="45">
        <f>IF(Base!H215="","",Base!H215)</f>
        <v>1050529</v>
      </c>
      <c r="J217" s="53">
        <v>207</v>
      </c>
      <c r="K217" s="54"/>
      <c r="L217" s="55" t="str">
        <f t="shared" si="59"/>
        <v/>
      </c>
      <c r="M217" s="55" t="str">
        <f t="shared" si="60"/>
        <v/>
      </c>
      <c r="N217" s="56" t="str">
        <f t="shared" si="61"/>
        <v/>
      </c>
      <c r="O217" s="56" t="str">
        <f t="shared" si="62"/>
        <v/>
      </c>
      <c r="P217" s="57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0">
        <f t="shared" si="57"/>
        <v>0</v>
      </c>
      <c r="AF217" s="60">
        <f t="shared" si="57"/>
        <v>0</v>
      </c>
      <c r="AG217" s="61"/>
      <c r="AL217" s="45" t="str">
        <f t="shared" ref="AL217:AL260" si="63">IF(K217="","",K217)</f>
        <v/>
      </c>
      <c r="AM217" s="45">
        <v>208</v>
      </c>
      <c r="AN217" s="45">
        <f t="shared" ref="AN217:AN260" si="64">SUM(Q217:R217)</f>
        <v>0</v>
      </c>
      <c r="AO217" s="45">
        <f t="shared" ref="AO217:AO260" si="65">SUM(S217:T217)</f>
        <v>0</v>
      </c>
      <c r="AP217" s="45">
        <f t="shared" ref="AP217:AP260" si="66">SUM(U217:V217)</f>
        <v>0</v>
      </c>
      <c r="AQ217" s="45">
        <f t="shared" ref="AQ217:AQ260" si="67">SUM(W217:X217)</f>
        <v>0</v>
      </c>
      <c r="AR217" s="45">
        <f t="shared" ref="AR217:AR260" si="68">SUM(Y217:Z217)</f>
        <v>0</v>
      </c>
      <c r="AS217" s="45">
        <f t="shared" ref="AS217:AS260" si="69">SUM(AA217:AB217)</f>
        <v>0</v>
      </c>
      <c r="AT217" s="45">
        <f t="shared" ref="AT217:AT260" si="70">SUM(AC217:AD217)</f>
        <v>0</v>
      </c>
      <c r="AU217" s="62" t="str">
        <f t="shared" si="58"/>
        <v/>
      </c>
    </row>
    <row r="218" spans="1:47" ht="13.5">
      <c r="A218" s="45" t="str">
        <f>IF(Base!B216="","",Base!B216)</f>
        <v>15.439.409-5</v>
      </c>
      <c r="B218" s="45" t="str">
        <f>IF(Base!F216="","",Base!F216)</f>
        <v>MARICEL ANDREA  BRAVO  SALAMANCA</v>
      </c>
      <c r="C218" s="45" t="str">
        <f>IF(Base!I216="","",Base!I216)</f>
        <v xml:space="preserve">Setup </v>
      </c>
      <c r="D218" s="46" t="str">
        <f>IF(Base!J216="","",Base!J216)</f>
        <v xml:space="preserve">Setup </v>
      </c>
      <c r="E218" s="45">
        <f>IF(Base!H216="","",Base!H216)</f>
        <v>1050529</v>
      </c>
      <c r="J218" s="53">
        <v>208</v>
      </c>
      <c r="K218" s="54"/>
      <c r="L218" s="55" t="str">
        <f t="shared" si="59"/>
        <v/>
      </c>
      <c r="M218" s="55" t="str">
        <f t="shared" si="60"/>
        <v/>
      </c>
      <c r="N218" s="56" t="str">
        <f t="shared" si="61"/>
        <v/>
      </c>
      <c r="O218" s="56" t="str">
        <f t="shared" si="62"/>
        <v/>
      </c>
      <c r="P218" s="57"/>
      <c r="Q218" s="63"/>
      <c r="R218" s="53"/>
      <c r="S218" s="63"/>
      <c r="T218" s="53"/>
      <c r="U218" s="63"/>
      <c r="V218" s="53"/>
      <c r="W218" s="63"/>
      <c r="X218" s="53"/>
      <c r="Y218" s="63"/>
      <c r="Z218" s="53"/>
      <c r="AA218" s="63"/>
      <c r="AB218" s="53"/>
      <c r="AC218" s="63"/>
      <c r="AD218" s="53"/>
      <c r="AE218" s="60">
        <f t="shared" si="57"/>
        <v>0</v>
      </c>
      <c r="AF218" s="60">
        <f t="shared" si="57"/>
        <v>0</v>
      </c>
      <c r="AG218" s="61"/>
      <c r="AL218" s="45" t="str">
        <f t="shared" si="63"/>
        <v/>
      </c>
      <c r="AM218" s="45">
        <v>209</v>
      </c>
      <c r="AN218" s="45">
        <f t="shared" si="64"/>
        <v>0</v>
      </c>
      <c r="AO218" s="45">
        <f t="shared" si="65"/>
        <v>0</v>
      </c>
      <c r="AP218" s="45">
        <f t="shared" si="66"/>
        <v>0</v>
      </c>
      <c r="AQ218" s="45">
        <f t="shared" si="67"/>
        <v>0</v>
      </c>
      <c r="AR218" s="45">
        <f t="shared" si="68"/>
        <v>0</v>
      </c>
      <c r="AS218" s="45">
        <f t="shared" si="69"/>
        <v>0</v>
      </c>
      <c r="AT218" s="45">
        <f t="shared" si="70"/>
        <v>0</v>
      </c>
      <c r="AU218" s="62" t="str">
        <f t="shared" si="58"/>
        <v/>
      </c>
    </row>
    <row r="219" spans="1:47" ht="13.5">
      <c r="A219" s="45" t="str">
        <f>IF(Base!B217="","",Base!B217)</f>
        <v>09.774.031-3</v>
      </c>
      <c r="B219" s="45" t="str">
        <f>IF(Base!F217="","",Base!F217)</f>
        <v>VICTOR  CACERES  VASQUEZ</v>
      </c>
      <c r="C219" s="45" t="str">
        <f>IF(Base!I217="","",Base!I217)</f>
        <v>Setup</v>
      </c>
      <c r="D219" s="46" t="str">
        <f>IF(Base!J217="","",Base!J217)</f>
        <v>Setup</v>
      </c>
      <c r="E219" s="45">
        <f>IF(Base!H217="","",Base!H217)</f>
        <v>1050529</v>
      </c>
      <c r="J219" s="53">
        <v>209</v>
      </c>
      <c r="K219" s="54"/>
      <c r="L219" s="55" t="str">
        <f t="shared" si="59"/>
        <v/>
      </c>
      <c r="M219" s="55" t="str">
        <f t="shared" si="60"/>
        <v/>
      </c>
      <c r="N219" s="56" t="str">
        <f t="shared" si="61"/>
        <v/>
      </c>
      <c r="O219" s="56" t="str">
        <f t="shared" si="62"/>
        <v/>
      </c>
      <c r="P219" s="57"/>
      <c r="Q219" s="63"/>
      <c r="R219" s="53"/>
      <c r="S219" s="63"/>
      <c r="T219" s="53"/>
      <c r="U219" s="63"/>
      <c r="V219" s="53"/>
      <c r="W219" s="63"/>
      <c r="X219" s="53"/>
      <c r="Y219" s="63"/>
      <c r="Z219" s="53"/>
      <c r="AA219" s="63"/>
      <c r="AB219" s="53"/>
      <c r="AC219" s="63"/>
      <c r="AD219" s="53"/>
      <c r="AE219" s="60">
        <f t="shared" si="57"/>
        <v>0</v>
      </c>
      <c r="AF219" s="60">
        <f t="shared" si="57"/>
        <v>0</v>
      </c>
      <c r="AG219" s="61"/>
      <c r="AL219" s="45" t="str">
        <f t="shared" si="63"/>
        <v/>
      </c>
      <c r="AM219" s="45">
        <v>210</v>
      </c>
      <c r="AN219" s="45">
        <f t="shared" si="64"/>
        <v>0</v>
      </c>
      <c r="AO219" s="45">
        <f t="shared" si="65"/>
        <v>0</v>
      </c>
      <c r="AP219" s="45">
        <f t="shared" si="66"/>
        <v>0</v>
      </c>
      <c r="AQ219" s="45">
        <f t="shared" si="67"/>
        <v>0</v>
      </c>
      <c r="AR219" s="45">
        <f t="shared" si="68"/>
        <v>0</v>
      </c>
      <c r="AS219" s="45">
        <f t="shared" si="69"/>
        <v>0</v>
      </c>
      <c r="AT219" s="45">
        <f t="shared" si="70"/>
        <v>0</v>
      </c>
      <c r="AU219" s="62" t="str">
        <f t="shared" si="58"/>
        <v/>
      </c>
    </row>
    <row r="220" spans="1:47" ht="13.5">
      <c r="A220" s="45" t="str">
        <f>IF(Base!B218="","",Base!B218)</f>
        <v>08.406.841-1</v>
      </c>
      <c r="B220" s="45" t="str">
        <f>IF(Base!F218="","",Base!F218)</f>
        <v>BRAULIO GUILLERMO  CASANOVA  SALINAS</v>
      </c>
      <c r="C220" s="45" t="str">
        <f>IF(Base!I218="","",Base!I218)</f>
        <v xml:space="preserve">Setup </v>
      </c>
      <c r="D220" s="46" t="str">
        <f>IF(Base!J218="","",Base!J218)</f>
        <v xml:space="preserve">Setup </v>
      </c>
      <c r="E220" s="45">
        <f>IF(Base!H218="","",Base!H218)</f>
        <v>1050529</v>
      </c>
      <c r="J220" s="53">
        <v>210</v>
      </c>
      <c r="K220" s="54"/>
      <c r="L220" s="55" t="str">
        <f t="shared" si="59"/>
        <v/>
      </c>
      <c r="M220" s="55" t="str">
        <f t="shared" si="60"/>
        <v/>
      </c>
      <c r="N220" s="56" t="str">
        <f t="shared" si="61"/>
        <v/>
      </c>
      <c r="O220" s="56" t="str">
        <f t="shared" si="62"/>
        <v/>
      </c>
      <c r="P220" s="57"/>
      <c r="Q220" s="63"/>
      <c r="R220" s="53"/>
      <c r="S220" s="63"/>
      <c r="T220" s="53"/>
      <c r="U220" s="63"/>
      <c r="V220" s="53"/>
      <c r="W220" s="63"/>
      <c r="X220" s="53"/>
      <c r="Y220" s="63"/>
      <c r="Z220" s="53"/>
      <c r="AA220" s="63"/>
      <c r="AB220" s="53"/>
      <c r="AC220" s="63"/>
      <c r="AD220" s="53"/>
      <c r="AE220" s="60">
        <f t="shared" si="57"/>
        <v>0</v>
      </c>
      <c r="AF220" s="60">
        <f t="shared" si="57"/>
        <v>0</v>
      </c>
      <c r="AG220" s="61"/>
      <c r="AL220" s="45" t="str">
        <f t="shared" si="63"/>
        <v/>
      </c>
      <c r="AM220" s="45">
        <v>211</v>
      </c>
      <c r="AN220" s="45">
        <f t="shared" si="64"/>
        <v>0</v>
      </c>
      <c r="AO220" s="45">
        <f t="shared" si="65"/>
        <v>0</v>
      </c>
      <c r="AP220" s="45">
        <f t="shared" si="66"/>
        <v>0</v>
      </c>
      <c r="AQ220" s="45">
        <f t="shared" si="67"/>
        <v>0</v>
      </c>
      <c r="AR220" s="45">
        <f t="shared" si="68"/>
        <v>0</v>
      </c>
      <c r="AS220" s="45">
        <f t="shared" si="69"/>
        <v>0</v>
      </c>
      <c r="AT220" s="45">
        <f t="shared" si="70"/>
        <v>0</v>
      </c>
      <c r="AU220" s="62" t="str">
        <f t="shared" si="58"/>
        <v/>
      </c>
    </row>
    <row r="221" spans="1:47" ht="13.5">
      <c r="A221" s="45" t="str">
        <f>IF(Base!B219="","",Base!B219)</f>
        <v>10.042.994-2</v>
      </c>
      <c r="B221" s="45" t="str">
        <f>IF(Base!F219="","",Base!F219)</f>
        <v>ELIZABETH  CONCHA  VALDEBENITO</v>
      </c>
      <c r="C221" s="45" t="str">
        <f>IF(Base!I219="","",Base!I219)</f>
        <v xml:space="preserve">Setup </v>
      </c>
      <c r="D221" s="46" t="str">
        <f>IF(Base!J219="","",Base!J219)</f>
        <v xml:space="preserve">Setup </v>
      </c>
      <c r="E221" s="45">
        <f>IF(Base!H219="","",Base!H219)</f>
        <v>1050529</v>
      </c>
      <c r="J221" s="53">
        <v>211</v>
      </c>
      <c r="K221" s="54"/>
      <c r="L221" s="55" t="str">
        <f t="shared" si="59"/>
        <v/>
      </c>
      <c r="M221" s="55" t="str">
        <f t="shared" si="60"/>
        <v/>
      </c>
      <c r="N221" s="56" t="str">
        <f t="shared" si="61"/>
        <v/>
      </c>
      <c r="O221" s="56" t="str">
        <f t="shared" si="62"/>
        <v/>
      </c>
      <c r="P221" s="57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0">
        <f t="shared" si="57"/>
        <v>0</v>
      </c>
      <c r="AF221" s="60">
        <f t="shared" si="57"/>
        <v>0</v>
      </c>
      <c r="AG221" s="61"/>
      <c r="AL221" s="45" t="str">
        <f t="shared" si="63"/>
        <v/>
      </c>
      <c r="AM221" s="45">
        <v>212</v>
      </c>
      <c r="AN221" s="45">
        <f t="shared" si="64"/>
        <v>0</v>
      </c>
      <c r="AO221" s="45">
        <f t="shared" si="65"/>
        <v>0</v>
      </c>
      <c r="AP221" s="45">
        <f t="shared" si="66"/>
        <v>0</v>
      </c>
      <c r="AQ221" s="45">
        <f t="shared" si="67"/>
        <v>0</v>
      </c>
      <c r="AR221" s="45">
        <f t="shared" si="68"/>
        <v>0</v>
      </c>
      <c r="AS221" s="45">
        <f t="shared" si="69"/>
        <v>0</v>
      </c>
      <c r="AT221" s="45">
        <f t="shared" si="70"/>
        <v>0</v>
      </c>
      <c r="AU221" s="62" t="str">
        <f t="shared" si="58"/>
        <v/>
      </c>
    </row>
    <row r="222" spans="1:47" ht="13.5">
      <c r="A222" s="45" t="str">
        <f>IF(Base!B220="","",Base!B220)</f>
        <v>12.093.149-0</v>
      </c>
      <c r="B222" s="45" t="str">
        <f>IF(Base!F220="","",Base!F220)</f>
        <v>ANGEL GUILLERMO  CONTRERAS  CORTES</v>
      </c>
      <c r="C222" s="45" t="str">
        <f>IF(Base!I220="","",Base!I220)</f>
        <v xml:space="preserve">Setup </v>
      </c>
      <c r="D222" s="46" t="str">
        <f>IF(Base!J220="","",Base!J220)</f>
        <v xml:space="preserve">Setup </v>
      </c>
      <c r="E222" s="45">
        <f>IF(Base!H220="","",Base!H220)</f>
        <v>1050529</v>
      </c>
      <c r="J222" s="53">
        <v>212</v>
      </c>
      <c r="K222" s="54"/>
      <c r="L222" s="55" t="str">
        <f t="shared" si="59"/>
        <v/>
      </c>
      <c r="M222" s="55" t="str">
        <f t="shared" si="60"/>
        <v/>
      </c>
      <c r="N222" s="56" t="str">
        <f t="shared" si="61"/>
        <v/>
      </c>
      <c r="O222" s="56" t="str">
        <f t="shared" si="62"/>
        <v/>
      </c>
      <c r="P222" s="57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0">
        <f t="shared" si="57"/>
        <v>0</v>
      </c>
      <c r="AF222" s="60">
        <f t="shared" si="57"/>
        <v>0</v>
      </c>
      <c r="AG222" s="61"/>
      <c r="AL222" s="45" t="str">
        <f t="shared" si="63"/>
        <v/>
      </c>
      <c r="AM222" s="45">
        <v>213</v>
      </c>
      <c r="AN222" s="45">
        <f t="shared" si="64"/>
        <v>0</v>
      </c>
      <c r="AO222" s="45">
        <f t="shared" si="65"/>
        <v>0</v>
      </c>
      <c r="AP222" s="45">
        <f t="shared" si="66"/>
        <v>0</v>
      </c>
      <c r="AQ222" s="45">
        <f t="shared" si="67"/>
        <v>0</v>
      </c>
      <c r="AR222" s="45">
        <f t="shared" si="68"/>
        <v>0</v>
      </c>
      <c r="AS222" s="45">
        <f t="shared" si="69"/>
        <v>0</v>
      </c>
      <c r="AT222" s="45">
        <f t="shared" si="70"/>
        <v>0</v>
      </c>
      <c r="AU222" s="62" t="str">
        <f t="shared" si="58"/>
        <v/>
      </c>
    </row>
    <row r="223" spans="1:47" ht="13.5">
      <c r="A223" s="45" t="str">
        <f>IF(Base!B221="","",Base!B221)</f>
        <v>21.318.186-6</v>
      </c>
      <c r="B223" s="45" t="str">
        <f>IF(Base!F221="","",Base!F221)</f>
        <v>CLAUDIO ALBERTO  DONOSO  ROSAS</v>
      </c>
      <c r="C223" s="45" t="str">
        <f>IF(Base!I221="","",Base!I221)</f>
        <v>Linea 1</v>
      </c>
      <c r="D223" s="46" t="str">
        <f>IF(Base!J221="","",Base!J221)</f>
        <v>Etiquetador</v>
      </c>
      <c r="E223" s="45">
        <f>IF(Base!H221="","",Base!H221)</f>
        <v>1050552</v>
      </c>
      <c r="J223" s="53">
        <v>213</v>
      </c>
      <c r="K223" s="54"/>
      <c r="L223" s="55" t="str">
        <f t="shared" si="59"/>
        <v/>
      </c>
      <c r="M223" s="55" t="str">
        <f t="shared" si="60"/>
        <v/>
      </c>
      <c r="N223" s="56" t="str">
        <f t="shared" si="61"/>
        <v/>
      </c>
      <c r="O223" s="56" t="str">
        <f t="shared" si="62"/>
        <v/>
      </c>
      <c r="P223" s="57"/>
      <c r="Q223" s="63"/>
      <c r="R223" s="53"/>
      <c r="S223" s="63"/>
      <c r="T223" s="53"/>
      <c r="U223" s="63"/>
      <c r="V223" s="53"/>
      <c r="W223" s="63"/>
      <c r="X223" s="53"/>
      <c r="Y223" s="63"/>
      <c r="Z223" s="53"/>
      <c r="AA223" s="63"/>
      <c r="AB223" s="53"/>
      <c r="AC223" s="63"/>
      <c r="AD223" s="53"/>
      <c r="AE223" s="60">
        <f t="shared" si="57"/>
        <v>0</v>
      </c>
      <c r="AF223" s="60">
        <f t="shared" si="57"/>
        <v>0</v>
      </c>
      <c r="AG223" s="61"/>
      <c r="AL223" s="45" t="str">
        <f t="shared" si="63"/>
        <v/>
      </c>
      <c r="AM223" s="45">
        <v>214</v>
      </c>
      <c r="AN223" s="45">
        <f t="shared" si="64"/>
        <v>0</v>
      </c>
      <c r="AO223" s="45">
        <f t="shared" si="65"/>
        <v>0</v>
      </c>
      <c r="AP223" s="45">
        <f t="shared" si="66"/>
        <v>0</v>
      </c>
      <c r="AQ223" s="45">
        <f t="shared" si="67"/>
        <v>0</v>
      </c>
      <c r="AR223" s="45">
        <f t="shared" si="68"/>
        <v>0</v>
      </c>
      <c r="AS223" s="45">
        <f t="shared" si="69"/>
        <v>0</v>
      </c>
      <c r="AT223" s="45">
        <f t="shared" si="70"/>
        <v>0</v>
      </c>
      <c r="AU223" s="62" t="str">
        <f t="shared" si="58"/>
        <v/>
      </c>
    </row>
    <row r="224" spans="1:47" ht="13.5">
      <c r="A224" s="45" t="str">
        <f>IF(Base!B222="","",Base!B222)</f>
        <v>15.533.689-7</v>
      </c>
      <c r="B224" s="45" t="str">
        <f>IF(Base!F222="","",Base!F222)</f>
        <v>ROBERTO  DURAN  BRAVO</v>
      </c>
      <c r="C224" s="45" t="str">
        <f>IF(Base!I222="","",Base!I222)</f>
        <v xml:space="preserve">Setup </v>
      </c>
      <c r="D224" s="46" t="str">
        <f>IF(Base!J222="","",Base!J222)</f>
        <v xml:space="preserve">Setup </v>
      </c>
      <c r="E224" s="45">
        <f>IF(Base!H222="","",Base!H222)</f>
        <v>1050529</v>
      </c>
      <c r="J224" s="53">
        <v>214</v>
      </c>
      <c r="K224" s="54"/>
      <c r="L224" s="55" t="str">
        <f t="shared" si="59"/>
        <v/>
      </c>
      <c r="M224" s="55" t="str">
        <f t="shared" si="60"/>
        <v/>
      </c>
      <c r="N224" s="56" t="str">
        <f t="shared" si="61"/>
        <v/>
      </c>
      <c r="O224" s="56" t="str">
        <f t="shared" si="62"/>
        <v/>
      </c>
      <c r="P224" s="57"/>
      <c r="Q224" s="63"/>
      <c r="R224" s="53"/>
      <c r="S224" s="63"/>
      <c r="T224" s="53"/>
      <c r="U224" s="63"/>
      <c r="V224" s="53"/>
      <c r="W224" s="63"/>
      <c r="X224" s="53"/>
      <c r="Y224" s="63"/>
      <c r="Z224" s="53"/>
      <c r="AA224" s="63"/>
      <c r="AB224" s="53"/>
      <c r="AC224" s="63"/>
      <c r="AD224" s="53"/>
      <c r="AE224" s="60">
        <f t="shared" si="57"/>
        <v>0</v>
      </c>
      <c r="AF224" s="60">
        <f t="shared" si="57"/>
        <v>0</v>
      </c>
      <c r="AG224" s="61"/>
      <c r="AL224" s="45" t="str">
        <f t="shared" si="63"/>
        <v/>
      </c>
      <c r="AM224" s="45">
        <v>215</v>
      </c>
      <c r="AN224" s="45">
        <f t="shared" si="64"/>
        <v>0</v>
      </c>
      <c r="AO224" s="45">
        <f t="shared" si="65"/>
        <v>0</v>
      </c>
      <c r="AP224" s="45">
        <f t="shared" si="66"/>
        <v>0</v>
      </c>
      <c r="AQ224" s="45">
        <f t="shared" si="67"/>
        <v>0</v>
      </c>
      <c r="AR224" s="45">
        <f t="shared" si="68"/>
        <v>0</v>
      </c>
      <c r="AS224" s="45">
        <f t="shared" si="69"/>
        <v>0</v>
      </c>
      <c r="AT224" s="45">
        <f t="shared" si="70"/>
        <v>0</v>
      </c>
      <c r="AU224" s="62" t="str">
        <f t="shared" si="58"/>
        <v/>
      </c>
    </row>
    <row r="225" spans="1:47" ht="13.5">
      <c r="A225" s="45" t="str">
        <f>IF(Base!B223="","",Base!B223)</f>
        <v>15.449.281-K</v>
      </c>
      <c r="B225" s="45" t="str">
        <f>IF(Base!F223="","",Base!F223)</f>
        <v>ROBERTO FABIAN  DURAN  MIRANDA</v>
      </c>
      <c r="C225" s="45" t="str">
        <f>IF(Base!I223="","",Base!I223)</f>
        <v xml:space="preserve">Setup </v>
      </c>
      <c r="D225" s="46" t="str">
        <f>IF(Base!J223="","",Base!J223)</f>
        <v xml:space="preserve">Setup </v>
      </c>
      <c r="E225" s="45">
        <f>IF(Base!H223="","",Base!H223)</f>
        <v>1050529</v>
      </c>
      <c r="J225" s="53">
        <v>215</v>
      </c>
      <c r="K225" s="54"/>
      <c r="L225" s="55" t="str">
        <f t="shared" si="59"/>
        <v/>
      </c>
      <c r="M225" s="55" t="str">
        <f t="shared" si="60"/>
        <v/>
      </c>
      <c r="N225" s="56" t="str">
        <f t="shared" si="61"/>
        <v/>
      </c>
      <c r="O225" s="56" t="str">
        <f t="shared" si="62"/>
        <v/>
      </c>
      <c r="P225" s="57"/>
      <c r="Q225" s="63"/>
      <c r="R225" s="53"/>
      <c r="S225" s="63"/>
      <c r="T225" s="53"/>
      <c r="U225" s="63"/>
      <c r="V225" s="53"/>
      <c r="W225" s="63"/>
      <c r="X225" s="53"/>
      <c r="Y225" s="63"/>
      <c r="Z225" s="53"/>
      <c r="AA225" s="63"/>
      <c r="AB225" s="53"/>
      <c r="AC225" s="63"/>
      <c r="AD225" s="53"/>
      <c r="AE225" s="60">
        <f t="shared" si="57"/>
        <v>0</v>
      </c>
      <c r="AF225" s="60">
        <f t="shared" si="57"/>
        <v>0</v>
      </c>
      <c r="AG225" s="61"/>
      <c r="AL225" s="45" t="str">
        <f t="shared" si="63"/>
        <v/>
      </c>
      <c r="AM225" s="45">
        <v>216</v>
      </c>
      <c r="AN225" s="45">
        <f t="shared" si="64"/>
        <v>0</v>
      </c>
      <c r="AO225" s="45">
        <f t="shared" si="65"/>
        <v>0</v>
      </c>
      <c r="AP225" s="45">
        <f t="shared" si="66"/>
        <v>0</v>
      </c>
      <c r="AQ225" s="45">
        <f t="shared" si="67"/>
        <v>0</v>
      </c>
      <c r="AR225" s="45">
        <f t="shared" si="68"/>
        <v>0</v>
      </c>
      <c r="AS225" s="45">
        <f t="shared" si="69"/>
        <v>0</v>
      </c>
      <c r="AT225" s="45">
        <f t="shared" si="70"/>
        <v>0</v>
      </c>
      <c r="AU225" s="62" t="str">
        <f t="shared" si="58"/>
        <v/>
      </c>
    </row>
    <row r="226" spans="1:47" ht="13.5">
      <c r="A226" s="45" t="str">
        <f>IF(Base!B224="","",Base!B224)</f>
        <v>08.247.677-6</v>
      </c>
      <c r="B226" s="45" t="str">
        <f>IF(Base!F224="","",Base!F224)</f>
        <v>HUMBERTO GERMAN  ESCOBAR  GUTIERREZ</v>
      </c>
      <c r="C226" s="45" t="str">
        <f>IF(Base!I224="","",Base!I224)</f>
        <v xml:space="preserve">Setup </v>
      </c>
      <c r="D226" s="46" t="str">
        <f>IF(Base!J224="","",Base!J224)</f>
        <v xml:space="preserve">Setup </v>
      </c>
      <c r="E226" s="45">
        <f>IF(Base!H224="","",Base!H224)</f>
        <v>1050529</v>
      </c>
      <c r="J226" s="53">
        <v>216</v>
      </c>
      <c r="K226" s="54"/>
      <c r="L226" s="55" t="str">
        <f t="shared" si="59"/>
        <v/>
      </c>
      <c r="M226" s="55" t="str">
        <f t="shared" si="60"/>
        <v/>
      </c>
      <c r="N226" s="56" t="str">
        <f t="shared" si="61"/>
        <v/>
      </c>
      <c r="O226" s="56" t="str">
        <f t="shared" si="62"/>
        <v/>
      </c>
      <c r="P226" s="57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0">
        <f t="shared" si="57"/>
        <v>0</v>
      </c>
      <c r="AF226" s="60">
        <f t="shared" si="57"/>
        <v>0</v>
      </c>
      <c r="AG226" s="61"/>
      <c r="AL226" s="45" t="str">
        <f t="shared" si="63"/>
        <v/>
      </c>
      <c r="AM226" s="45">
        <v>217</v>
      </c>
      <c r="AN226" s="45">
        <f t="shared" si="64"/>
        <v>0</v>
      </c>
      <c r="AO226" s="45">
        <f t="shared" si="65"/>
        <v>0</v>
      </c>
      <c r="AP226" s="45">
        <f t="shared" si="66"/>
        <v>0</v>
      </c>
      <c r="AQ226" s="45">
        <f t="shared" si="67"/>
        <v>0</v>
      </c>
      <c r="AR226" s="45">
        <f t="shared" si="68"/>
        <v>0</v>
      </c>
      <c r="AS226" s="45">
        <f t="shared" si="69"/>
        <v>0</v>
      </c>
      <c r="AT226" s="45">
        <f t="shared" si="70"/>
        <v>0</v>
      </c>
      <c r="AU226" s="62" t="str">
        <f t="shared" si="58"/>
        <v/>
      </c>
    </row>
    <row r="227" spans="1:47" ht="13.5">
      <c r="A227" s="45" t="str">
        <f>IF(Base!B225="","",Base!B225)</f>
        <v>16.413.939-5</v>
      </c>
      <c r="B227" s="45" t="str">
        <f>IF(Base!F225="","",Base!F225)</f>
        <v>FABIAN  ESPINOZA  MATURANA</v>
      </c>
      <c r="C227" s="45" t="str">
        <f>IF(Base!I225="","",Base!I225)</f>
        <v>Linea 7</v>
      </c>
      <c r="D227" s="46" t="str">
        <f>IF(Base!J225="","",Base!J225)</f>
        <v>Etiquetador</v>
      </c>
      <c r="E227" s="45">
        <f>IF(Base!H225="","",Base!H225)</f>
        <v>1050616</v>
      </c>
      <c r="J227" s="53">
        <v>217</v>
      </c>
      <c r="K227" s="54"/>
      <c r="L227" s="55" t="str">
        <f t="shared" si="59"/>
        <v/>
      </c>
      <c r="M227" s="55" t="str">
        <f t="shared" si="60"/>
        <v/>
      </c>
      <c r="N227" s="56" t="str">
        <f t="shared" si="61"/>
        <v/>
      </c>
      <c r="O227" s="56" t="str">
        <f t="shared" si="62"/>
        <v/>
      </c>
      <c r="P227" s="57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0">
        <f t="shared" si="57"/>
        <v>0</v>
      </c>
      <c r="AF227" s="60">
        <f t="shared" si="57"/>
        <v>0</v>
      </c>
      <c r="AG227" s="61"/>
      <c r="AL227" s="45" t="str">
        <f t="shared" si="63"/>
        <v/>
      </c>
      <c r="AM227" s="45">
        <v>218</v>
      </c>
      <c r="AN227" s="45">
        <f t="shared" si="64"/>
        <v>0</v>
      </c>
      <c r="AO227" s="45">
        <f t="shared" si="65"/>
        <v>0</v>
      </c>
      <c r="AP227" s="45">
        <f t="shared" si="66"/>
        <v>0</v>
      </c>
      <c r="AQ227" s="45">
        <f t="shared" si="67"/>
        <v>0</v>
      </c>
      <c r="AR227" s="45">
        <f t="shared" si="68"/>
        <v>0</v>
      </c>
      <c r="AS227" s="45">
        <f t="shared" si="69"/>
        <v>0</v>
      </c>
      <c r="AT227" s="45">
        <f t="shared" si="70"/>
        <v>0</v>
      </c>
      <c r="AU227" s="62" t="str">
        <f t="shared" si="58"/>
        <v/>
      </c>
    </row>
    <row r="228" spans="1:47" ht="13.5">
      <c r="A228" s="45" t="str">
        <f>IF(Base!B226="","",Base!B226)</f>
        <v>07.974.375-5</v>
      </c>
      <c r="B228" s="45" t="str">
        <f>IF(Base!F226="","",Base!F226)</f>
        <v>WILSON  GARRIDO  ACEVEDO</v>
      </c>
      <c r="C228" s="45" t="str">
        <f>IF(Base!I226="","",Base!I226)</f>
        <v xml:space="preserve">Setup </v>
      </c>
      <c r="D228" s="46" t="str">
        <f>IF(Base!J226="","",Base!J226)</f>
        <v xml:space="preserve">Setup </v>
      </c>
      <c r="E228" s="45">
        <f>IF(Base!H226="","",Base!H226)</f>
        <v>1050529</v>
      </c>
      <c r="J228" s="53">
        <v>218</v>
      </c>
      <c r="K228" s="54"/>
      <c r="L228" s="55" t="str">
        <f t="shared" si="59"/>
        <v/>
      </c>
      <c r="M228" s="55" t="str">
        <f t="shared" si="60"/>
        <v/>
      </c>
      <c r="N228" s="56" t="str">
        <f t="shared" si="61"/>
        <v/>
      </c>
      <c r="O228" s="56" t="str">
        <f t="shared" si="62"/>
        <v/>
      </c>
      <c r="P228" s="57"/>
      <c r="Q228" s="63"/>
      <c r="R228" s="53"/>
      <c r="S228" s="63"/>
      <c r="T228" s="53"/>
      <c r="U228" s="63"/>
      <c r="V228" s="53"/>
      <c r="W228" s="63"/>
      <c r="X228" s="53"/>
      <c r="Y228" s="63"/>
      <c r="Z228" s="53"/>
      <c r="AA228" s="63"/>
      <c r="AB228" s="53"/>
      <c r="AC228" s="63"/>
      <c r="AD228" s="53"/>
      <c r="AE228" s="60">
        <f t="shared" si="57"/>
        <v>0</v>
      </c>
      <c r="AF228" s="60">
        <f t="shared" si="57"/>
        <v>0</v>
      </c>
      <c r="AG228" s="61"/>
      <c r="AL228" s="45" t="str">
        <f t="shared" si="63"/>
        <v/>
      </c>
      <c r="AM228" s="45">
        <v>219</v>
      </c>
      <c r="AN228" s="45">
        <f t="shared" si="64"/>
        <v>0</v>
      </c>
      <c r="AO228" s="45">
        <f t="shared" si="65"/>
        <v>0</v>
      </c>
      <c r="AP228" s="45">
        <f t="shared" si="66"/>
        <v>0</v>
      </c>
      <c r="AQ228" s="45">
        <f t="shared" si="67"/>
        <v>0</v>
      </c>
      <c r="AR228" s="45">
        <f t="shared" si="68"/>
        <v>0</v>
      </c>
      <c r="AS228" s="45">
        <f t="shared" si="69"/>
        <v>0</v>
      </c>
      <c r="AT228" s="45">
        <f t="shared" si="70"/>
        <v>0</v>
      </c>
      <c r="AU228" s="62" t="str">
        <f t="shared" si="58"/>
        <v/>
      </c>
    </row>
    <row r="229" spans="1:47" ht="13.5">
      <c r="A229" s="45" t="str">
        <f>IF(Base!B227="","",Base!B227)</f>
        <v>07.815.068-8</v>
      </c>
      <c r="B229" s="45" t="str">
        <f>IF(Base!F227="","",Base!F227)</f>
        <v>ANA MARITZA  JORQUERA  DURAN</v>
      </c>
      <c r="C229" s="45" t="str">
        <f>IF(Base!I227="","",Base!I227)</f>
        <v xml:space="preserve">Setup </v>
      </c>
      <c r="D229" s="46" t="str">
        <f>IF(Base!J227="","",Base!J227)</f>
        <v xml:space="preserve">Setup </v>
      </c>
      <c r="E229" s="45">
        <f>IF(Base!H227="","",Base!H227)</f>
        <v>1050529</v>
      </c>
      <c r="J229" s="53">
        <v>219</v>
      </c>
      <c r="K229" s="54"/>
      <c r="L229" s="55" t="str">
        <f t="shared" si="59"/>
        <v/>
      </c>
      <c r="M229" s="55" t="str">
        <f t="shared" si="60"/>
        <v/>
      </c>
      <c r="N229" s="56" t="str">
        <f t="shared" si="61"/>
        <v/>
      </c>
      <c r="O229" s="56" t="str">
        <f t="shared" si="62"/>
        <v/>
      </c>
      <c r="P229" s="57"/>
      <c r="Q229" s="63"/>
      <c r="R229" s="53"/>
      <c r="S229" s="63"/>
      <c r="T229" s="53"/>
      <c r="U229" s="63"/>
      <c r="V229" s="53"/>
      <c r="W229" s="63"/>
      <c r="X229" s="53"/>
      <c r="Y229" s="63"/>
      <c r="Z229" s="53"/>
      <c r="AA229" s="63"/>
      <c r="AB229" s="53"/>
      <c r="AC229" s="63"/>
      <c r="AD229" s="53"/>
      <c r="AE229" s="60">
        <f t="shared" si="57"/>
        <v>0</v>
      </c>
      <c r="AF229" s="60">
        <f t="shared" si="57"/>
        <v>0</v>
      </c>
      <c r="AG229" s="61"/>
      <c r="AL229" s="45" t="str">
        <f t="shared" si="63"/>
        <v/>
      </c>
      <c r="AM229" s="45">
        <v>220</v>
      </c>
      <c r="AN229" s="45">
        <f t="shared" si="64"/>
        <v>0</v>
      </c>
      <c r="AO229" s="45">
        <f t="shared" si="65"/>
        <v>0</v>
      </c>
      <c r="AP229" s="45">
        <f t="shared" si="66"/>
        <v>0</v>
      </c>
      <c r="AQ229" s="45">
        <f t="shared" si="67"/>
        <v>0</v>
      </c>
      <c r="AR229" s="45">
        <f t="shared" si="68"/>
        <v>0</v>
      </c>
      <c r="AS229" s="45">
        <f t="shared" si="69"/>
        <v>0</v>
      </c>
      <c r="AT229" s="45">
        <f t="shared" si="70"/>
        <v>0</v>
      </c>
      <c r="AU229" s="62" t="str">
        <f t="shared" si="58"/>
        <v/>
      </c>
    </row>
    <row r="230" spans="1:47" ht="13.5">
      <c r="A230" s="45" t="str">
        <f>IF(Base!B228="","",Base!B228)</f>
        <v>15.445.100-5</v>
      </c>
      <c r="B230" s="45" t="str">
        <f>IF(Base!F228="","",Base!F228)</f>
        <v>FELIPE ANDRES  MACAYA  MOSCOSO</v>
      </c>
      <c r="C230" s="45" t="str">
        <f>IF(Base!I228="","",Base!I228)</f>
        <v xml:space="preserve">Setup </v>
      </c>
      <c r="D230" s="46" t="str">
        <f>IF(Base!J228="","",Base!J228)</f>
        <v xml:space="preserve">Setup </v>
      </c>
      <c r="E230" s="45">
        <f>IF(Base!H228="","",Base!H228)</f>
        <v>1050529</v>
      </c>
      <c r="J230" s="53">
        <v>220</v>
      </c>
      <c r="K230" s="54"/>
      <c r="L230" s="55" t="str">
        <f t="shared" si="59"/>
        <v/>
      </c>
      <c r="M230" s="55" t="str">
        <f t="shared" si="60"/>
        <v/>
      </c>
      <c r="N230" s="56" t="str">
        <f t="shared" si="61"/>
        <v/>
      </c>
      <c r="O230" s="56" t="str">
        <f t="shared" si="62"/>
        <v/>
      </c>
      <c r="P230" s="57"/>
      <c r="Q230" s="63"/>
      <c r="R230" s="53"/>
      <c r="S230" s="63"/>
      <c r="T230" s="53"/>
      <c r="U230" s="63"/>
      <c r="V230" s="53"/>
      <c r="W230" s="63"/>
      <c r="X230" s="53"/>
      <c r="Y230" s="63"/>
      <c r="Z230" s="53"/>
      <c r="AA230" s="63"/>
      <c r="AB230" s="53"/>
      <c r="AC230" s="63"/>
      <c r="AD230" s="53"/>
      <c r="AE230" s="60">
        <f t="shared" ref="AE230:AF260" si="71">SUM(Q230,S230,U230,W230,Y230,AA230,AC230)</f>
        <v>0</v>
      </c>
      <c r="AF230" s="60">
        <f t="shared" si="71"/>
        <v>0</v>
      </c>
      <c r="AG230" s="61"/>
      <c r="AL230" s="45" t="str">
        <f t="shared" si="63"/>
        <v/>
      </c>
      <c r="AM230" s="45">
        <v>221</v>
      </c>
      <c r="AN230" s="45">
        <f t="shared" si="64"/>
        <v>0</v>
      </c>
      <c r="AO230" s="45">
        <f t="shared" si="65"/>
        <v>0</v>
      </c>
      <c r="AP230" s="45">
        <f t="shared" si="66"/>
        <v>0</v>
      </c>
      <c r="AQ230" s="45">
        <f t="shared" si="67"/>
        <v>0</v>
      </c>
      <c r="AR230" s="45">
        <f t="shared" si="68"/>
        <v>0</v>
      </c>
      <c r="AS230" s="45">
        <f t="shared" si="69"/>
        <v>0</v>
      </c>
      <c r="AT230" s="45">
        <f t="shared" si="70"/>
        <v>0</v>
      </c>
      <c r="AU230" s="62" t="str">
        <f t="shared" si="58"/>
        <v/>
      </c>
    </row>
    <row r="231" spans="1:47" ht="13.5">
      <c r="A231" s="45" t="str">
        <f>IF(Base!B229="","",Base!B229)</f>
        <v>15.102.640-0</v>
      </c>
      <c r="B231" s="45" t="str">
        <f>IF(Base!F229="","",Base!F229)</f>
        <v>LUIS  MARDONES  ROJAS</v>
      </c>
      <c r="C231" s="45" t="str">
        <f>IF(Base!I229="","",Base!I229)</f>
        <v xml:space="preserve">Setup </v>
      </c>
      <c r="D231" s="46" t="str">
        <f>IF(Base!J229="","",Base!J229)</f>
        <v xml:space="preserve">Setup </v>
      </c>
      <c r="E231" s="45">
        <f>IF(Base!H229="","",Base!H229)</f>
        <v>1050529</v>
      </c>
      <c r="J231" s="53">
        <v>221</v>
      </c>
      <c r="K231" s="54"/>
      <c r="L231" s="55" t="str">
        <f t="shared" si="59"/>
        <v/>
      </c>
      <c r="M231" s="55" t="str">
        <f t="shared" si="60"/>
        <v/>
      </c>
      <c r="N231" s="56" t="str">
        <f t="shared" si="61"/>
        <v/>
      </c>
      <c r="O231" s="56" t="str">
        <f t="shared" si="62"/>
        <v/>
      </c>
      <c r="P231" s="57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0">
        <f t="shared" si="71"/>
        <v>0</v>
      </c>
      <c r="AF231" s="60">
        <f t="shared" si="71"/>
        <v>0</v>
      </c>
      <c r="AG231" s="61"/>
      <c r="AL231" s="45" t="str">
        <f t="shared" si="63"/>
        <v/>
      </c>
      <c r="AM231" s="45">
        <v>222</v>
      </c>
      <c r="AN231" s="45">
        <f t="shared" si="64"/>
        <v>0</v>
      </c>
      <c r="AO231" s="45">
        <f t="shared" si="65"/>
        <v>0</v>
      </c>
      <c r="AP231" s="45">
        <f t="shared" si="66"/>
        <v>0</v>
      </c>
      <c r="AQ231" s="45">
        <f t="shared" si="67"/>
        <v>0</v>
      </c>
      <c r="AR231" s="45">
        <f t="shared" si="68"/>
        <v>0</v>
      </c>
      <c r="AS231" s="45">
        <f t="shared" si="69"/>
        <v>0</v>
      </c>
      <c r="AT231" s="45">
        <f t="shared" si="70"/>
        <v>0</v>
      </c>
      <c r="AU231" s="62" t="str">
        <f t="shared" si="58"/>
        <v/>
      </c>
    </row>
    <row r="232" spans="1:47" ht="13.5">
      <c r="A232" s="45" t="str">
        <f>IF(Base!B230="","",Base!B230)</f>
        <v>16.649.200-9</v>
      </c>
      <c r="B232" s="45" t="str">
        <f>IF(Base!F230="","",Base!F230)</f>
        <v>VICTOR ALFONSO  MARTINEZ  RIVERA</v>
      </c>
      <c r="C232" s="45" t="str">
        <f>IF(Base!I230="","",Base!I230)</f>
        <v xml:space="preserve">Setup </v>
      </c>
      <c r="D232" s="46" t="str">
        <f>IF(Base!J230="","",Base!J230)</f>
        <v xml:space="preserve">Setup </v>
      </c>
      <c r="E232" s="45">
        <f>IF(Base!H230="","",Base!H230)</f>
        <v>1050529</v>
      </c>
      <c r="J232" s="53">
        <v>222</v>
      </c>
      <c r="K232" s="54"/>
      <c r="L232" s="55" t="str">
        <f t="shared" si="59"/>
        <v/>
      </c>
      <c r="M232" s="55" t="str">
        <f t="shared" si="60"/>
        <v/>
      </c>
      <c r="N232" s="56" t="str">
        <f t="shared" si="61"/>
        <v/>
      </c>
      <c r="O232" s="56" t="str">
        <f t="shared" si="62"/>
        <v/>
      </c>
      <c r="P232" s="57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0">
        <f t="shared" si="71"/>
        <v>0</v>
      </c>
      <c r="AF232" s="60">
        <f t="shared" si="71"/>
        <v>0</v>
      </c>
      <c r="AG232" s="61"/>
      <c r="AL232" s="45" t="str">
        <f t="shared" si="63"/>
        <v/>
      </c>
      <c r="AM232" s="45">
        <v>223</v>
      </c>
      <c r="AN232" s="45">
        <f t="shared" si="64"/>
        <v>0</v>
      </c>
      <c r="AO232" s="45">
        <f t="shared" si="65"/>
        <v>0</v>
      </c>
      <c r="AP232" s="45">
        <f t="shared" si="66"/>
        <v>0</v>
      </c>
      <c r="AQ232" s="45">
        <f t="shared" si="67"/>
        <v>0</v>
      </c>
      <c r="AR232" s="45">
        <f t="shared" si="68"/>
        <v>0</v>
      </c>
      <c r="AS232" s="45">
        <f t="shared" si="69"/>
        <v>0</v>
      </c>
      <c r="AT232" s="45">
        <f t="shared" si="70"/>
        <v>0</v>
      </c>
      <c r="AU232" s="62" t="str">
        <f t="shared" si="58"/>
        <v/>
      </c>
    </row>
    <row r="233" spans="1:47" ht="13.5">
      <c r="A233" s="45" t="str">
        <f>IF(Base!B231="","",Base!B231)</f>
        <v>10.033.627-8</v>
      </c>
      <c r="B233" s="45" t="str">
        <f>IF(Base!F231="","",Base!F231)</f>
        <v>MARCO  MOLINA  FERNANDEZ</v>
      </c>
      <c r="C233" s="45" t="str">
        <f>IF(Base!I231="","",Base!I231)</f>
        <v xml:space="preserve">Setup </v>
      </c>
      <c r="D233" s="46" t="str">
        <f>IF(Base!J231="","",Base!J231)</f>
        <v xml:space="preserve">Setup </v>
      </c>
      <c r="E233" s="45">
        <f>IF(Base!H231="","",Base!H231)</f>
        <v>1050529</v>
      </c>
      <c r="J233" s="53">
        <v>223</v>
      </c>
      <c r="K233" s="54"/>
      <c r="L233" s="55" t="str">
        <f t="shared" si="59"/>
        <v/>
      </c>
      <c r="M233" s="55" t="str">
        <f t="shared" si="60"/>
        <v/>
      </c>
      <c r="N233" s="56" t="str">
        <f t="shared" si="61"/>
        <v/>
      </c>
      <c r="O233" s="56" t="str">
        <f t="shared" si="62"/>
        <v/>
      </c>
      <c r="P233" s="57"/>
      <c r="Q233" s="63"/>
      <c r="R233" s="53"/>
      <c r="S233" s="63"/>
      <c r="T233" s="53"/>
      <c r="U233" s="63"/>
      <c r="V233" s="53"/>
      <c r="W233" s="63"/>
      <c r="X233" s="53"/>
      <c r="Y233" s="63"/>
      <c r="Z233" s="53"/>
      <c r="AA233" s="63"/>
      <c r="AB233" s="53"/>
      <c r="AC233" s="63"/>
      <c r="AD233" s="53"/>
      <c r="AE233" s="60">
        <f t="shared" si="71"/>
        <v>0</v>
      </c>
      <c r="AF233" s="60">
        <f t="shared" si="71"/>
        <v>0</v>
      </c>
      <c r="AG233" s="61"/>
      <c r="AL233" s="45" t="str">
        <f t="shared" si="63"/>
        <v/>
      </c>
      <c r="AM233" s="45">
        <v>224</v>
      </c>
      <c r="AN233" s="45">
        <f t="shared" si="64"/>
        <v>0</v>
      </c>
      <c r="AO233" s="45">
        <f t="shared" si="65"/>
        <v>0</v>
      </c>
      <c r="AP233" s="45">
        <f t="shared" si="66"/>
        <v>0</v>
      </c>
      <c r="AQ233" s="45">
        <f t="shared" si="67"/>
        <v>0</v>
      </c>
      <c r="AR233" s="45">
        <f t="shared" si="68"/>
        <v>0</v>
      </c>
      <c r="AS233" s="45">
        <f t="shared" si="69"/>
        <v>0</v>
      </c>
      <c r="AT233" s="45">
        <f t="shared" si="70"/>
        <v>0</v>
      </c>
      <c r="AU233" s="62" t="str">
        <f t="shared" si="58"/>
        <v/>
      </c>
    </row>
    <row r="234" spans="1:47" ht="13.5">
      <c r="A234" s="45" t="str">
        <f>IF(Base!B232="","",Base!B232)</f>
        <v>13.835.073-8</v>
      </c>
      <c r="B234" s="45" t="str">
        <f>IF(Base!F232="","",Base!F232)</f>
        <v>AMERICO  NORESE  GUAJARDO</v>
      </c>
      <c r="C234" s="45" t="str">
        <f>IF(Base!I232="","",Base!I232)</f>
        <v xml:space="preserve">Setup </v>
      </c>
      <c r="D234" s="46" t="str">
        <f>IF(Base!J232="","",Base!J232)</f>
        <v xml:space="preserve">Setup </v>
      </c>
      <c r="E234" s="45">
        <f>IF(Base!H232="","",Base!H232)</f>
        <v>1050529</v>
      </c>
      <c r="J234" s="53">
        <v>224</v>
      </c>
      <c r="K234" s="54"/>
      <c r="L234" s="55" t="str">
        <f t="shared" si="59"/>
        <v/>
      </c>
      <c r="M234" s="55" t="str">
        <f t="shared" si="60"/>
        <v/>
      </c>
      <c r="N234" s="56" t="str">
        <f t="shared" si="61"/>
        <v/>
      </c>
      <c r="O234" s="56" t="str">
        <f t="shared" si="62"/>
        <v/>
      </c>
      <c r="P234" s="57"/>
      <c r="Q234" s="63"/>
      <c r="R234" s="53"/>
      <c r="S234" s="63"/>
      <c r="T234" s="53"/>
      <c r="U234" s="63"/>
      <c r="V234" s="53"/>
      <c r="W234" s="63"/>
      <c r="X234" s="53"/>
      <c r="Y234" s="63"/>
      <c r="Z234" s="53"/>
      <c r="AA234" s="63"/>
      <c r="AB234" s="53"/>
      <c r="AC234" s="63"/>
      <c r="AD234" s="53"/>
      <c r="AE234" s="60">
        <f t="shared" si="71"/>
        <v>0</v>
      </c>
      <c r="AF234" s="60">
        <f t="shared" si="71"/>
        <v>0</v>
      </c>
      <c r="AG234" s="61"/>
      <c r="AL234" s="45" t="str">
        <f t="shared" si="63"/>
        <v/>
      </c>
      <c r="AM234" s="45">
        <v>225</v>
      </c>
      <c r="AN234" s="45">
        <f t="shared" si="64"/>
        <v>0</v>
      </c>
      <c r="AO234" s="45">
        <f t="shared" si="65"/>
        <v>0</v>
      </c>
      <c r="AP234" s="45">
        <f t="shared" si="66"/>
        <v>0</v>
      </c>
      <c r="AQ234" s="45">
        <f t="shared" si="67"/>
        <v>0</v>
      </c>
      <c r="AR234" s="45">
        <f t="shared" si="68"/>
        <v>0</v>
      </c>
      <c r="AS234" s="45">
        <f t="shared" si="69"/>
        <v>0</v>
      </c>
      <c r="AT234" s="45">
        <f t="shared" si="70"/>
        <v>0</v>
      </c>
      <c r="AU234" s="62" t="str">
        <f t="shared" si="58"/>
        <v/>
      </c>
    </row>
    <row r="235" spans="1:47" ht="13.5">
      <c r="A235" s="45" t="str">
        <f>IF(Base!B233="","",Base!B233)</f>
        <v>16.169.301-4</v>
      </c>
      <c r="B235" s="45" t="str">
        <f>IF(Base!F233="","",Base!F233)</f>
        <v>JOSE MAURICIO  ÑANCUCHEO  MARIQUEO</v>
      </c>
      <c r="C235" s="45" t="str">
        <f>IF(Base!I233="","",Base!I233)</f>
        <v xml:space="preserve">Setup </v>
      </c>
      <c r="D235" s="46" t="str">
        <f>IF(Base!J233="","",Base!J233)</f>
        <v xml:space="preserve">Setup </v>
      </c>
      <c r="E235" s="45">
        <f>IF(Base!H233="","",Base!H233)</f>
        <v>1050529</v>
      </c>
      <c r="J235" s="53">
        <v>225</v>
      </c>
      <c r="K235" s="54"/>
      <c r="L235" s="55" t="str">
        <f t="shared" si="59"/>
        <v/>
      </c>
      <c r="M235" s="55" t="str">
        <f t="shared" si="60"/>
        <v/>
      </c>
      <c r="N235" s="56" t="str">
        <f t="shared" si="61"/>
        <v/>
      </c>
      <c r="O235" s="56" t="str">
        <f t="shared" si="62"/>
        <v/>
      </c>
      <c r="P235" s="57"/>
      <c r="Q235" s="63"/>
      <c r="R235" s="53"/>
      <c r="S235" s="63"/>
      <c r="T235" s="53"/>
      <c r="U235" s="63"/>
      <c r="V235" s="53"/>
      <c r="W235" s="63"/>
      <c r="X235" s="53"/>
      <c r="Y235" s="63"/>
      <c r="Z235" s="53"/>
      <c r="AA235" s="63"/>
      <c r="AB235" s="53"/>
      <c r="AC235" s="63"/>
      <c r="AD235" s="53"/>
      <c r="AE235" s="60">
        <f t="shared" si="71"/>
        <v>0</v>
      </c>
      <c r="AF235" s="60">
        <f t="shared" si="71"/>
        <v>0</v>
      </c>
      <c r="AG235" s="61"/>
      <c r="AL235" s="45" t="str">
        <f t="shared" si="63"/>
        <v/>
      </c>
      <c r="AM235" s="45">
        <v>226</v>
      </c>
      <c r="AN235" s="45">
        <f t="shared" si="64"/>
        <v>0</v>
      </c>
      <c r="AO235" s="45">
        <f t="shared" si="65"/>
        <v>0</v>
      </c>
      <c r="AP235" s="45">
        <f t="shared" si="66"/>
        <v>0</v>
      </c>
      <c r="AQ235" s="45">
        <f t="shared" si="67"/>
        <v>0</v>
      </c>
      <c r="AR235" s="45">
        <f t="shared" si="68"/>
        <v>0</v>
      </c>
      <c r="AS235" s="45">
        <f t="shared" si="69"/>
        <v>0</v>
      </c>
      <c r="AT235" s="45">
        <f t="shared" si="70"/>
        <v>0</v>
      </c>
      <c r="AU235" s="62" t="str">
        <f t="shared" si="58"/>
        <v/>
      </c>
    </row>
    <row r="236" spans="1:47" ht="13.5">
      <c r="A236" s="45" t="str">
        <f>IF(Base!B234="","",Base!B234)</f>
        <v>13.284.475-5</v>
      </c>
      <c r="B236" s="45" t="str">
        <f>IF(Base!F234="","",Base!F234)</f>
        <v>ESTEBAN  OSORIO  LUCERO</v>
      </c>
      <c r="C236" s="45" t="str">
        <f>IF(Base!I234="","",Base!I234)</f>
        <v>Linea 1</v>
      </c>
      <c r="D236" s="46" t="str">
        <f>IF(Base!J234="","",Base!J234)</f>
        <v>Llenador</v>
      </c>
      <c r="E236" s="45">
        <f>IF(Base!H234="","",Base!H234)</f>
        <v>1050551</v>
      </c>
      <c r="J236" s="53">
        <v>226</v>
      </c>
      <c r="K236" s="54"/>
      <c r="L236" s="55" t="str">
        <f t="shared" si="59"/>
        <v/>
      </c>
      <c r="M236" s="55" t="str">
        <f t="shared" si="60"/>
        <v/>
      </c>
      <c r="N236" s="56" t="str">
        <f t="shared" si="61"/>
        <v/>
      </c>
      <c r="O236" s="56" t="str">
        <f t="shared" si="62"/>
        <v/>
      </c>
      <c r="P236" s="57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0">
        <f t="shared" si="71"/>
        <v>0</v>
      </c>
      <c r="AF236" s="60">
        <f t="shared" si="71"/>
        <v>0</v>
      </c>
      <c r="AG236" s="61"/>
      <c r="AL236" s="45" t="str">
        <f t="shared" si="63"/>
        <v/>
      </c>
      <c r="AM236" s="45">
        <v>227</v>
      </c>
      <c r="AN236" s="45">
        <f t="shared" si="64"/>
        <v>0</v>
      </c>
      <c r="AO236" s="45">
        <f t="shared" si="65"/>
        <v>0</v>
      </c>
      <c r="AP236" s="45">
        <f t="shared" si="66"/>
        <v>0</v>
      </c>
      <c r="AQ236" s="45">
        <f t="shared" si="67"/>
        <v>0</v>
      </c>
      <c r="AR236" s="45">
        <f t="shared" si="68"/>
        <v>0</v>
      </c>
      <c r="AS236" s="45">
        <f t="shared" si="69"/>
        <v>0</v>
      </c>
      <c r="AT236" s="45">
        <f t="shared" si="70"/>
        <v>0</v>
      </c>
      <c r="AU236" s="62" t="str">
        <f t="shared" si="58"/>
        <v/>
      </c>
    </row>
    <row r="237" spans="1:47" ht="13.5">
      <c r="A237" s="45" t="str">
        <f>IF(Base!B235="","",Base!B235)</f>
        <v>07.816.805-6</v>
      </c>
      <c r="B237" s="45" t="str">
        <f>IF(Base!F235="","",Base!F235)</f>
        <v>JULIO CESAR  PINTO  FLORES</v>
      </c>
      <c r="C237" s="45" t="str">
        <f>IF(Base!I235="","",Base!I235)</f>
        <v xml:space="preserve">Setup </v>
      </c>
      <c r="D237" s="46" t="str">
        <f>IF(Base!J235="","",Base!J235)</f>
        <v xml:space="preserve">Setup </v>
      </c>
      <c r="E237" s="45">
        <f>IF(Base!H235="","",Base!H235)</f>
        <v>1050529</v>
      </c>
      <c r="J237" s="53">
        <v>227</v>
      </c>
      <c r="K237" s="54"/>
      <c r="L237" s="55" t="str">
        <f t="shared" si="59"/>
        <v/>
      </c>
      <c r="M237" s="55" t="str">
        <f t="shared" si="60"/>
        <v/>
      </c>
      <c r="N237" s="56" t="str">
        <f t="shared" si="61"/>
        <v/>
      </c>
      <c r="O237" s="56" t="str">
        <f t="shared" si="62"/>
        <v/>
      </c>
      <c r="P237" s="57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0">
        <f t="shared" si="71"/>
        <v>0</v>
      </c>
      <c r="AF237" s="60">
        <f t="shared" si="71"/>
        <v>0</v>
      </c>
      <c r="AG237" s="61"/>
      <c r="AL237" s="45" t="str">
        <f t="shared" si="63"/>
        <v/>
      </c>
      <c r="AM237" s="45">
        <v>228</v>
      </c>
      <c r="AN237" s="45">
        <f t="shared" si="64"/>
        <v>0</v>
      </c>
      <c r="AO237" s="45">
        <f t="shared" si="65"/>
        <v>0</v>
      </c>
      <c r="AP237" s="45">
        <f t="shared" si="66"/>
        <v>0</v>
      </c>
      <c r="AQ237" s="45">
        <f t="shared" si="67"/>
        <v>0</v>
      </c>
      <c r="AR237" s="45">
        <f t="shared" si="68"/>
        <v>0</v>
      </c>
      <c r="AS237" s="45">
        <f t="shared" si="69"/>
        <v>0</v>
      </c>
      <c r="AT237" s="45">
        <f t="shared" si="70"/>
        <v>0</v>
      </c>
      <c r="AU237" s="62" t="str">
        <f t="shared" si="58"/>
        <v/>
      </c>
    </row>
    <row r="238" spans="1:47" ht="13.5">
      <c r="A238" s="45" t="str">
        <f>IF(Base!B236="","",Base!B236)</f>
        <v>10.042.860-1</v>
      </c>
      <c r="B238" s="45" t="str">
        <f>IF(Base!F236="","",Base!F236)</f>
        <v>LUIS ABRAHAM  QUIROGA  GARCIA</v>
      </c>
      <c r="C238" s="45" t="str">
        <f>IF(Base!I236="","",Base!I236)</f>
        <v xml:space="preserve">Setup </v>
      </c>
      <c r="D238" s="46" t="str">
        <f>IF(Base!J236="","",Base!J236)</f>
        <v xml:space="preserve">Setup </v>
      </c>
      <c r="E238" s="45">
        <f>IF(Base!H236="","",Base!H236)</f>
        <v>1050529</v>
      </c>
      <c r="J238" s="53">
        <v>228</v>
      </c>
      <c r="K238" s="54"/>
      <c r="L238" s="55" t="str">
        <f t="shared" si="59"/>
        <v/>
      </c>
      <c r="M238" s="55" t="str">
        <f t="shared" si="60"/>
        <v/>
      </c>
      <c r="N238" s="56" t="str">
        <f t="shared" si="61"/>
        <v/>
      </c>
      <c r="O238" s="56" t="str">
        <f t="shared" si="62"/>
        <v/>
      </c>
      <c r="P238" s="57"/>
      <c r="Q238" s="63"/>
      <c r="R238" s="53"/>
      <c r="S238" s="63"/>
      <c r="T238" s="53"/>
      <c r="U238" s="63"/>
      <c r="V238" s="53"/>
      <c r="W238" s="63"/>
      <c r="X238" s="53"/>
      <c r="Y238" s="63"/>
      <c r="Z238" s="53"/>
      <c r="AA238" s="63"/>
      <c r="AB238" s="53"/>
      <c r="AC238" s="63"/>
      <c r="AD238" s="53"/>
      <c r="AE238" s="60">
        <f t="shared" si="71"/>
        <v>0</v>
      </c>
      <c r="AF238" s="60">
        <f t="shared" si="71"/>
        <v>0</v>
      </c>
      <c r="AG238" s="61"/>
      <c r="AL238" s="45" t="str">
        <f t="shared" si="63"/>
        <v/>
      </c>
      <c r="AM238" s="45">
        <v>229</v>
      </c>
      <c r="AN238" s="45">
        <f t="shared" si="64"/>
        <v>0</v>
      </c>
      <c r="AO238" s="45">
        <f t="shared" si="65"/>
        <v>0</v>
      </c>
      <c r="AP238" s="45">
        <f t="shared" si="66"/>
        <v>0</v>
      </c>
      <c r="AQ238" s="45">
        <f t="shared" si="67"/>
        <v>0</v>
      </c>
      <c r="AR238" s="45">
        <f t="shared" si="68"/>
        <v>0</v>
      </c>
      <c r="AS238" s="45">
        <f t="shared" si="69"/>
        <v>0</v>
      </c>
      <c r="AT238" s="45">
        <f t="shared" si="70"/>
        <v>0</v>
      </c>
      <c r="AU238" s="62" t="str">
        <f t="shared" si="58"/>
        <v/>
      </c>
    </row>
    <row r="239" spans="1:47" ht="13.5">
      <c r="A239" s="45" t="str">
        <f>IF(Base!B237="","",Base!B237)</f>
        <v>14.005.587-5</v>
      </c>
      <c r="B239" s="45" t="str">
        <f>IF(Base!F237="","",Base!F237)</f>
        <v>GERARDO ALBERTO  RODRIGUEZ  TORO</v>
      </c>
      <c r="C239" s="45" t="str">
        <f>IF(Base!I237="","",Base!I237)</f>
        <v xml:space="preserve">Setup </v>
      </c>
      <c r="D239" s="46" t="str">
        <f>IF(Base!J237="","",Base!J237)</f>
        <v xml:space="preserve">Setup </v>
      </c>
      <c r="E239" s="45">
        <f>IF(Base!H237="","",Base!H237)</f>
        <v>1050529</v>
      </c>
      <c r="J239" s="53">
        <v>229</v>
      </c>
      <c r="K239" s="54"/>
      <c r="L239" s="55" t="str">
        <f t="shared" si="59"/>
        <v/>
      </c>
      <c r="M239" s="55" t="str">
        <f t="shared" si="60"/>
        <v/>
      </c>
      <c r="N239" s="56" t="str">
        <f t="shared" si="61"/>
        <v/>
      </c>
      <c r="O239" s="56" t="str">
        <f t="shared" si="62"/>
        <v/>
      </c>
      <c r="P239" s="57"/>
      <c r="Q239" s="63"/>
      <c r="R239" s="53"/>
      <c r="S239" s="63"/>
      <c r="T239" s="53"/>
      <c r="U239" s="63"/>
      <c r="V239" s="53"/>
      <c r="W239" s="63"/>
      <c r="X239" s="53"/>
      <c r="Y239" s="63"/>
      <c r="Z239" s="53"/>
      <c r="AA239" s="63"/>
      <c r="AB239" s="53"/>
      <c r="AC239" s="63"/>
      <c r="AD239" s="53"/>
      <c r="AE239" s="60">
        <f t="shared" si="71"/>
        <v>0</v>
      </c>
      <c r="AF239" s="60">
        <f t="shared" si="71"/>
        <v>0</v>
      </c>
      <c r="AG239" s="61"/>
      <c r="AL239" s="45" t="str">
        <f t="shared" si="63"/>
        <v/>
      </c>
      <c r="AM239" s="45">
        <v>230</v>
      </c>
      <c r="AN239" s="45">
        <f t="shared" si="64"/>
        <v>0</v>
      </c>
      <c r="AO239" s="45">
        <f t="shared" si="65"/>
        <v>0</v>
      </c>
      <c r="AP239" s="45">
        <f t="shared" si="66"/>
        <v>0</v>
      </c>
      <c r="AQ239" s="45">
        <f t="shared" si="67"/>
        <v>0</v>
      </c>
      <c r="AR239" s="45">
        <f t="shared" si="68"/>
        <v>0</v>
      </c>
      <c r="AS239" s="45">
        <f t="shared" si="69"/>
        <v>0</v>
      </c>
      <c r="AT239" s="45">
        <f t="shared" si="70"/>
        <v>0</v>
      </c>
      <c r="AU239" s="62" t="str">
        <f t="shared" si="58"/>
        <v/>
      </c>
    </row>
    <row r="240" spans="1:47" ht="13.5">
      <c r="A240" s="45" t="str">
        <f>IF(Base!B238="","",Base!B238)</f>
        <v>13.836.182-9</v>
      </c>
      <c r="B240" s="45" t="str">
        <f>IF(Base!F238="","",Base!F238)</f>
        <v>JOSE LUIS  SEPULVEDA  ANTILEO</v>
      </c>
      <c r="C240" s="45" t="str">
        <f>IF(Base!I238="","",Base!I238)</f>
        <v xml:space="preserve">Setup </v>
      </c>
      <c r="D240" s="46" t="str">
        <f>IF(Base!J238="","",Base!J238)</f>
        <v xml:space="preserve">Setup </v>
      </c>
      <c r="E240" s="45">
        <f>IF(Base!H238="","",Base!H238)</f>
        <v>1050529</v>
      </c>
      <c r="J240" s="53">
        <v>230</v>
      </c>
      <c r="K240" s="54"/>
      <c r="L240" s="55" t="str">
        <f t="shared" si="59"/>
        <v/>
      </c>
      <c r="M240" s="55" t="str">
        <f t="shared" si="60"/>
        <v/>
      </c>
      <c r="N240" s="56" t="str">
        <f t="shared" si="61"/>
        <v/>
      </c>
      <c r="O240" s="56" t="str">
        <f t="shared" si="62"/>
        <v/>
      </c>
      <c r="P240" s="57"/>
      <c r="Q240" s="63"/>
      <c r="R240" s="53"/>
      <c r="S240" s="63"/>
      <c r="T240" s="53"/>
      <c r="U240" s="63"/>
      <c r="V240" s="53"/>
      <c r="W240" s="63"/>
      <c r="X240" s="53"/>
      <c r="Y240" s="63"/>
      <c r="Z240" s="53"/>
      <c r="AA240" s="63"/>
      <c r="AB240" s="53"/>
      <c r="AC240" s="63"/>
      <c r="AD240" s="53"/>
      <c r="AE240" s="60">
        <f t="shared" si="71"/>
        <v>0</v>
      </c>
      <c r="AF240" s="60">
        <f t="shared" si="71"/>
        <v>0</v>
      </c>
      <c r="AG240" s="61"/>
      <c r="AL240" s="45" t="str">
        <f t="shared" si="63"/>
        <v/>
      </c>
      <c r="AM240" s="45">
        <v>231</v>
      </c>
      <c r="AN240" s="45">
        <f t="shared" si="64"/>
        <v>0</v>
      </c>
      <c r="AO240" s="45">
        <f t="shared" si="65"/>
        <v>0</v>
      </c>
      <c r="AP240" s="45">
        <f t="shared" si="66"/>
        <v>0</v>
      </c>
      <c r="AQ240" s="45">
        <f t="shared" si="67"/>
        <v>0</v>
      </c>
      <c r="AR240" s="45">
        <f t="shared" si="68"/>
        <v>0</v>
      </c>
      <c r="AS240" s="45">
        <f t="shared" si="69"/>
        <v>0</v>
      </c>
      <c r="AT240" s="45">
        <f t="shared" si="70"/>
        <v>0</v>
      </c>
      <c r="AU240" s="62" t="str">
        <f t="shared" si="58"/>
        <v/>
      </c>
    </row>
    <row r="241" spans="1:47" ht="13.5">
      <c r="A241" s="45" t="str">
        <f>IF(Base!B239="","",Base!B239)</f>
        <v>13.295.279-5</v>
      </c>
      <c r="B241" s="45" t="str">
        <f>IF(Base!F239="","",Base!F239)</f>
        <v>JUAN OSVALDO  TOLEDO  YEVENES</v>
      </c>
      <c r="C241" s="45" t="str">
        <f>IF(Base!I239="","",Base!I239)</f>
        <v xml:space="preserve">Setup </v>
      </c>
      <c r="D241" s="46" t="str">
        <f>IF(Base!J239="","",Base!J239)</f>
        <v xml:space="preserve">Setup </v>
      </c>
      <c r="E241" s="45">
        <f>IF(Base!H239="","",Base!H239)</f>
        <v>1050529</v>
      </c>
      <c r="J241" s="53">
        <v>231</v>
      </c>
      <c r="K241" s="54"/>
      <c r="L241" s="55" t="str">
        <f t="shared" si="59"/>
        <v/>
      </c>
      <c r="M241" s="55" t="str">
        <f t="shared" si="60"/>
        <v/>
      </c>
      <c r="N241" s="56" t="str">
        <f t="shared" si="61"/>
        <v/>
      </c>
      <c r="O241" s="56" t="str">
        <f t="shared" si="62"/>
        <v/>
      </c>
      <c r="P241" s="57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0">
        <f t="shared" si="71"/>
        <v>0</v>
      </c>
      <c r="AF241" s="60">
        <f t="shared" si="71"/>
        <v>0</v>
      </c>
      <c r="AG241" s="61"/>
      <c r="AL241" s="45" t="str">
        <f t="shared" si="63"/>
        <v/>
      </c>
      <c r="AM241" s="45">
        <v>232</v>
      </c>
      <c r="AN241" s="45">
        <f t="shared" si="64"/>
        <v>0</v>
      </c>
      <c r="AO241" s="45">
        <f t="shared" si="65"/>
        <v>0</v>
      </c>
      <c r="AP241" s="45">
        <f t="shared" si="66"/>
        <v>0</v>
      </c>
      <c r="AQ241" s="45">
        <f t="shared" si="67"/>
        <v>0</v>
      </c>
      <c r="AR241" s="45">
        <f t="shared" si="68"/>
        <v>0</v>
      </c>
      <c r="AS241" s="45">
        <f t="shared" si="69"/>
        <v>0</v>
      </c>
      <c r="AT241" s="45">
        <f t="shared" si="70"/>
        <v>0</v>
      </c>
      <c r="AU241" s="62" t="str">
        <f t="shared" si="58"/>
        <v/>
      </c>
    </row>
    <row r="242" spans="1:47" ht="13.5">
      <c r="A242" s="45" t="str">
        <f>IF(Base!B240="","",Base!B240)</f>
        <v>10.849.486-7</v>
      </c>
      <c r="B242" s="45" t="str">
        <f>IF(Base!F240="","",Base!F240)</f>
        <v>ELVIO  VALDENEGRO  GARRIDO</v>
      </c>
      <c r="C242" s="45" t="str">
        <f>IF(Base!I240="","",Base!I240)</f>
        <v xml:space="preserve">Setup </v>
      </c>
      <c r="D242" s="46" t="str">
        <f>IF(Base!J240="","",Base!J240)</f>
        <v xml:space="preserve">Setup </v>
      </c>
      <c r="E242" s="45">
        <f>IF(Base!H240="","",Base!H240)</f>
        <v>1050529</v>
      </c>
      <c r="J242" s="53">
        <v>232</v>
      </c>
      <c r="K242" s="54"/>
      <c r="L242" s="55" t="str">
        <f t="shared" si="59"/>
        <v/>
      </c>
      <c r="M242" s="55" t="str">
        <f t="shared" si="60"/>
        <v/>
      </c>
      <c r="N242" s="56" t="str">
        <f t="shared" si="61"/>
        <v/>
      </c>
      <c r="O242" s="56" t="str">
        <f t="shared" si="62"/>
        <v/>
      </c>
      <c r="P242" s="57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0">
        <f t="shared" si="71"/>
        <v>0</v>
      </c>
      <c r="AF242" s="60">
        <f t="shared" si="71"/>
        <v>0</v>
      </c>
      <c r="AG242" s="61"/>
      <c r="AL242" s="45" t="str">
        <f t="shared" si="63"/>
        <v/>
      </c>
      <c r="AM242" s="45">
        <v>233</v>
      </c>
      <c r="AN242" s="45">
        <f t="shared" si="64"/>
        <v>0</v>
      </c>
      <c r="AO242" s="45">
        <f t="shared" si="65"/>
        <v>0</v>
      </c>
      <c r="AP242" s="45">
        <f t="shared" si="66"/>
        <v>0</v>
      </c>
      <c r="AQ242" s="45">
        <f t="shared" si="67"/>
        <v>0</v>
      </c>
      <c r="AR242" s="45">
        <f t="shared" si="68"/>
        <v>0</v>
      </c>
      <c r="AS242" s="45">
        <f t="shared" si="69"/>
        <v>0</v>
      </c>
      <c r="AT242" s="45">
        <f t="shared" si="70"/>
        <v>0</v>
      </c>
      <c r="AU242" s="62" t="str">
        <f t="shared" si="58"/>
        <v/>
      </c>
    </row>
    <row r="243" spans="1:47" ht="13.5">
      <c r="A243" s="45" t="str">
        <f>IF(Base!B241="","",Base!B241)</f>
        <v>15.441.831-8</v>
      </c>
      <c r="B243" s="45" t="str">
        <f>IF(Base!F241="","",Base!F241)</f>
        <v>ROBERTO MARIO  VALDERRAMA  CAÑAS</v>
      </c>
      <c r="C243" s="45" t="str">
        <f>IF(Base!I241="","",Base!I241)</f>
        <v xml:space="preserve">Setup </v>
      </c>
      <c r="D243" s="46" t="str">
        <f>IF(Base!J241="","",Base!J241)</f>
        <v xml:space="preserve">Setup </v>
      </c>
      <c r="E243" s="45">
        <f>IF(Base!H241="","",Base!H241)</f>
        <v>1050529</v>
      </c>
      <c r="J243" s="53">
        <v>233</v>
      </c>
      <c r="K243" s="54"/>
      <c r="L243" s="55" t="str">
        <f t="shared" si="59"/>
        <v/>
      </c>
      <c r="M243" s="55" t="str">
        <f t="shared" si="60"/>
        <v/>
      </c>
      <c r="N243" s="56" t="str">
        <f t="shared" si="61"/>
        <v/>
      </c>
      <c r="O243" s="56" t="str">
        <f t="shared" si="62"/>
        <v/>
      </c>
      <c r="P243" s="57"/>
      <c r="Q243" s="63"/>
      <c r="R243" s="53"/>
      <c r="S243" s="63"/>
      <c r="T243" s="53"/>
      <c r="U243" s="63"/>
      <c r="V243" s="53"/>
      <c r="W243" s="63"/>
      <c r="X243" s="53"/>
      <c r="Y243" s="63"/>
      <c r="Z243" s="53"/>
      <c r="AA243" s="63"/>
      <c r="AB243" s="53"/>
      <c r="AC243" s="63"/>
      <c r="AD243" s="53"/>
      <c r="AE243" s="60">
        <f t="shared" si="71"/>
        <v>0</v>
      </c>
      <c r="AF243" s="60">
        <f t="shared" si="71"/>
        <v>0</v>
      </c>
      <c r="AG243" s="61"/>
      <c r="AL243" s="45" t="str">
        <f t="shared" si="63"/>
        <v/>
      </c>
      <c r="AM243" s="45">
        <v>234</v>
      </c>
      <c r="AN243" s="45">
        <f t="shared" si="64"/>
        <v>0</v>
      </c>
      <c r="AO243" s="45">
        <f t="shared" si="65"/>
        <v>0</v>
      </c>
      <c r="AP243" s="45">
        <f t="shared" si="66"/>
        <v>0</v>
      </c>
      <c r="AQ243" s="45">
        <f t="shared" si="67"/>
        <v>0</v>
      </c>
      <c r="AR243" s="45">
        <f t="shared" si="68"/>
        <v>0</v>
      </c>
      <c r="AS243" s="45">
        <f t="shared" si="69"/>
        <v>0</v>
      </c>
      <c r="AT243" s="45">
        <f t="shared" si="70"/>
        <v>0</v>
      </c>
      <c r="AU243" s="62" t="str">
        <f t="shared" si="58"/>
        <v/>
      </c>
    </row>
    <row r="244" spans="1:47" ht="13.5">
      <c r="A244" s="45" t="str">
        <f>IF(Base!B242="","",Base!B242)</f>
        <v>13.688.839-0</v>
      </c>
      <c r="B244" s="45" t="str">
        <f>IF(Base!F242="","",Base!F242)</f>
        <v>NOLBERTO  VILLAFAÑA  IBAÑEZ</v>
      </c>
      <c r="C244" s="45" t="str">
        <f>IF(Base!I242="","",Base!I242)</f>
        <v>Linea 6</v>
      </c>
      <c r="D244" s="46" t="str">
        <f>IF(Base!J242="","",Base!J242)</f>
        <v>Llenador</v>
      </c>
      <c r="E244" s="45">
        <f>IF(Base!H242="","",Base!H242)</f>
        <v>1050616</v>
      </c>
      <c r="J244" s="53">
        <v>234</v>
      </c>
      <c r="K244" s="54"/>
      <c r="L244" s="55" t="str">
        <f t="shared" si="59"/>
        <v/>
      </c>
      <c r="M244" s="55" t="str">
        <f t="shared" si="60"/>
        <v/>
      </c>
      <c r="N244" s="56" t="str">
        <f t="shared" si="61"/>
        <v/>
      </c>
      <c r="O244" s="56" t="str">
        <f t="shared" si="62"/>
        <v/>
      </c>
      <c r="P244" s="57"/>
      <c r="Q244" s="63"/>
      <c r="R244" s="53"/>
      <c r="S244" s="63"/>
      <c r="T244" s="53"/>
      <c r="U244" s="63"/>
      <c r="V244" s="53"/>
      <c r="W244" s="63"/>
      <c r="X244" s="53"/>
      <c r="Y244" s="63"/>
      <c r="Z244" s="53"/>
      <c r="AA244" s="63"/>
      <c r="AB244" s="53"/>
      <c r="AC244" s="63"/>
      <c r="AD244" s="53"/>
      <c r="AE244" s="60">
        <f t="shared" si="71"/>
        <v>0</v>
      </c>
      <c r="AF244" s="60">
        <f t="shared" si="71"/>
        <v>0</v>
      </c>
      <c r="AG244" s="61"/>
      <c r="AL244" s="45" t="str">
        <f t="shared" si="63"/>
        <v/>
      </c>
      <c r="AM244" s="45">
        <v>235</v>
      </c>
      <c r="AN244" s="45">
        <f t="shared" si="64"/>
        <v>0</v>
      </c>
      <c r="AO244" s="45">
        <f t="shared" si="65"/>
        <v>0</v>
      </c>
      <c r="AP244" s="45">
        <f t="shared" si="66"/>
        <v>0</v>
      </c>
      <c r="AQ244" s="45">
        <f t="shared" si="67"/>
        <v>0</v>
      </c>
      <c r="AR244" s="45">
        <f t="shared" si="68"/>
        <v>0</v>
      </c>
      <c r="AS244" s="45">
        <f t="shared" si="69"/>
        <v>0</v>
      </c>
      <c r="AT244" s="45">
        <f t="shared" si="70"/>
        <v>0</v>
      </c>
      <c r="AU244" s="62" t="str">
        <f t="shared" si="58"/>
        <v/>
      </c>
    </row>
    <row r="245" spans="1:47" ht="13.5">
      <c r="A245" s="45" t="str">
        <f>IF(Base!B243="","",Base!B243)</f>
        <v>08.110.698-3</v>
      </c>
      <c r="B245" s="45" t="str">
        <f>IF(Base!F243="","",Base!F243)</f>
        <v>XIMENA DEL ROSARIO  GUZMAN  CASTAÑEDA</v>
      </c>
      <c r="C245" s="45" t="str">
        <f>IF(Base!I243="","",Base!I243)</f>
        <v>Control y Gestión</v>
      </c>
      <c r="D245" s="46" t="str">
        <f>IF(Base!J243="","",Base!J243)</f>
        <v>Inspector tiempo</v>
      </c>
      <c r="E245" s="45">
        <f>IF(Base!H243="","",Base!H243)</f>
        <v>1050632</v>
      </c>
      <c r="J245" s="53">
        <v>235</v>
      </c>
      <c r="K245" s="54"/>
      <c r="L245" s="55" t="str">
        <f t="shared" si="59"/>
        <v/>
      </c>
      <c r="M245" s="55" t="str">
        <f t="shared" si="60"/>
        <v/>
      </c>
      <c r="N245" s="56" t="str">
        <f t="shared" si="61"/>
        <v/>
      </c>
      <c r="O245" s="56" t="str">
        <f t="shared" si="62"/>
        <v/>
      </c>
      <c r="P245" s="57"/>
      <c r="Q245" s="63"/>
      <c r="R245" s="53"/>
      <c r="S245" s="63"/>
      <c r="T245" s="53"/>
      <c r="U245" s="63"/>
      <c r="V245" s="53"/>
      <c r="W245" s="63"/>
      <c r="X245" s="53"/>
      <c r="Y245" s="63"/>
      <c r="Z245" s="53"/>
      <c r="AA245" s="63"/>
      <c r="AB245" s="53"/>
      <c r="AC245" s="63"/>
      <c r="AD245" s="53"/>
      <c r="AE245" s="60">
        <f t="shared" si="71"/>
        <v>0</v>
      </c>
      <c r="AF245" s="60">
        <f t="shared" si="71"/>
        <v>0</v>
      </c>
      <c r="AG245" s="61"/>
      <c r="AL245" s="45" t="str">
        <f t="shared" si="63"/>
        <v/>
      </c>
      <c r="AM245" s="45">
        <v>236</v>
      </c>
      <c r="AN245" s="45">
        <f t="shared" si="64"/>
        <v>0</v>
      </c>
      <c r="AO245" s="45">
        <f t="shared" si="65"/>
        <v>0</v>
      </c>
      <c r="AP245" s="45">
        <f t="shared" si="66"/>
        <v>0</v>
      </c>
      <c r="AQ245" s="45">
        <f t="shared" si="67"/>
        <v>0</v>
      </c>
      <c r="AR245" s="45">
        <f t="shared" si="68"/>
        <v>0</v>
      </c>
      <c r="AS245" s="45">
        <f t="shared" si="69"/>
        <v>0</v>
      </c>
      <c r="AT245" s="45">
        <f t="shared" si="70"/>
        <v>0</v>
      </c>
      <c r="AU245" s="62" t="str">
        <f t="shared" si="58"/>
        <v/>
      </c>
    </row>
    <row r="246" spans="1:47" ht="13.5">
      <c r="A246" s="45" t="str">
        <f>IF(Base!B244="","",Base!B244)</f>
        <v>15444116-6</v>
      </c>
      <c r="B246" s="45" t="str">
        <f>IF(Base!F244="","",Base!F244)</f>
        <v>MANUEL  MAULEN   GUTIERREZ</v>
      </c>
      <c r="C246" s="45" t="str">
        <f>IF(Base!I244="","",Base!I244)</f>
        <v>Linea 2</v>
      </c>
      <c r="D246" s="46" t="str">
        <f>IF(Base!J244="","",Base!J244)</f>
        <v>Embalador</v>
      </c>
      <c r="E246" s="45">
        <f>IF(Base!H244="","",Base!H244)</f>
        <v>1050554</v>
      </c>
      <c r="J246" s="53">
        <v>236</v>
      </c>
      <c r="K246" s="54"/>
      <c r="L246" s="55" t="str">
        <f t="shared" si="59"/>
        <v/>
      </c>
      <c r="M246" s="55" t="str">
        <f t="shared" si="60"/>
        <v/>
      </c>
      <c r="N246" s="56" t="str">
        <f t="shared" si="61"/>
        <v/>
      </c>
      <c r="O246" s="56" t="str">
        <f t="shared" si="62"/>
        <v/>
      </c>
      <c r="P246" s="57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0">
        <f t="shared" si="71"/>
        <v>0</v>
      </c>
      <c r="AF246" s="60">
        <f t="shared" si="71"/>
        <v>0</v>
      </c>
      <c r="AG246" s="61"/>
      <c r="AL246" s="45" t="str">
        <f t="shared" si="63"/>
        <v/>
      </c>
      <c r="AM246" s="45">
        <v>237</v>
      </c>
      <c r="AN246" s="45">
        <f t="shared" si="64"/>
        <v>0</v>
      </c>
      <c r="AO246" s="45">
        <f t="shared" si="65"/>
        <v>0</v>
      </c>
      <c r="AP246" s="45">
        <f t="shared" si="66"/>
        <v>0</v>
      </c>
      <c r="AQ246" s="45">
        <f t="shared" si="67"/>
        <v>0</v>
      </c>
      <c r="AR246" s="45">
        <f t="shared" si="68"/>
        <v>0</v>
      </c>
      <c r="AS246" s="45">
        <f t="shared" si="69"/>
        <v>0</v>
      </c>
      <c r="AT246" s="45">
        <f t="shared" si="70"/>
        <v>0</v>
      </c>
      <c r="AU246" s="62" t="str">
        <f t="shared" si="58"/>
        <v/>
      </c>
    </row>
    <row r="247" spans="1:47" ht="13.5">
      <c r="A247" s="45" t="str">
        <f>IF(Base!B245="","",Base!B245)</f>
        <v>16.441.596-1</v>
      </c>
      <c r="B247" s="45" t="str">
        <f>IF(Base!F245="","",Base!F245)</f>
        <v>DAYANA PAULETTE  VIDAL  OTAROLA</v>
      </c>
      <c r="C247" s="45" t="str">
        <f>IF(Base!I245="","",Base!I245)</f>
        <v>TPM</v>
      </c>
      <c r="D247" s="46" t="str">
        <f>IF(Base!J245="","",Base!J245)</f>
        <v>Secretaria TPM</v>
      </c>
      <c r="E247" s="45">
        <f>IF(Base!H245="","",Base!H245)</f>
        <v>1050604</v>
      </c>
      <c r="J247" s="53">
        <v>237</v>
      </c>
      <c r="K247" s="54"/>
      <c r="L247" s="55" t="str">
        <f t="shared" si="59"/>
        <v/>
      </c>
      <c r="M247" s="55" t="str">
        <f t="shared" si="60"/>
        <v/>
      </c>
      <c r="N247" s="56" t="str">
        <f t="shared" si="61"/>
        <v/>
      </c>
      <c r="O247" s="56" t="str">
        <f t="shared" si="62"/>
        <v/>
      </c>
      <c r="P247" s="57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0">
        <f t="shared" si="71"/>
        <v>0</v>
      </c>
      <c r="AF247" s="60">
        <f t="shared" si="71"/>
        <v>0</v>
      </c>
      <c r="AG247" s="61"/>
      <c r="AL247" s="45" t="str">
        <f t="shared" si="63"/>
        <v/>
      </c>
      <c r="AM247" s="45">
        <v>238</v>
      </c>
      <c r="AN247" s="45">
        <f t="shared" si="64"/>
        <v>0</v>
      </c>
      <c r="AO247" s="45">
        <f t="shared" si="65"/>
        <v>0</v>
      </c>
      <c r="AP247" s="45">
        <f t="shared" si="66"/>
        <v>0</v>
      </c>
      <c r="AQ247" s="45">
        <f t="shared" si="67"/>
        <v>0</v>
      </c>
      <c r="AR247" s="45">
        <f t="shared" si="68"/>
        <v>0</v>
      </c>
      <c r="AS247" s="45">
        <f t="shared" si="69"/>
        <v>0</v>
      </c>
      <c r="AT247" s="45">
        <f t="shared" si="70"/>
        <v>0</v>
      </c>
      <c r="AU247" s="62" t="str">
        <f t="shared" si="58"/>
        <v/>
      </c>
    </row>
    <row r="248" spans="1:47" ht="13.5">
      <c r="A248" s="45" t="str">
        <f>IF(Base!B246="","",Base!B246)</f>
        <v>12.210.109-0</v>
      </c>
      <c r="B248" s="45" t="str">
        <f>IF(Base!F246="","",Base!F246)</f>
        <v>ROBERTO FERNANDO  ESCOBAR  RIVERA</v>
      </c>
      <c r="C248" s="45" t="str">
        <f>IF(Base!I246="","",Base!I246)</f>
        <v>Setup</v>
      </c>
      <c r="D248" s="46" t="str">
        <f>IF(Base!J246="","",Base!J246)</f>
        <v>Setup</v>
      </c>
      <c r="E248" s="45">
        <f>IF(Base!H246="","",Base!H246)</f>
        <v>1050529</v>
      </c>
      <c r="J248" s="53">
        <v>238</v>
      </c>
      <c r="K248" s="54"/>
      <c r="L248" s="55" t="str">
        <f t="shared" si="59"/>
        <v/>
      </c>
      <c r="M248" s="55" t="str">
        <f t="shared" si="60"/>
        <v/>
      </c>
      <c r="N248" s="56" t="str">
        <f t="shared" si="61"/>
        <v/>
      </c>
      <c r="O248" s="56" t="str">
        <f t="shared" si="62"/>
        <v/>
      </c>
      <c r="P248" s="57"/>
      <c r="Q248" s="63"/>
      <c r="R248" s="53"/>
      <c r="S248" s="63"/>
      <c r="T248" s="53"/>
      <c r="U248" s="63"/>
      <c r="V248" s="53"/>
      <c r="W248" s="63"/>
      <c r="X248" s="53"/>
      <c r="Y248" s="63"/>
      <c r="Z248" s="53"/>
      <c r="AA248" s="63"/>
      <c r="AB248" s="53"/>
      <c r="AC248" s="63"/>
      <c r="AD248" s="53"/>
      <c r="AE248" s="60">
        <f t="shared" si="71"/>
        <v>0</v>
      </c>
      <c r="AF248" s="60">
        <f t="shared" si="71"/>
        <v>0</v>
      </c>
      <c r="AG248" s="61"/>
      <c r="AL248" s="45" t="str">
        <f t="shared" si="63"/>
        <v/>
      </c>
      <c r="AM248" s="45">
        <v>239</v>
      </c>
      <c r="AN248" s="45">
        <f t="shared" si="64"/>
        <v>0</v>
      </c>
      <c r="AO248" s="45">
        <f t="shared" si="65"/>
        <v>0</v>
      </c>
      <c r="AP248" s="45">
        <f t="shared" si="66"/>
        <v>0</v>
      </c>
      <c r="AQ248" s="45">
        <f t="shared" si="67"/>
        <v>0</v>
      </c>
      <c r="AR248" s="45">
        <f t="shared" si="68"/>
        <v>0</v>
      </c>
      <c r="AS248" s="45">
        <f t="shared" si="69"/>
        <v>0</v>
      </c>
      <c r="AT248" s="45">
        <f t="shared" si="70"/>
        <v>0</v>
      </c>
      <c r="AU248" s="62" t="str">
        <f t="shared" si="58"/>
        <v/>
      </c>
    </row>
    <row r="249" spans="1:47" ht="13.5">
      <c r="A249" s="45" t="str">
        <f>IF(Base!B247="","",Base!B247)</f>
        <v>9.004.326-9</v>
      </c>
      <c r="B249" s="45" t="str">
        <f>IF(Base!F247="","",Base!F247)</f>
        <v>ANDRES EDUARDO  LORCA  FARIAS</v>
      </c>
      <c r="C249" s="45" t="str">
        <f>IF(Base!I247="","",Base!I247)</f>
        <v>TPM</v>
      </c>
      <c r="D249" s="46" t="str">
        <f>IF(Base!J247="","",Base!J247)</f>
        <v>Encargado TPM</v>
      </c>
      <c r="E249" s="45">
        <f>IF(Base!H247="","",Base!H247)</f>
        <v>1050604</v>
      </c>
      <c r="J249" s="53">
        <v>239</v>
      </c>
      <c r="K249" s="54"/>
      <c r="L249" s="55" t="str">
        <f t="shared" si="59"/>
        <v/>
      </c>
      <c r="M249" s="55" t="str">
        <f t="shared" si="60"/>
        <v/>
      </c>
      <c r="N249" s="56" t="str">
        <f t="shared" si="61"/>
        <v/>
      </c>
      <c r="O249" s="56" t="str">
        <f t="shared" si="62"/>
        <v/>
      </c>
      <c r="P249" s="57"/>
      <c r="Q249" s="63"/>
      <c r="R249" s="53"/>
      <c r="S249" s="63"/>
      <c r="T249" s="53"/>
      <c r="U249" s="63"/>
      <c r="V249" s="53"/>
      <c r="W249" s="63"/>
      <c r="X249" s="53"/>
      <c r="Y249" s="63"/>
      <c r="Z249" s="53"/>
      <c r="AA249" s="63"/>
      <c r="AB249" s="53"/>
      <c r="AC249" s="63"/>
      <c r="AD249" s="53"/>
      <c r="AE249" s="60">
        <f t="shared" si="71"/>
        <v>0</v>
      </c>
      <c r="AF249" s="60">
        <f t="shared" si="71"/>
        <v>0</v>
      </c>
      <c r="AG249" s="61"/>
      <c r="AL249" s="45" t="str">
        <f t="shared" si="63"/>
        <v/>
      </c>
      <c r="AM249" s="45">
        <v>240</v>
      </c>
      <c r="AN249" s="45">
        <f t="shared" si="64"/>
        <v>0</v>
      </c>
      <c r="AO249" s="45">
        <f t="shared" si="65"/>
        <v>0</v>
      </c>
      <c r="AP249" s="45">
        <f t="shared" si="66"/>
        <v>0</v>
      </c>
      <c r="AQ249" s="45">
        <f t="shared" si="67"/>
        <v>0</v>
      </c>
      <c r="AR249" s="45">
        <f t="shared" si="68"/>
        <v>0</v>
      </c>
      <c r="AS249" s="45">
        <f t="shared" si="69"/>
        <v>0</v>
      </c>
      <c r="AT249" s="45">
        <f t="shared" si="70"/>
        <v>0</v>
      </c>
      <c r="AU249" s="62" t="str">
        <f t="shared" si="58"/>
        <v/>
      </c>
    </row>
    <row r="250" spans="1:47" ht="13.5">
      <c r="A250" s="45" t="str">
        <f>IF(Base!B248="","",Base!B248)</f>
        <v>14.277.186-1</v>
      </c>
      <c r="B250" s="45" t="str">
        <f>IF(Base!F248="","",Base!F248)</f>
        <v>ALEJANDRO  SANHUEZA  SOTO</v>
      </c>
      <c r="C250" s="45" t="str">
        <f>IF(Base!I248="","",Base!I248)</f>
        <v>Control y Gestión</v>
      </c>
      <c r="D250" s="46" t="str">
        <f>IF(Base!J248="","",Base!J248)</f>
        <v>Inspector tiempo</v>
      </c>
      <c r="E250" s="45">
        <f>IF(Base!H248="","",Base!H248)</f>
        <v>1050632</v>
      </c>
      <c r="J250" s="53">
        <v>240</v>
      </c>
      <c r="K250" s="54"/>
      <c r="L250" s="55" t="str">
        <f t="shared" si="59"/>
        <v/>
      </c>
      <c r="M250" s="55" t="str">
        <f t="shared" si="60"/>
        <v/>
      </c>
      <c r="N250" s="56" t="str">
        <f t="shared" si="61"/>
        <v/>
      </c>
      <c r="O250" s="56" t="str">
        <f t="shared" si="62"/>
        <v/>
      </c>
      <c r="P250" s="57"/>
      <c r="Q250" s="63"/>
      <c r="R250" s="53"/>
      <c r="S250" s="63"/>
      <c r="T250" s="53"/>
      <c r="U250" s="63"/>
      <c r="V250" s="53"/>
      <c r="W250" s="63"/>
      <c r="X250" s="53"/>
      <c r="Y250" s="63"/>
      <c r="Z250" s="53"/>
      <c r="AA250" s="63"/>
      <c r="AB250" s="53"/>
      <c r="AC250" s="63"/>
      <c r="AD250" s="53"/>
      <c r="AE250" s="60">
        <f t="shared" si="71"/>
        <v>0</v>
      </c>
      <c r="AF250" s="60">
        <f t="shared" si="71"/>
        <v>0</v>
      </c>
      <c r="AG250" s="61"/>
      <c r="AL250" s="45" t="str">
        <f t="shared" si="63"/>
        <v/>
      </c>
      <c r="AM250" s="45">
        <v>241</v>
      </c>
      <c r="AN250" s="45">
        <f t="shared" si="64"/>
        <v>0</v>
      </c>
      <c r="AO250" s="45">
        <f t="shared" si="65"/>
        <v>0</v>
      </c>
      <c r="AP250" s="45">
        <f t="shared" si="66"/>
        <v>0</v>
      </c>
      <c r="AQ250" s="45">
        <f t="shared" si="67"/>
        <v>0</v>
      </c>
      <c r="AR250" s="45">
        <f t="shared" si="68"/>
        <v>0</v>
      </c>
      <c r="AS250" s="45">
        <f t="shared" si="69"/>
        <v>0</v>
      </c>
      <c r="AT250" s="45">
        <f t="shared" si="70"/>
        <v>0</v>
      </c>
      <c r="AU250" s="62" t="str">
        <f t="shared" si="58"/>
        <v/>
      </c>
    </row>
    <row r="251" spans="1:47" ht="13.5">
      <c r="A251" s="45" t="str">
        <f>IF(Base!B249="","",Base!B249)</f>
        <v>12.896.236-0</v>
      </c>
      <c r="B251" s="45" t="str">
        <f>IF(Base!F249="","",Base!F249)</f>
        <v>GABRIEL   CANDIA   MUÑOZ</v>
      </c>
      <c r="C251" s="45" t="str">
        <f>IF(Base!I249="","",Base!I249)</f>
        <v>Control y Gestión</v>
      </c>
      <c r="D251" s="46" t="str">
        <f>IF(Base!J249="","",Base!J249)</f>
        <v>Inspector tiempo</v>
      </c>
      <c r="E251" s="45">
        <f>IF(Base!H249="","",Base!H249)</f>
        <v>1050632</v>
      </c>
      <c r="J251" s="53">
        <v>241</v>
      </c>
      <c r="K251" s="54"/>
      <c r="L251" s="55" t="str">
        <f t="shared" si="59"/>
        <v/>
      </c>
      <c r="M251" s="55" t="str">
        <f t="shared" si="60"/>
        <v/>
      </c>
      <c r="N251" s="56" t="str">
        <f t="shared" si="61"/>
        <v/>
      </c>
      <c r="O251" s="56" t="str">
        <f t="shared" si="62"/>
        <v/>
      </c>
      <c r="P251" s="57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0">
        <f t="shared" si="71"/>
        <v>0</v>
      </c>
      <c r="AF251" s="60">
        <f t="shared" si="71"/>
        <v>0</v>
      </c>
      <c r="AG251" s="61"/>
      <c r="AL251" s="45" t="str">
        <f t="shared" si="63"/>
        <v/>
      </c>
      <c r="AM251" s="45">
        <v>242</v>
      </c>
      <c r="AN251" s="45">
        <f t="shared" si="64"/>
        <v>0</v>
      </c>
      <c r="AO251" s="45">
        <f t="shared" si="65"/>
        <v>0</v>
      </c>
      <c r="AP251" s="45">
        <f t="shared" si="66"/>
        <v>0</v>
      </c>
      <c r="AQ251" s="45">
        <f t="shared" si="67"/>
        <v>0</v>
      </c>
      <c r="AR251" s="45">
        <f t="shared" si="68"/>
        <v>0</v>
      </c>
      <c r="AS251" s="45">
        <f t="shared" si="69"/>
        <v>0</v>
      </c>
      <c r="AT251" s="45">
        <f t="shared" si="70"/>
        <v>0</v>
      </c>
      <c r="AU251" s="62" t="str">
        <f t="shared" si="58"/>
        <v/>
      </c>
    </row>
    <row r="252" spans="1:47" ht="13.5">
      <c r="A252" s="45" t="str">
        <f>IF(Base!B250="","",Base!B250)</f>
        <v>15.391.242-4</v>
      </c>
      <c r="B252" s="45" t="str">
        <f>IF(Base!F250="","",Base!F250)</f>
        <v>JUAN  GUERRERO  MALIO</v>
      </c>
      <c r="C252" s="45" t="str">
        <f>IF(Base!I250="","",Base!I250)</f>
        <v>Control y Gestión</v>
      </c>
      <c r="D252" s="46" t="str">
        <f>IF(Base!J250="","",Base!J250)</f>
        <v>Inspector tiempo</v>
      </c>
      <c r="E252" s="45">
        <f>IF(Base!H250="","",Base!H250)</f>
        <v>1050632</v>
      </c>
      <c r="J252" s="53">
        <v>242</v>
      </c>
      <c r="K252" s="54"/>
      <c r="L252" s="55" t="str">
        <f t="shared" si="59"/>
        <v/>
      </c>
      <c r="M252" s="55" t="str">
        <f t="shared" si="60"/>
        <v/>
      </c>
      <c r="N252" s="56" t="str">
        <f t="shared" si="61"/>
        <v/>
      </c>
      <c r="O252" s="56" t="str">
        <f t="shared" si="62"/>
        <v/>
      </c>
      <c r="P252" s="57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0">
        <f t="shared" si="71"/>
        <v>0</v>
      </c>
      <c r="AF252" s="60">
        <f t="shared" si="71"/>
        <v>0</v>
      </c>
      <c r="AG252" s="61"/>
      <c r="AL252" s="45" t="str">
        <f t="shared" si="63"/>
        <v/>
      </c>
      <c r="AM252" s="45">
        <v>243</v>
      </c>
      <c r="AN252" s="45">
        <f t="shared" si="64"/>
        <v>0</v>
      </c>
      <c r="AO252" s="45">
        <f t="shared" si="65"/>
        <v>0</v>
      </c>
      <c r="AP252" s="45">
        <f t="shared" si="66"/>
        <v>0</v>
      </c>
      <c r="AQ252" s="45">
        <f t="shared" si="67"/>
        <v>0</v>
      </c>
      <c r="AR252" s="45">
        <f t="shared" si="68"/>
        <v>0</v>
      </c>
      <c r="AS252" s="45">
        <f t="shared" si="69"/>
        <v>0</v>
      </c>
      <c r="AT252" s="45">
        <f t="shared" si="70"/>
        <v>0</v>
      </c>
      <c r="AU252" s="62" t="str">
        <f t="shared" si="58"/>
        <v/>
      </c>
    </row>
    <row r="253" spans="1:47" ht="13.5">
      <c r="A253" s="45" t="str">
        <f>IF(Base!B251="","",Base!B251)</f>
        <v>16.268.829-4</v>
      </c>
      <c r="B253" s="45" t="str">
        <f>IF(Base!F251="","",Base!F251)</f>
        <v>ALBERTO  MORALES  DIAZ</v>
      </c>
      <c r="C253" s="45" t="str">
        <f>IF(Base!I251="","",Base!I251)</f>
        <v>Linea 6</v>
      </c>
      <c r="D253" s="46" t="str">
        <f>IF(Base!J251="","",Base!J251)</f>
        <v>Etiquetador</v>
      </c>
      <c r="E253" s="45">
        <f>IF(Base!H251="","",Base!H251)</f>
        <v>1050610</v>
      </c>
      <c r="J253" s="53">
        <v>243</v>
      </c>
      <c r="K253" s="54"/>
      <c r="L253" s="55" t="str">
        <f t="shared" si="59"/>
        <v/>
      </c>
      <c r="M253" s="55" t="str">
        <f t="shared" si="60"/>
        <v/>
      </c>
      <c r="N253" s="56" t="str">
        <f t="shared" si="61"/>
        <v/>
      </c>
      <c r="O253" s="56" t="str">
        <f t="shared" si="62"/>
        <v/>
      </c>
      <c r="P253" s="57"/>
      <c r="Q253" s="63"/>
      <c r="R253" s="53"/>
      <c r="S253" s="63"/>
      <c r="T253" s="53"/>
      <c r="U253" s="63"/>
      <c r="V253" s="53"/>
      <c r="W253" s="63"/>
      <c r="X253" s="53"/>
      <c r="Y253" s="63"/>
      <c r="Z253" s="53"/>
      <c r="AA253" s="63"/>
      <c r="AB253" s="53"/>
      <c r="AC253" s="63"/>
      <c r="AD253" s="53"/>
      <c r="AE253" s="60">
        <f t="shared" si="71"/>
        <v>0</v>
      </c>
      <c r="AF253" s="60">
        <f t="shared" si="71"/>
        <v>0</v>
      </c>
      <c r="AG253" s="61"/>
      <c r="AL253" s="45" t="str">
        <f t="shared" si="63"/>
        <v/>
      </c>
      <c r="AM253" s="45">
        <v>244</v>
      </c>
      <c r="AN253" s="45">
        <f t="shared" si="64"/>
        <v>0</v>
      </c>
      <c r="AO253" s="45">
        <f t="shared" si="65"/>
        <v>0</v>
      </c>
      <c r="AP253" s="45">
        <f t="shared" si="66"/>
        <v>0</v>
      </c>
      <c r="AQ253" s="45">
        <f t="shared" si="67"/>
        <v>0</v>
      </c>
      <c r="AR253" s="45">
        <f t="shared" si="68"/>
        <v>0</v>
      </c>
      <c r="AS253" s="45">
        <f t="shared" si="69"/>
        <v>0</v>
      </c>
      <c r="AT253" s="45">
        <f t="shared" si="70"/>
        <v>0</v>
      </c>
      <c r="AU253" s="62" t="str">
        <f t="shared" si="58"/>
        <v/>
      </c>
    </row>
    <row r="254" spans="1:47" ht="13.5">
      <c r="A254" s="45" t="str">
        <f>IF(Base!B252="","",Base!B252)</f>
        <v>5.738.427-1</v>
      </c>
      <c r="B254" s="45" t="str">
        <f>IF(Base!F252="","",Base!F252)</f>
        <v>RAÚL   MARTINEZ  VASQUEZ</v>
      </c>
      <c r="C254" s="45" t="str">
        <f>IF(Base!I252="","",Base!I252)</f>
        <v>Aseo</v>
      </c>
      <c r="D254" s="46" t="str">
        <f>IF(Base!J252="","",Base!J252)</f>
        <v>Aseo</v>
      </c>
      <c r="E254" s="45">
        <f>IF(Base!H252="","",Base!H252)</f>
        <v>1050603</v>
      </c>
      <c r="J254" s="53">
        <v>244</v>
      </c>
      <c r="K254" s="54"/>
      <c r="L254" s="55" t="str">
        <f t="shared" si="59"/>
        <v/>
      </c>
      <c r="M254" s="55" t="str">
        <f t="shared" si="60"/>
        <v/>
      </c>
      <c r="N254" s="56" t="str">
        <f t="shared" si="61"/>
        <v/>
      </c>
      <c r="O254" s="56" t="str">
        <f t="shared" si="62"/>
        <v/>
      </c>
      <c r="P254" s="57"/>
      <c r="Q254" s="63"/>
      <c r="R254" s="53"/>
      <c r="S254" s="63"/>
      <c r="T254" s="53"/>
      <c r="U254" s="63"/>
      <c r="V254" s="53"/>
      <c r="W254" s="63"/>
      <c r="X254" s="53"/>
      <c r="Y254" s="63"/>
      <c r="Z254" s="53"/>
      <c r="AA254" s="63"/>
      <c r="AB254" s="53"/>
      <c r="AC254" s="63"/>
      <c r="AD254" s="53"/>
      <c r="AE254" s="60">
        <f t="shared" si="71"/>
        <v>0</v>
      </c>
      <c r="AF254" s="60">
        <f t="shared" si="71"/>
        <v>0</v>
      </c>
      <c r="AG254" s="61"/>
      <c r="AL254" s="45" t="str">
        <f t="shared" si="63"/>
        <v/>
      </c>
      <c r="AM254" s="45">
        <v>245</v>
      </c>
      <c r="AN254" s="45">
        <f t="shared" si="64"/>
        <v>0</v>
      </c>
      <c r="AO254" s="45">
        <f t="shared" si="65"/>
        <v>0</v>
      </c>
      <c r="AP254" s="45">
        <f t="shared" si="66"/>
        <v>0</v>
      </c>
      <c r="AQ254" s="45">
        <f t="shared" si="67"/>
        <v>0</v>
      </c>
      <c r="AR254" s="45">
        <f t="shared" si="68"/>
        <v>0</v>
      </c>
      <c r="AS254" s="45">
        <f t="shared" si="69"/>
        <v>0</v>
      </c>
      <c r="AT254" s="45">
        <f t="shared" si="70"/>
        <v>0</v>
      </c>
      <c r="AU254" s="62" t="str">
        <f t="shared" si="58"/>
        <v/>
      </c>
    </row>
    <row r="255" spans="1:47" ht="13.5">
      <c r="A255" s="45" t="str">
        <f>IF(Base!B253="","",Base!B253)</f>
        <v>18.364.293-6</v>
      </c>
      <c r="B255" s="45" t="str">
        <f>IF(Base!F253="","",Base!F253)</f>
        <v>CRISTOPHER ANDRES ZUÑIGA CACERES</v>
      </c>
      <c r="C255" s="45" t="str">
        <f>IF(Base!I253="","",Base!I253)</f>
        <v>TPM</v>
      </c>
      <c r="D255" s="46" t="str">
        <f>IF(Base!J253="","",Base!J253)</f>
        <v>Trainee</v>
      </c>
      <c r="E255" s="45">
        <f>IF(Base!H253="","",Base!H253)</f>
        <v>1050604</v>
      </c>
      <c r="J255" s="53">
        <v>245</v>
      </c>
      <c r="K255" s="54"/>
      <c r="L255" s="55" t="str">
        <f t="shared" si="59"/>
        <v/>
      </c>
      <c r="M255" s="55" t="str">
        <f t="shared" si="60"/>
        <v/>
      </c>
      <c r="N255" s="56" t="str">
        <f t="shared" si="61"/>
        <v/>
      </c>
      <c r="O255" s="56" t="str">
        <f t="shared" si="62"/>
        <v/>
      </c>
      <c r="P255" s="57"/>
      <c r="Q255" s="63"/>
      <c r="R255" s="53"/>
      <c r="S255" s="63"/>
      <c r="T255" s="53"/>
      <c r="U255" s="63"/>
      <c r="V255" s="53"/>
      <c r="W255" s="63"/>
      <c r="X255" s="53"/>
      <c r="Y255" s="63"/>
      <c r="Z255" s="53"/>
      <c r="AA255" s="63"/>
      <c r="AB255" s="53"/>
      <c r="AC255" s="63"/>
      <c r="AD255" s="53"/>
      <c r="AE255" s="60">
        <f t="shared" si="71"/>
        <v>0</v>
      </c>
      <c r="AF255" s="60">
        <f t="shared" si="71"/>
        <v>0</v>
      </c>
      <c r="AG255" s="61"/>
      <c r="AL255" s="45" t="str">
        <f t="shared" si="63"/>
        <v/>
      </c>
      <c r="AM255" s="45">
        <v>246</v>
      </c>
      <c r="AN255" s="45">
        <f t="shared" si="64"/>
        <v>0</v>
      </c>
      <c r="AO255" s="45">
        <f t="shared" si="65"/>
        <v>0</v>
      </c>
      <c r="AP255" s="45">
        <f t="shared" si="66"/>
        <v>0</v>
      </c>
      <c r="AQ255" s="45">
        <f t="shared" si="67"/>
        <v>0</v>
      </c>
      <c r="AR255" s="45">
        <f t="shared" si="68"/>
        <v>0</v>
      </c>
      <c r="AS255" s="45">
        <f t="shared" si="69"/>
        <v>0</v>
      </c>
      <c r="AT255" s="45">
        <f t="shared" si="70"/>
        <v>0</v>
      </c>
      <c r="AU255" s="62" t="str">
        <f t="shared" si="58"/>
        <v/>
      </c>
    </row>
    <row r="256" spans="1:47" ht="13.5">
      <c r="A256" s="45" t="str">
        <f>IF(Base!B254="","",Base!B254)</f>
        <v>18.045.411-k</v>
      </c>
      <c r="B256" s="45" t="str">
        <f>IF(Base!F254="","",Base!F254)</f>
        <v>RICARDO ANDRES GONZALES GONZALES</v>
      </c>
      <c r="C256" s="45" t="str">
        <f>IF(Base!I254="","",Base!I254)</f>
        <v>TPM</v>
      </c>
      <c r="D256" s="46" t="str">
        <f>IF(Base!J254="","",Base!J254)</f>
        <v>Trainee</v>
      </c>
      <c r="E256" s="45">
        <f>IF(Base!H254="","",Base!H254)</f>
        <v>1050604</v>
      </c>
      <c r="J256" s="53">
        <v>246</v>
      </c>
      <c r="K256" s="54"/>
      <c r="L256" s="55" t="str">
        <f t="shared" si="59"/>
        <v/>
      </c>
      <c r="M256" s="55" t="str">
        <f t="shared" si="60"/>
        <v/>
      </c>
      <c r="N256" s="56" t="str">
        <f t="shared" si="61"/>
        <v/>
      </c>
      <c r="O256" s="56" t="str">
        <f t="shared" si="62"/>
        <v/>
      </c>
      <c r="P256" s="57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0">
        <f t="shared" si="71"/>
        <v>0</v>
      </c>
      <c r="AF256" s="60">
        <f t="shared" si="71"/>
        <v>0</v>
      </c>
      <c r="AG256" s="61"/>
      <c r="AL256" s="45" t="str">
        <f t="shared" si="63"/>
        <v/>
      </c>
      <c r="AM256" s="45">
        <v>247</v>
      </c>
      <c r="AN256" s="45">
        <f t="shared" si="64"/>
        <v>0</v>
      </c>
      <c r="AO256" s="45">
        <f t="shared" si="65"/>
        <v>0</v>
      </c>
      <c r="AP256" s="45">
        <f t="shared" si="66"/>
        <v>0</v>
      </c>
      <c r="AQ256" s="45">
        <f t="shared" si="67"/>
        <v>0</v>
      </c>
      <c r="AR256" s="45">
        <f t="shared" si="68"/>
        <v>0</v>
      </c>
      <c r="AS256" s="45">
        <f t="shared" si="69"/>
        <v>0</v>
      </c>
      <c r="AT256" s="45">
        <f t="shared" si="70"/>
        <v>0</v>
      </c>
      <c r="AU256" s="62" t="str">
        <f t="shared" si="58"/>
        <v/>
      </c>
    </row>
    <row r="257" spans="1:47" ht="13.5">
      <c r="A257" s="45" t="str">
        <f>IF(Base!B255="","",Base!B255)</f>
        <v>18.187.438-4</v>
      </c>
      <c r="B257" s="45" t="str">
        <f>IF(Base!F255="","",Base!F255)</f>
        <v>NICOLAS FRANCISCO GAVELO DEVIA</v>
      </c>
      <c r="C257" s="45" t="str">
        <f>IF(Base!I255="","",Base!I255)</f>
        <v>TPM</v>
      </c>
      <c r="D257" s="46" t="str">
        <f>IF(Base!J255="","",Base!J255)</f>
        <v>Trainee</v>
      </c>
      <c r="E257" s="45">
        <f>IF(Base!H255="","",Base!H255)</f>
        <v>1050604</v>
      </c>
      <c r="J257" s="53">
        <v>247</v>
      </c>
      <c r="K257" s="54"/>
      <c r="L257" s="55" t="str">
        <f t="shared" si="59"/>
        <v/>
      </c>
      <c r="M257" s="55" t="str">
        <f t="shared" si="60"/>
        <v/>
      </c>
      <c r="N257" s="56" t="str">
        <f t="shared" si="61"/>
        <v/>
      </c>
      <c r="O257" s="56" t="str">
        <f t="shared" si="62"/>
        <v/>
      </c>
      <c r="P257" s="57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0">
        <f t="shared" si="71"/>
        <v>0</v>
      </c>
      <c r="AF257" s="60">
        <f t="shared" si="71"/>
        <v>0</v>
      </c>
      <c r="AG257" s="61"/>
      <c r="AL257" s="45" t="str">
        <f t="shared" si="63"/>
        <v/>
      </c>
      <c r="AM257" s="45">
        <v>248</v>
      </c>
      <c r="AN257" s="45">
        <f t="shared" si="64"/>
        <v>0</v>
      </c>
      <c r="AO257" s="45">
        <f t="shared" si="65"/>
        <v>0</v>
      </c>
      <c r="AP257" s="45">
        <f t="shared" si="66"/>
        <v>0</v>
      </c>
      <c r="AQ257" s="45">
        <f t="shared" si="67"/>
        <v>0</v>
      </c>
      <c r="AR257" s="45">
        <f t="shared" si="68"/>
        <v>0</v>
      </c>
      <c r="AS257" s="45">
        <f t="shared" si="69"/>
        <v>0</v>
      </c>
      <c r="AT257" s="45">
        <f t="shared" si="70"/>
        <v>0</v>
      </c>
      <c r="AU257" s="62" t="str">
        <f t="shared" si="58"/>
        <v/>
      </c>
    </row>
    <row r="258" spans="1:47" ht="13.5">
      <c r="A258" s="45" t="str">
        <f>IF(Base!B256="","",Base!B256)</f>
        <v>17.546.614-2</v>
      </c>
      <c r="B258" s="45" t="str">
        <f>IF(Base!F256="","",Base!F256)</f>
        <v>ISAAC MARTINEZ</v>
      </c>
      <c r="C258" s="45" t="str">
        <f>IF(Base!I256="","",Base!I256)</f>
        <v>Abastecimiento</v>
      </c>
      <c r="D258" s="46" t="str">
        <f>IF(Base!J256="","",Base!J256)</f>
        <v>Operario Almacenamiento</v>
      </c>
      <c r="E258" s="45">
        <f>IF(Base!H256="","",Base!H256)</f>
        <v>1050633</v>
      </c>
      <c r="J258" s="53">
        <v>248</v>
      </c>
      <c r="K258" s="54"/>
      <c r="L258" s="55" t="str">
        <f t="shared" si="59"/>
        <v/>
      </c>
      <c r="M258" s="55" t="str">
        <f t="shared" si="60"/>
        <v/>
      </c>
      <c r="N258" s="56" t="str">
        <f t="shared" si="61"/>
        <v/>
      </c>
      <c r="O258" s="56" t="str">
        <f t="shared" si="62"/>
        <v/>
      </c>
      <c r="P258" s="57"/>
      <c r="Q258" s="63"/>
      <c r="R258" s="53"/>
      <c r="S258" s="63"/>
      <c r="T258" s="53"/>
      <c r="U258" s="63"/>
      <c r="V258" s="53"/>
      <c r="W258" s="63"/>
      <c r="X258" s="53"/>
      <c r="Y258" s="63"/>
      <c r="Z258" s="53"/>
      <c r="AA258" s="63"/>
      <c r="AB258" s="53"/>
      <c r="AC258" s="63"/>
      <c r="AD258" s="53"/>
      <c r="AE258" s="60">
        <f t="shared" si="71"/>
        <v>0</v>
      </c>
      <c r="AF258" s="60">
        <f t="shared" si="71"/>
        <v>0</v>
      </c>
      <c r="AG258" s="61"/>
      <c r="AL258" s="45" t="str">
        <f t="shared" si="63"/>
        <v/>
      </c>
      <c r="AM258" s="45">
        <v>249</v>
      </c>
      <c r="AN258" s="45">
        <f t="shared" si="64"/>
        <v>0</v>
      </c>
      <c r="AO258" s="45">
        <f t="shared" si="65"/>
        <v>0</v>
      </c>
      <c r="AP258" s="45">
        <f t="shared" si="66"/>
        <v>0</v>
      </c>
      <c r="AQ258" s="45">
        <f t="shared" si="67"/>
        <v>0</v>
      </c>
      <c r="AR258" s="45">
        <f t="shared" si="68"/>
        <v>0</v>
      </c>
      <c r="AS258" s="45">
        <f t="shared" si="69"/>
        <v>0</v>
      </c>
      <c r="AT258" s="45">
        <f t="shared" si="70"/>
        <v>0</v>
      </c>
      <c r="AU258" s="62" t="str">
        <f t="shared" si="58"/>
        <v/>
      </c>
    </row>
    <row r="259" spans="1:47" ht="13.5">
      <c r="A259" s="45" t="str">
        <f>IF(Base!B257="","",Base!B257)</f>
        <v>14005685-7</v>
      </c>
      <c r="B259" s="45" t="str">
        <f>IF(Base!F257="","",Base!F257)</f>
        <v>NICOLAS NARVAI ZUBICUETA</v>
      </c>
      <c r="C259" s="45" t="str">
        <f>IF(Base!I257="","",Base!I257)</f>
        <v>Abastecimiento</v>
      </c>
      <c r="D259" s="46" t="str">
        <f>IF(Base!J257="","",Base!J257)</f>
        <v>Operario Almacenamiento</v>
      </c>
      <c r="E259" s="45">
        <f>IF(Base!H257="","",Base!H257)</f>
        <v>1050633</v>
      </c>
      <c r="J259" s="53">
        <v>249</v>
      </c>
      <c r="K259" s="54"/>
      <c r="L259" s="55" t="str">
        <f t="shared" si="59"/>
        <v/>
      </c>
      <c r="M259" s="55" t="str">
        <f t="shared" si="60"/>
        <v/>
      </c>
      <c r="N259" s="56" t="str">
        <f t="shared" si="61"/>
        <v/>
      </c>
      <c r="O259" s="56" t="str">
        <f t="shared" si="62"/>
        <v/>
      </c>
      <c r="P259" s="57"/>
      <c r="Q259" s="63"/>
      <c r="R259" s="53"/>
      <c r="S259" s="63"/>
      <c r="T259" s="53"/>
      <c r="U259" s="63"/>
      <c r="V259" s="53"/>
      <c r="W259" s="63"/>
      <c r="X259" s="53"/>
      <c r="Y259" s="63"/>
      <c r="Z259" s="53"/>
      <c r="AA259" s="63"/>
      <c r="AB259" s="53"/>
      <c r="AC259" s="63"/>
      <c r="AD259" s="53"/>
      <c r="AE259" s="60">
        <f t="shared" si="71"/>
        <v>0</v>
      </c>
      <c r="AF259" s="60">
        <f t="shared" si="71"/>
        <v>0</v>
      </c>
      <c r="AG259" s="61"/>
      <c r="AL259" s="45" t="str">
        <f t="shared" si="63"/>
        <v/>
      </c>
      <c r="AM259" s="45">
        <v>250</v>
      </c>
      <c r="AN259" s="45">
        <f t="shared" si="64"/>
        <v>0</v>
      </c>
      <c r="AO259" s="45">
        <f t="shared" si="65"/>
        <v>0</v>
      </c>
      <c r="AP259" s="45">
        <f t="shared" si="66"/>
        <v>0</v>
      </c>
      <c r="AQ259" s="45">
        <f t="shared" si="67"/>
        <v>0</v>
      </c>
      <c r="AR259" s="45">
        <f t="shared" si="68"/>
        <v>0</v>
      </c>
      <c r="AS259" s="45">
        <f t="shared" si="69"/>
        <v>0</v>
      </c>
      <c r="AT259" s="45">
        <f t="shared" si="70"/>
        <v>0</v>
      </c>
      <c r="AU259" s="62" t="str">
        <f t="shared" si="58"/>
        <v/>
      </c>
    </row>
    <row r="260" spans="1:47" ht="13.5">
      <c r="A260" s="45" t="str">
        <f>IF(Base!B258="","",Base!B258)</f>
        <v>23.040.236-1</v>
      </c>
      <c r="B260" s="45" t="str">
        <f>IF(Base!F258="","",Base!F258)</f>
        <v>SEBASTIAN PEREZ</v>
      </c>
      <c r="C260" s="45" t="str">
        <f>IF(Base!I258="","",Base!I258)</f>
        <v>Abastecimiento</v>
      </c>
      <c r="D260" s="46" t="str">
        <f>IF(Base!J258="","",Base!J258)</f>
        <v>Operario Almacenamiento</v>
      </c>
      <c r="E260" s="45">
        <f>IF(Base!H258="","",Base!H258)</f>
        <v>1050506</v>
      </c>
      <c r="J260" s="53">
        <v>250</v>
      </c>
      <c r="K260" s="54"/>
      <c r="L260" s="55" t="str">
        <f t="shared" si="59"/>
        <v/>
      </c>
      <c r="M260" s="55" t="str">
        <f t="shared" si="60"/>
        <v/>
      </c>
      <c r="N260" s="56" t="str">
        <f t="shared" si="61"/>
        <v/>
      </c>
      <c r="O260" s="56" t="str">
        <f t="shared" si="62"/>
        <v/>
      </c>
      <c r="P260" s="57"/>
      <c r="Q260" s="63"/>
      <c r="R260" s="53"/>
      <c r="S260" s="63"/>
      <c r="T260" s="53"/>
      <c r="U260" s="63"/>
      <c r="V260" s="53"/>
      <c r="W260" s="63"/>
      <c r="X260" s="53"/>
      <c r="Y260" s="63"/>
      <c r="Z260" s="53"/>
      <c r="AA260" s="63"/>
      <c r="AB260" s="53"/>
      <c r="AC260" s="63"/>
      <c r="AD260" s="53"/>
      <c r="AE260" s="60">
        <f t="shared" si="71"/>
        <v>0</v>
      </c>
      <c r="AF260" s="60">
        <f t="shared" si="71"/>
        <v>0</v>
      </c>
      <c r="AG260" s="61"/>
      <c r="AL260" s="45" t="str">
        <f t="shared" si="63"/>
        <v/>
      </c>
      <c r="AM260" s="45">
        <v>251</v>
      </c>
      <c r="AN260" s="45">
        <f t="shared" si="64"/>
        <v>0</v>
      </c>
      <c r="AO260" s="45">
        <f t="shared" si="65"/>
        <v>0</v>
      </c>
      <c r="AP260" s="45">
        <f t="shared" si="66"/>
        <v>0</v>
      </c>
      <c r="AQ260" s="45">
        <f t="shared" si="67"/>
        <v>0</v>
      </c>
      <c r="AR260" s="45">
        <f t="shared" si="68"/>
        <v>0</v>
      </c>
      <c r="AS260" s="45">
        <f t="shared" si="69"/>
        <v>0</v>
      </c>
      <c r="AT260" s="45">
        <f t="shared" si="70"/>
        <v>0</v>
      </c>
      <c r="AU260" s="62" t="str">
        <f t="shared" si="58"/>
        <v/>
      </c>
    </row>
    <row r="261" spans="1:47">
      <c r="A261" s="45" t="str">
        <f>IF(Base!B259="","",Base!B259)</f>
        <v>11.267.622-8</v>
      </c>
      <c r="B261" s="45" t="str">
        <f>IF(Base!F259="","",Base!F259)</f>
        <v>JOSE MATURANA RIOS</v>
      </c>
      <c r="C261" s="45" t="str">
        <f>IF(Base!I259="","",Base!I259)</f>
        <v>Abastecimiento</v>
      </c>
      <c r="D261" s="46" t="str">
        <f>IF(Base!J259="","",Base!J259)</f>
        <v>Operario Almacenamiento</v>
      </c>
      <c r="E261" s="45">
        <f>IF(Base!H259="","",Base!H259)</f>
        <v>1050633</v>
      </c>
    </row>
    <row r="262" spans="1:47">
      <c r="A262" s="45" t="str">
        <f>IF(Base!B260="","",Base!B260)</f>
        <v>16.558.908-4</v>
      </c>
      <c r="B262" s="45" t="str">
        <f>IF(Base!F260="","",Base!F260)</f>
        <v>MARCELO ROJAS MUÑOZ</v>
      </c>
      <c r="C262" s="45" t="str">
        <f>IF(Base!I260="","",Base!I260)</f>
        <v>Setup</v>
      </c>
      <c r="D262" s="46" t="str">
        <f>IF(Base!J260="","",Base!J260)</f>
        <v>Setup</v>
      </c>
      <c r="E262" s="45">
        <f>IF(Base!H260="","",Base!H260)</f>
        <v>1050529</v>
      </c>
    </row>
    <row r="263" spans="1:47">
      <c r="A263" s="45" t="str">
        <f>IF(Base!B261="","",Base!B261)</f>
        <v/>
      </c>
      <c r="B263" s="45" t="str">
        <f>IF(Base!F261="","",Base!F261)</f>
        <v/>
      </c>
      <c r="C263" s="45" t="str">
        <f>IF(Base!I261="","",Base!I261)</f>
        <v/>
      </c>
      <c r="D263" s="46" t="str">
        <f>IF(Base!J261="","",Base!J261)</f>
        <v/>
      </c>
      <c r="E263" s="45" t="str">
        <f>IF(Base!H261="","",Base!H261)</f>
        <v/>
      </c>
    </row>
    <row r="264" spans="1:47">
      <c r="A264" s="45" t="str">
        <f>IF(Base!B262="","",Base!B262)</f>
        <v/>
      </c>
      <c r="B264" s="45" t="str">
        <f>IF(Base!F262="","",Base!F262)</f>
        <v/>
      </c>
      <c r="C264" s="45" t="str">
        <f>IF(Base!I262="","",Base!I262)</f>
        <v/>
      </c>
      <c r="D264" s="46" t="str">
        <f>IF(Base!J262="","",Base!J262)</f>
        <v/>
      </c>
      <c r="E264" s="45" t="str">
        <f>IF(Base!H262="","",Base!H262)</f>
        <v/>
      </c>
    </row>
    <row r="265" spans="1:47">
      <c r="A265" s="45" t="str">
        <f>IF(Base!B263="","",Base!B263)</f>
        <v/>
      </c>
      <c r="B265" s="45" t="str">
        <f>IF(Base!F263="","",Base!F263)</f>
        <v/>
      </c>
      <c r="C265" s="45" t="str">
        <f>IF(Base!I263="","",Base!I263)</f>
        <v/>
      </c>
      <c r="D265" s="46" t="str">
        <f>IF(Base!J263="","",Base!J263)</f>
        <v/>
      </c>
      <c r="E265" s="45" t="str">
        <f>IF(Base!H263="","",Base!H263)</f>
        <v/>
      </c>
    </row>
    <row r="266" spans="1:47">
      <c r="A266" s="45" t="str">
        <f>IF(Base!B264="","",Base!B264)</f>
        <v/>
      </c>
      <c r="B266" s="45" t="str">
        <f>IF(Base!F264="","",Base!F264)</f>
        <v/>
      </c>
      <c r="C266" s="45" t="str">
        <f>IF(Base!I264="","",Base!I264)</f>
        <v/>
      </c>
      <c r="D266" s="46" t="str">
        <f>IF(Base!J264="","",Base!J264)</f>
        <v/>
      </c>
      <c r="E266" s="45" t="str">
        <f>IF(Base!H264="","",Base!H264)</f>
        <v/>
      </c>
    </row>
    <row r="267" spans="1:47">
      <c r="A267" s="45" t="str">
        <f>IF(Base!B265="","",Base!B265)</f>
        <v/>
      </c>
      <c r="B267" s="45" t="str">
        <f>IF(Base!F265="","",Base!F265)</f>
        <v/>
      </c>
      <c r="C267" s="45" t="str">
        <f>IF(Base!I265="","",Base!I265)</f>
        <v/>
      </c>
      <c r="D267" s="46" t="str">
        <f>IF(Base!J265="","",Base!J265)</f>
        <v/>
      </c>
      <c r="E267" s="45" t="str">
        <f>IF(Base!H265="","",Base!H265)</f>
        <v/>
      </c>
    </row>
    <row r="268" spans="1:47">
      <c r="A268" s="45" t="str">
        <f>IF(Base!B266="","",Base!B266)</f>
        <v/>
      </c>
      <c r="B268" s="45" t="str">
        <f>IF(Base!F266="","",Base!F266)</f>
        <v/>
      </c>
      <c r="C268" s="45" t="str">
        <f>IF(Base!I266="","",Base!I266)</f>
        <v/>
      </c>
      <c r="D268" s="46" t="str">
        <f>IF(Base!J266="","",Base!J266)</f>
        <v/>
      </c>
      <c r="E268" s="45" t="str">
        <f>IF(Base!H266="","",Base!H266)</f>
        <v/>
      </c>
    </row>
    <row r="269" spans="1:47">
      <c r="A269" s="45" t="str">
        <f>IF(Base!B267="","",Base!B267)</f>
        <v/>
      </c>
      <c r="B269" s="45" t="str">
        <f>IF(Base!F267="","",Base!F267)</f>
        <v/>
      </c>
      <c r="C269" s="45" t="str">
        <f>IF(Base!I267="","",Base!I267)</f>
        <v/>
      </c>
      <c r="D269" s="46" t="str">
        <f>IF(Base!J267="","",Base!J267)</f>
        <v/>
      </c>
      <c r="E269" s="45" t="str">
        <f>IF(Base!H267="","",Base!H267)</f>
        <v/>
      </c>
    </row>
    <row r="270" spans="1:47">
      <c r="A270" s="45" t="str">
        <f>IF(Base!B268="","",Base!B268)</f>
        <v/>
      </c>
      <c r="B270" s="45" t="str">
        <f>IF(Base!F268="","",Base!F268)</f>
        <v/>
      </c>
      <c r="C270" s="45" t="str">
        <f>IF(Base!I268="","",Base!I268)</f>
        <v/>
      </c>
      <c r="D270" s="46" t="str">
        <f>IF(Base!J268="","",Base!J268)</f>
        <v/>
      </c>
      <c r="E270" s="45" t="str">
        <f>IF(Base!H268="","",Base!H268)</f>
        <v/>
      </c>
    </row>
    <row r="271" spans="1:47">
      <c r="A271" s="45" t="str">
        <f>IF(Base!B269="","",Base!B269)</f>
        <v/>
      </c>
      <c r="B271" s="45" t="str">
        <f>IF(Base!F269="","",Base!F269)</f>
        <v/>
      </c>
      <c r="C271" s="45" t="str">
        <f>IF(Base!I269="","",Base!I269)</f>
        <v/>
      </c>
      <c r="D271" s="46" t="str">
        <f>IF(Base!J269="","",Base!J269)</f>
        <v/>
      </c>
      <c r="E271" s="45" t="str">
        <f>IF(Base!H269="","",Base!H269)</f>
        <v/>
      </c>
    </row>
    <row r="272" spans="1:47">
      <c r="A272" s="45" t="str">
        <f>IF(Base!B270="","",Base!B270)</f>
        <v/>
      </c>
      <c r="B272" s="45" t="str">
        <f>IF(Base!F270="","",Base!F270)</f>
        <v/>
      </c>
      <c r="C272" s="45" t="str">
        <f>IF(Base!I270="","",Base!I270)</f>
        <v/>
      </c>
      <c r="D272" s="46" t="str">
        <f>IF(Base!J270="","",Base!J270)</f>
        <v/>
      </c>
      <c r="E272" s="45" t="str">
        <f>IF(Base!H270="","",Base!H270)</f>
        <v/>
      </c>
    </row>
    <row r="273" spans="1:5">
      <c r="A273" s="45" t="str">
        <f>IF(Base!B271="","",Base!B271)</f>
        <v/>
      </c>
      <c r="B273" s="45" t="str">
        <f>IF(Base!F271="","",Base!F271)</f>
        <v/>
      </c>
      <c r="C273" s="45" t="str">
        <f>IF(Base!I271="","",Base!I271)</f>
        <v/>
      </c>
      <c r="D273" s="46" t="str">
        <f>IF(Base!J271="","",Base!J271)</f>
        <v/>
      </c>
      <c r="E273" s="45" t="str">
        <f>IF(Base!H271="","",Base!H271)</f>
        <v/>
      </c>
    </row>
    <row r="274" spans="1:5">
      <c r="A274" s="45" t="str">
        <f>IF(Base!B272="","",Base!B272)</f>
        <v/>
      </c>
      <c r="B274" s="45" t="str">
        <f>IF(Base!F272="","",Base!F272)</f>
        <v/>
      </c>
      <c r="C274" s="45" t="str">
        <f>IF(Base!I272="","",Base!I272)</f>
        <v/>
      </c>
      <c r="D274" s="46" t="str">
        <f>IF(Base!J272="","",Base!J272)</f>
        <v/>
      </c>
      <c r="E274" s="45" t="str">
        <f>IF(Base!H272="","",Base!H272)</f>
        <v/>
      </c>
    </row>
    <row r="275" spans="1:5">
      <c r="A275" s="45" t="str">
        <f>IF(Base!B273="","",Base!B273)</f>
        <v/>
      </c>
      <c r="B275" s="45" t="str">
        <f>IF(Base!F273="","",Base!F273)</f>
        <v/>
      </c>
      <c r="C275" s="45" t="str">
        <f>IF(Base!I273="","",Base!I273)</f>
        <v/>
      </c>
      <c r="D275" s="46" t="str">
        <f>IF(Base!J273="","",Base!J273)</f>
        <v/>
      </c>
      <c r="E275" s="45" t="str">
        <f>IF(Base!H273="","",Base!H273)</f>
        <v/>
      </c>
    </row>
    <row r="276" spans="1:5">
      <c r="A276" s="45" t="str">
        <f>IF(Base!B274="","",Base!B274)</f>
        <v/>
      </c>
      <c r="B276" s="45" t="str">
        <f>IF(Base!F274="","",Base!F274)</f>
        <v/>
      </c>
      <c r="C276" s="45" t="str">
        <f>IF(Base!I274="","",Base!I274)</f>
        <v/>
      </c>
      <c r="D276" s="46" t="str">
        <f>IF(Base!J274="","",Base!J274)</f>
        <v/>
      </c>
      <c r="E276" s="45" t="str">
        <f>IF(Base!H274="","",Base!H274)</f>
        <v/>
      </c>
    </row>
    <row r="277" spans="1:5">
      <c r="A277" s="45" t="str">
        <f>IF(Base!B275="","",Base!B275)</f>
        <v/>
      </c>
      <c r="B277" s="45" t="str">
        <f>IF(Base!F275="","",Base!F275)</f>
        <v/>
      </c>
      <c r="C277" s="45" t="str">
        <f>IF(Base!I275="","",Base!I275)</f>
        <v/>
      </c>
      <c r="D277" s="46" t="str">
        <f>IF(Base!J275="","",Base!J275)</f>
        <v/>
      </c>
      <c r="E277" s="45" t="str">
        <f>IF(Base!H275="","",Base!H275)</f>
        <v/>
      </c>
    </row>
    <row r="278" spans="1:5">
      <c r="A278" s="45" t="str">
        <f>IF(Base!B276="","",Base!B276)</f>
        <v/>
      </c>
      <c r="B278" s="45" t="str">
        <f>IF(Base!F276="","",Base!F276)</f>
        <v/>
      </c>
      <c r="C278" s="45" t="str">
        <f>IF(Base!I276="","",Base!I276)</f>
        <v/>
      </c>
      <c r="D278" s="46" t="str">
        <f>IF(Base!J276="","",Base!J276)</f>
        <v/>
      </c>
      <c r="E278" s="45" t="str">
        <f>IF(Base!H276="","",Base!H276)</f>
        <v/>
      </c>
    </row>
    <row r="279" spans="1:5">
      <c r="A279" s="45" t="str">
        <f>IF(Base!B277="","",Base!B277)</f>
        <v/>
      </c>
      <c r="B279" s="45" t="str">
        <f>IF(Base!F277="","",Base!F277)</f>
        <v/>
      </c>
      <c r="C279" s="45" t="str">
        <f>IF(Base!I277="","",Base!I277)</f>
        <v/>
      </c>
      <c r="D279" s="46" t="str">
        <f>IF(Base!J277="","",Base!J277)</f>
        <v/>
      </c>
      <c r="E279" s="45" t="str">
        <f>IF(Base!H277="","",Base!H277)</f>
        <v/>
      </c>
    </row>
    <row r="280" spans="1:5">
      <c r="A280" s="45" t="str">
        <f>IF(Base!B278="","",Base!B278)</f>
        <v/>
      </c>
      <c r="B280" s="45" t="str">
        <f>IF(Base!F278="","",Base!F278)</f>
        <v/>
      </c>
      <c r="C280" s="45" t="str">
        <f>IF(Base!I278="","",Base!I278)</f>
        <v/>
      </c>
      <c r="D280" s="46" t="str">
        <f>IF(Base!J278="","",Base!J278)</f>
        <v/>
      </c>
      <c r="E280" s="45" t="str">
        <f>IF(Base!H278="","",Base!H278)</f>
        <v/>
      </c>
    </row>
    <row r="281" spans="1:5">
      <c r="A281" s="45" t="str">
        <f>IF(Base!B279="","",Base!B279)</f>
        <v/>
      </c>
      <c r="B281" s="45" t="str">
        <f>IF(Base!F279="","",Base!F279)</f>
        <v/>
      </c>
      <c r="C281" s="45" t="str">
        <f>IF(Base!I279="","",Base!I279)</f>
        <v/>
      </c>
      <c r="D281" s="46" t="str">
        <f>IF(Base!J279="","",Base!J279)</f>
        <v/>
      </c>
      <c r="E281" s="45" t="str">
        <f>IF(Base!H279="","",Base!H279)</f>
        <v/>
      </c>
    </row>
    <row r="282" spans="1:5">
      <c r="A282" s="45" t="str">
        <f>IF(Base!B280="","",Base!B280)</f>
        <v/>
      </c>
      <c r="B282" s="45" t="str">
        <f>IF(Base!F280="","",Base!F280)</f>
        <v/>
      </c>
      <c r="C282" s="45" t="str">
        <f>IF(Base!I280="","",Base!I280)</f>
        <v/>
      </c>
      <c r="D282" s="46" t="str">
        <f>IF(Base!J280="","",Base!J280)</f>
        <v/>
      </c>
      <c r="E282" s="45" t="str">
        <f>IF(Base!H280="","",Base!H280)</f>
        <v/>
      </c>
    </row>
    <row r="283" spans="1:5">
      <c r="A283" s="45" t="str">
        <f>IF(Base!B281="","",Base!B281)</f>
        <v/>
      </c>
      <c r="B283" s="45" t="str">
        <f>IF(Base!F281="","",Base!F281)</f>
        <v/>
      </c>
      <c r="C283" s="45" t="str">
        <f>IF(Base!I281="","",Base!I281)</f>
        <v/>
      </c>
      <c r="D283" s="46" t="str">
        <f>IF(Base!J281="","",Base!J281)</f>
        <v/>
      </c>
      <c r="E283" s="45" t="str">
        <f>IF(Base!H281="","",Base!H281)</f>
        <v/>
      </c>
    </row>
    <row r="284" spans="1:5">
      <c r="A284" s="45" t="str">
        <f>IF(Base!B282="","",Base!B282)</f>
        <v/>
      </c>
      <c r="B284" s="45" t="str">
        <f>IF(Base!F282="","",Base!F282)</f>
        <v/>
      </c>
      <c r="C284" s="45" t="str">
        <f>IF(Base!I282="","",Base!I282)</f>
        <v/>
      </c>
      <c r="D284" s="46" t="str">
        <f>IF(Base!J282="","",Base!J282)</f>
        <v/>
      </c>
      <c r="E284" s="45" t="str">
        <f>IF(Base!H282="","",Base!H282)</f>
        <v/>
      </c>
    </row>
    <row r="285" spans="1:5">
      <c r="A285" s="45" t="str">
        <f>IF(Base!B283="","",Base!B283)</f>
        <v/>
      </c>
      <c r="B285" s="45" t="str">
        <f>IF(Base!F283="","",Base!F283)</f>
        <v/>
      </c>
      <c r="C285" s="45" t="str">
        <f>IF(Base!I283="","",Base!I283)</f>
        <v/>
      </c>
      <c r="D285" s="46" t="str">
        <f>IF(Base!J283="","",Base!J283)</f>
        <v/>
      </c>
      <c r="E285" s="45" t="str">
        <f>IF(Base!H283="","",Base!H283)</f>
        <v/>
      </c>
    </row>
    <row r="286" spans="1:5">
      <c r="A286" s="45" t="str">
        <f>IF(Base!B284="","",Base!B284)</f>
        <v/>
      </c>
      <c r="B286" s="45" t="str">
        <f>IF(Base!F284="","",Base!F284)</f>
        <v/>
      </c>
      <c r="C286" s="45" t="str">
        <f>IF(Base!I284="","",Base!I284)</f>
        <v/>
      </c>
      <c r="D286" s="46" t="str">
        <f>IF(Base!J284="","",Base!J284)</f>
        <v/>
      </c>
      <c r="E286" s="45" t="str">
        <f>IF(Base!H284="","",Base!H284)</f>
        <v/>
      </c>
    </row>
    <row r="287" spans="1:5">
      <c r="A287" s="45" t="str">
        <f>IF(Base!B285="","",Base!B285)</f>
        <v/>
      </c>
      <c r="B287" s="45" t="str">
        <f>IF(Base!F285="","",Base!F285)</f>
        <v/>
      </c>
      <c r="C287" s="45" t="str">
        <f>IF(Base!I285="","",Base!I285)</f>
        <v/>
      </c>
      <c r="D287" s="46" t="str">
        <f>IF(Base!J285="","",Base!J285)</f>
        <v/>
      </c>
      <c r="E287" s="45" t="str">
        <f>IF(Base!H285="","",Base!H285)</f>
        <v/>
      </c>
    </row>
    <row r="288" spans="1:5">
      <c r="A288" s="45" t="str">
        <f>IF(Base!B286="","",Base!B286)</f>
        <v/>
      </c>
      <c r="B288" s="45" t="str">
        <f>IF(Base!F286="","",Base!F286)</f>
        <v/>
      </c>
      <c r="C288" s="45" t="str">
        <f>IF(Base!I286="","",Base!I286)</f>
        <v/>
      </c>
      <c r="D288" s="46" t="str">
        <f>IF(Base!J286="","",Base!J286)</f>
        <v/>
      </c>
      <c r="E288" s="45" t="str">
        <f>IF(Base!H286="","",Base!H286)</f>
        <v/>
      </c>
    </row>
    <row r="289" spans="1:5">
      <c r="A289" s="45" t="str">
        <f>IF(Base!B287="","",Base!B287)</f>
        <v/>
      </c>
      <c r="B289" s="45" t="str">
        <f>IF(Base!F287="","",Base!F287)</f>
        <v/>
      </c>
      <c r="C289" s="45" t="str">
        <f>IF(Base!I287="","",Base!I287)</f>
        <v/>
      </c>
      <c r="D289" s="46" t="str">
        <f>IF(Base!J287="","",Base!J287)</f>
        <v/>
      </c>
      <c r="E289" s="45" t="str">
        <f>IF(Base!H287="","",Base!H287)</f>
        <v/>
      </c>
    </row>
    <row r="290" spans="1:5">
      <c r="A290" s="45" t="str">
        <f>IF(Base!B288="","",Base!B288)</f>
        <v/>
      </c>
      <c r="B290" s="45" t="str">
        <f>IF(Base!F288="","",Base!F288)</f>
        <v/>
      </c>
      <c r="C290" s="45" t="str">
        <f>IF(Base!I288="","",Base!I288)</f>
        <v/>
      </c>
      <c r="D290" s="46" t="str">
        <f>IF(Base!J288="","",Base!J288)</f>
        <v/>
      </c>
      <c r="E290" s="45" t="str">
        <f>IF(Base!H288="","",Base!H288)</f>
        <v/>
      </c>
    </row>
    <row r="291" spans="1:5">
      <c r="A291" s="45" t="str">
        <f>IF(Base!B289="","",Base!B289)</f>
        <v/>
      </c>
      <c r="B291" s="45" t="str">
        <f>IF(Base!F289="","",Base!F289)</f>
        <v/>
      </c>
      <c r="C291" s="45" t="str">
        <f>IF(Base!I289="","",Base!I289)</f>
        <v/>
      </c>
      <c r="D291" s="46" t="str">
        <f>IF(Base!J289="","",Base!J289)</f>
        <v/>
      </c>
      <c r="E291" s="45" t="str">
        <f>IF(Base!H289="","",Base!H289)</f>
        <v/>
      </c>
    </row>
    <row r="292" spans="1:5">
      <c r="A292" s="45" t="str">
        <f>IF(Base!B290="","",Base!B290)</f>
        <v/>
      </c>
      <c r="B292" s="45" t="str">
        <f>IF(Base!F290="","",Base!F290)</f>
        <v/>
      </c>
      <c r="C292" s="45" t="str">
        <f>IF(Base!I290="","",Base!I290)</f>
        <v/>
      </c>
      <c r="D292" s="46" t="str">
        <f>IF(Base!J290="","",Base!J290)</f>
        <v/>
      </c>
      <c r="E292" s="45" t="str">
        <f>IF(Base!H290="","",Base!H290)</f>
        <v/>
      </c>
    </row>
    <row r="293" spans="1:5">
      <c r="A293" s="45" t="str">
        <f>IF(Base!B291="","",Base!B291)</f>
        <v/>
      </c>
      <c r="B293" s="45" t="str">
        <f>IF(Base!F291="","",Base!F291)</f>
        <v/>
      </c>
      <c r="C293" s="45" t="str">
        <f>IF(Base!I291="","",Base!I291)</f>
        <v/>
      </c>
      <c r="D293" s="46" t="str">
        <f>IF(Base!J291="","",Base!J291)</f>
        <v/>
      </c>
      <c r="E293" s="45" t="str">
        <f>IF(Base!H291="","",Base!H291)</f>
        <v/>
      </c>
    </row>
    <row r="294" spans="1:5">
      <c r="A294" s="45" t="str">
        <f>IF(Base!B292="","",Base!B292)</f>
        <v/>
      </c>
      <c r="B294" s="45" t="str">
        <f>IF(Base!F292="","",Base!F292)</f>
        <v/>
      </c>
      <c r="C294" s="45" t="str">
        <f>IF(Base!I292="","",Base!I292)</f>
        <v/>
      </c>
      <c r="D294" s="46" t="str">
        <f>IF(Base!J292="","",Base!J292)</f>
        <v/>
      </c>
      <c r="E294" s="45" t="str">
        <f>IF(Base!H292="","",Base!H292)</f>
        <v/>
      </c>
    </row>
    <row r="295" spans="1:5">
      <c r="A295" s="45" t="str">
        <f>IF(Base!B293="","",Base!B293)</f>
        <v/>
      </c>
      <c r="B295" s="45" t="str">
        <f>IF(Base!F293="","",Base!F293)</f>
        <v/>
      </c>
      <c r="C295" s="45" t="str">
        <f>IF(Base!I293="","",Base!I293)</f>
        <v/>
      </c>
      <c r="D295" s="46" t="str">
        <f>IF(Base!J293="","",Base!J293)</f>
        <v/>
      </c>
      <c r="E295" s="45" t="str">
        <f>IF(Base!H293="","",Base!H293)</f>
        <v/>
      </c>
    </row>
    <row r="296" spans="1:5">
      <c r="A296" s="45" t="str">
        <f>IF(Base!B294="","",Base!B294)</f>
        <v/>
      </c>
      <c r="B296" s="45" t="str">
        <f>IF(Base!F294="","",Base!F294)</f>
        <v/>
      </c>
      <c r="C296" s="45" t="str">
        <f>IF(Base!I294="","",Base!I294)</f>
        <v/>
      </c>
      <c r="D296" s="46" t="str">
        <f>IF(Base!J294="","",Base!J294)</f>
        <v/>
      </c>
      <c r="E296" s="45" t="str">
        <f>IF(Base!H294="","",Base!H294)</f>
        <v/>
      </c>
    </row>
    <row r="297" spans="1:5">
      <c r="A297" s="45" t="str">
        <f>IF(Base!B295="","",Base!B295)</f>
        <v/>
      </c>
      <c r="B297" s="45" t="str">
        <f>IF(Base!F295="","",Base!F295)</f>
        <v/>
      </c>
      <c r="C297" s="45" t="str">
        <f>IF(Base!I295="","",Base!I295)</f>
        <v/>
      </c>
      <c r="D297" s="46" t="str">
        <f>IF(Base!J295="","",Base!J295)</f>
        <v/>
      </c>
      <c r="E297" s="45" t="str">
        <f>IF(Base!H295="","",Base!H295)</f>
        <v/>
      </c>
    </row>
    <row r="298" spans="1:5">
      <c r="A298" s="45" t="str">
        <f>IF(Base!B296="","",Base!B296)</f>
        <v/>
      </c>
      <c r="B298" s="45" t="str">
        <f>IF(Base!F296="","",Base!F296)</f>
        <v/>
      </c>
      <c r="C298" s="45" t="str">
        <f>IF(Base!I296="","",Base!I296)</f>
        <v/>
      </c>
      <c r="D298" s="46" t="str">
        <f>IF(Base!J296="","",Base!J296)</f>
        <v/>
      </c>
      <c r="E298" s="45" t="str">
        <f>IF(Base!H296="","",Base!H296)</f>
        <v/>
      </c>
    </row>
    <row r="299" spans="1:5">
      <c r="A299" s="45" t="str">
        <f>IF(Base!B297="","",Base!B297)</f>
        <v/>
      </c>
      <c r="B299" s="45" t="str">
        <f>IF(Base!F297="","",Base!F297)</f>
        <v/>
      </c>
      <c r="C299" s="45" t="str">
        <f>IF(Base!I297="","",Base!I297)</f>
        <v/>
      </c>
      <c r="D299" s="46" t="str">
        <f>IF(Base!J297="","",Base!J297)</f>
        <v/>
      </c>
      <c r="E299" s="45" t="str">
        <f>IF(Base!H297="","",Base!H297)</f>
        <v/>
      </c>
    </row>
    <row r="300" spans="1:5">
      <c r="A300" s="45" t="str">
        <f>IF(Base!B298="","",Base!B298)</f>
        <v/>
      </c>
      <c r="B300" s="45" t="str">
        <f>IF(Base!F298="","",Base!F298)</f>
        <v/>
      </c>
      <c r="C300" s="45" t="str">
        <f>IF(Base!I298="","",Base!I298)</f>
        <v/>
      </c>
      <c r="D300" s="46" t="str">
        <f>IF(Base!J298="","",Base!J298)</f>
        <v/>
      </c>
      <c r="E300" s="45" t="str">
        <f>IF(Base!H298="","",Base!H298)</f>
        <v/>
      </c>
    </row>
    <row r="301" spans="1:5">
      <c r="A301" s="45" t="str">
        <f>IF(Base!B299="","",Base!B299)</f>
        <v/>
      </c>
      <c r="B301" s="45" t="str">
        <f>IF(Base!F299="","",Base!F299)</f>
        <v/>
      </c>
      <c r="C301" s="45" t="str">
        <f>IF(Base!I299="","",Base!I299)</f>
        <v/>
      </c>
      <c r="D301" s="46" t="str">
        <f>IF(Base!J299="","",Base!J299)</f>
        <v/>
      </c>
      <c r="E301" s="45" t="str">
        <f>IF(Base!H299="","",Base!H299)</f>
        <v/>
      </c>
    </row>
    <row r="302" spans="1:5">
      <c r="A302" s="45" t="str">
        <f>IF(Base!B300="","",Base!B300)</f>
        <v/>
      </c>
      <c r="B302" s="45" t="str">
        <f>IF(Base!F300="","",Base!F300)</f>
        <v/>
      </c>
      <c r="C302" s="45" t="str">
        <f>IF(Base!I300="","",Base!I300)</f>
        <v/>
      </c>
      <c r="D302" s="46" t="str">
        <f>IF(Base!J300="","",Base!J300)</f>
        <v/>
      </c>
      <c r="E302" s="45" t="str">
        <f>IF(Base!H300="","",Base!H300)</f>
        <v/>
      </c>
    </row>
    <row r="303" spans="1:5">
      <c r="A303" s="45" t="str">
        <f>IF(Base!B301="","",Base!B301)</f>
        <v/>
      </c>
      <c r="B303" s="45" t="str">
        <f>IF(Base!F301="","",Base!F301)</f>
        <v/>
      </c>
      <c r="C303" s="45" t="str">
        <f>IF(Base!I301="","",Base!I301)</f>
        <v/>
      </c>
      <c r="D303" s="46" t="str">
        <f>IF(Base!J301="","",Base!J301)</f>
        <v/>
      </c>
      <c r="E303" s="45" t="str">
        <f>IF(Base!H301="","",Base!H301)</f>
        <v/>
      </c>
    </row>
    <row r="304" spans="1:5">
      <c r="A304" s="45" t="str">
        <f>IF(Base!B302="","",Base!B302)</f>
        <v/>
      </c>
      <c r="B304" s="45" t="str">
        <f>IF(Base!F302="","",Base!F302)</f>
        <v/>
      </c>
      <c r="C304" s="45" t="str">
        <f>IF(Base!I302="","",Base!I302)</f>
        <v/>
      </c>
      <c r="D304" s="46" t="str">
        <f>IF(Base!J302="","",Base!J302)</f>
        <v/>
      </c>
      <c r="E304" s="45" t="str">
        <f>IF(Base!H302="","",Base!H302)</f>
        <v/>
      </c>
    </row>
    <row r="305" spans="1:5">
      <c r="A305" s="45" t="str">
        <f>IF(Base!B303="","",Base!B303)</f>
        <v/>
      </c>
      <c r="B305" s="45" t="str">
        <f>IF(Base!F303="","",Base!F303)</f>
        <v/>
      </c>
      <c r="C305" s="45" t="str">
        <f>IF(Base!I303="","",Base!I303)</f>
        <v/>
      </c>
      <c r="D305" s="46" t="str">
        <f>IF(Base!J303="","",Base!J303)</f>
        <v/>
      </c>
      <c r="E305" s="45" t="str">
        <f>IF(Base!H303="","",Base!H303)</f>
        <v/>
      </c>
    </row>
    <row r="306" spans="1:5">
      <c r="A306" s="45" t="str">
        <f>IF(Base!B304="","",Base!B304)</f>
        <v/>
      </c>
      <c r="B306" s="45" t="str">
        <f>IF(Base!F304="","",Base!F304)</f>
        <v/>
      </c>
      <c r="C306" s="45" t="str">
        <f>IF(Base!I304="","",Base!I304)</f>
        <v/>
      </c>
      <c r="D306" s="46" t="str">
        <f>IF(Base!J304="","",Base!J304)</f>
        <v/>
      </c>
      <c r="E306" s="45" t="str">
        <f>IF(Base!H304="","",Base!H304)</f>
        <v/>
      </c>
    </row>
    <row r="307" spans="1:5">
      <c r="A307" s="45" t="str">
        <f>IF(Base!B305="","",Base!B305)</f>
        <v/>
      </c>
      <c r="B307" s="45" t="str">
        <f>IF(Base!F305="","",Base!F305)</f>
        <v/>
      </c>
      <c r="C307" s="45" t="str">
        <f>IF(Base!I305="","",Base!I305)</f>
        <v/>
      </c>
      <c r="D307" s="46" t="str">
        <f>IF(Base!J305="","",Base!J305)</f>
        <v/>
      </c>
      <c r="E307" s="45" t="str">
        <f>IF(Base!H305="","",Base!H305)</f>
        <v/>
      </c>
    </row>
    <row r="308" spans="1:5">
      <c r="A308" s="45" t="str">
        <f>IF(Base!B306="","",Base!B306)</f>
        <v/>
      </c>
      <c r="B308" s="45" t="str">
        <f>IF(Base!F306="","",Base!F306)</f>
        <v/>
      </c>
      <c r="C308" s="45" t="str">
        <f>IF(Base!I306="","",Base!I306)</f>
        <v/>
      </c>
      <c r="D308" s="46" t="str">
        <f>IF(Base!J306="","",Base!J306)</f>
        <v/>
      </c>
      <c r="E308" s="45" t="str">
        <f>IF(Base!H306="","",Base!H306)</f>
        <v/>
      </c>
    </row>
    <row r="309" spans="1:5">
      <c r="A309" s="45" t="str">
        <f>IF(Base!B307="","",Base!B307)</f>
        <v/>
      </c>
      <c r="B309" s="45" t="str">
        <f>IF(Base!F307="","",Base!F307)</f>
        <v/>
      </c>
      <c r="C309" s="45" t="str">
        <f>IF(Base!I307="","",Base!I307)</f>
        <v/>
      </c>
      <c r="D309" s="46" t="str">
        <f>IF(Base!J307="","",Base!J307)</f>
        <v/>
      </c>
      <c r="E309" s="45" t="str">
        <f>IF(Base!H307="","",Base!H307)</f>
        <v/>
      </c>
    </row>
    <row r="310" spans="1:5">
      <c r="A310" s="45" t="str">
        <f>IF(Base!B308="","",Base!B308)</f>
        <v/>
      </c>
      <c r="B310" s="45" t="str">
        <f>IF(Base!F308="","",Base!F308)</f>
        <v/>
      </c>
      <c r="C310" s="45" t="str">
        <f>IF(Base!I308="","",Base!I308)</f>
        <v/>
      </c>
      <c r="D310" s="46" t="str">
        <f>IF(Base!J308="","",Base!J308)</f>
        <v/>
      </c>
      <c r="E310" s="45" t="str">
        <f>IF(Base!H308="","",Base!H308)</f>
        <v/>
      </c>
    </row>
    <row r="311" spans="1:5">
      <c r="A311" s="45" t="str">
        <f>IF(Base!B309="","",Base!B309)</f>
        <v/>
      </c>
      <c r="B311" s="45" t="str">
        <f>IF(Base!F309="","",Base!F309)</f>
        <v/>
      </c>
      <c r="C311" s="45" t="str">
        <f>IF(Base!I309="","",Base!I309)</f>
        <v/>
      </c>
      <c r="D311" s="46" t="str">
        <f>IF(Base!J309="","",Base!J309)</f>
        <v/>
      </c>
      <c r="E311" s="45" t="str">
        <f>IF(Base!H309="","",Base!H309)</f>
        <v/>
      </c>
    </row>
    <row r="312" spans="1:5">
      <c r="A312" s="45" t="str">
        <f>IF(Base!B310="","",Base!B310)</f>
        <v/>
      </c>
      <c r="B312" s="45" t="str">
        <f>IF(Base!F310="","",Base!F310)</f>
        <v/>
      </c>
      <c r="C312" s="45" t="str">
        <f>IF(Base!I310="","",Base!I310)</f>
        <v/>
      </c>
      <c r="D312" s="46" t="str">
        <f>IF(Base!J310="","",Base!J310)</f>
        <v/>
      </c>
      <c r="E312" s="45" t="str">
        <f>IF(Base!H310="","",Base!H310)</f>
        <v/>
      </c>
    </row>
    <row r="313" spans="1:5">
      <c r="A313" s="45" t="str">
        <f>IF(Base!B311="","",Base!B311)</f>
        <v/>
      </c>
      <c r="B313" s="45" t="str">
        <f>IF(Base!F311="","",Base!F311)</f>
        <v/>
      </c>
      <c r="C313" s="45" t="str">
        <f>IF(Base!I311="","",Base!I311)</f>
        <v/>
      </c>
      <c r="D313" s="46" t="str">
        <f>IF(Base!J311="","",Base!J311)</f>
        <v/>
      </c>
      <c r="E313" s="45" t="str">
        <f>IF(Base!H311="","",Base!H311)</f>
        <v/>
      </c>
    </row>
    <row r="314" spans="1:5">
      <c r="A314" s="45" t="str">
        <f>IF(Base!B312="","",Base!B312)</f>
        <v/>
      </c>
      <c r="B314" s="45" t="str">
        <f>IF(Base!F312="","",Base!F312)</f>
        <v/>
      </c>
      <c r="C314" s="45" t="str">
        <f>IF(Base!I312="","",Base!I312)</f>
        <v/>
      </c>
      <c r="D314" s="46" t="str">
        <f>IF(Base!J312="","",Base!J312)</f>
        <v/>
      </c>
      <c r="E314" s="45" t="str">
        <f>IF(Base!H312="","",Base!H312)</f>
        <v/>
      </c>
    </row>
    <row r="315" spans="1:5">
      <c r="A315" s="45" t="str">
        <f>IF(Base!B313="","",Base!B313)</f>
        <v/>
      </c>
      <c r="B315" s="45" t="str">
        <f>IF(Base!F313="","",Base!F313)</f>
        <v/>
      </c>
      <c r="C315" s="45" t="str">
        <f>IF(Base!I313="","",Base!I313)</f>
        <v/>
      </c>
      <c r="D315" s="46" t="str">
        <f>IF(Base!J313="","",Base!J313)</f>
        <v/>
      </c>
      <c r="E315" s="45" t="str">
        <f>IF(Base!H313="","",Base!H313)</f>
        <v/>
      </c>
    </row>
    <row r="316" spans="1:5">
      <c r="A316" s="45" t="str">
        <f>IF(Base!B314="","",Base!B314)</f>
        <v/>
      </c>
      <c r="B316" s="45" t="str">
        <f>IF(Base!F314="","",Base!F314)</f>
        <v/>
      </c>
      <c r="C316" s="45" t="str">
        <f>IF(Base!I314="","",Base!I314)</f>
        <v/>
      </c>
      <c r="D316" s="46" t="str">
        <f>IF(Base!J314="","",Base!J314)</f>
        <v/>
      </c>
      <c r="E316" s="45" t="str">
        <f>IF(Base!H314="","",Base!H314)</f>
        <v/>
      </c>
    </row>
    <row r="317" spans="1:5">
      <c r="A317" s="45" t="str">
        <f>IF(Base!B315="","",Base!B315)</f>
        <v/>
      </c>
      <c r="B317" s="45" t="str">
        <f>IF(Base!F315="","",Base!F315)</f>
        <v/>
      </c>
      <c r="C317" s="45" t="str">
        <f>IF(Base!I315="","",Base!I315)</f>
        <v/>
      </c>
      <c r="D317" s="46" t="str">
        <f>IF(Base!J315="","",Base!J315)</f>
        <v/>
      </c>
      <c r="E317" s="45" t="str">
        <f>IF(Base!H315="","",Base!H315)</f>
        <v/>
      </c>
    </row>
    <row r="318" spans="1:5">
      <c r="A318" s="45" t="str">
        <f>IF(Base!B316="","",Base!B316)</f>
        <v/>
      </c>
      <c r="B318" s="45" t="str">
        <f>IF(Base!F316="","",Base!F316)</f>
        <v/>
      </c>
      <c r="C318" s="45" t="str">
        <f>IF(Base!I316="","",Base!I316)</f>
        <v/>
      </c>
      <c r="D318" s="46" t="str">
        <f>IF(Base!J316="","",Base!J316)</f>
        <v/>
      </c>
      <c r="E318" s="45" t="str">
        <f>IF(Base!H316="","",Base!H316)</f>
        <v/>
      </c>
    </row>
    <row r="319" spans="1:5">
      <c r="A319" s="45" t="str">
        <f>IF(Base!B317="","",Base!B317)</f>
        <v/>
      </c>
      <c r="B319" s="45" t="str">
        <f>IF(Base!F317="","",Base!F317)</f>
        <v/>
      </c>
      <c r="C319" s="45" t="str">
        <f>IF(Base!I317="","",Base!I317)</f>
        <v/>
      </c>
      <c r="D319" s="46" t="str">
        <f>IF(Base!J317="","",Base!J317)</f>
        <v/>
      </c>
      <c r="E319" s="45" t="str">
        <f>IF(Base!H317="","",Base!H317)</f>
        <v/>
      </c>
    </row>
    <row r="320" spans="1:5">
      <c r="A320" s="45" t="str">
        <f>IF(Base!B318="","",Base!B318)</f>
        <v/>
      </c>
      <c r="B320" s="45" t="str">
        <f>IF(Base!F318="","",Base!F318)</f>
        <v/>
      </c>
      <c r="C320" s="45" t="str">
        <f>IF(Base!I318="","",Base!I318)</f>
        <v/>
      </c>
      <c r="D320" s="46" t="str">
        <f>IF(Base!J318="","",Base!J318)</f>
        <v/>
      </c>
      <c r="E320" s="45" t="str">
        <f>IF(Base!H318="","",Base!H318)</f>
        <v/>
      </c>
    </row>
    <row r="321" spans="1:5">
      <c r="A321" s="45" t="str">
        <f>IF(Base!B319="","",Base!B319)</f>
        <v/>
      </c>
      <c r="B321" s="45" t="str">
        <f>IF(Base!F319="","",Base!F319)</f>
        <v/>
      </c>
      <c r="C321" s="45" t="str">
        <f>IF(Base!I319="","",Base!I319)</f>
        <v/>
      </c>
      <c r="D321" s="46" t="str">
        <f>IF(Base!J319="","",Base!J319)</f>
        <v/>
      </c>
      <c r="E321" s="45" t="str">
        <f>IF(Base!H319="","",Base!H319)</f>
        <v/>
      </c>
    </row>
    <row r="322" spans="1:5">
      <c r="A322" s="45" t="str">
        <f>IF(Base!B320="","",Base!B320)</f>
        <v/>
      </c>
      <c r="B322" s="45" t="str">
        <f>IF(Base!F320="","",Base!F320)</f>
        <v/>
      </c>
      <c r="C322" s="45" t="str">
        <f>IF(Base!I320="","",Base!I320)</f>
        <v/>
      </c>
      <c r="D322" s="46" t="str">
        <f>IF(Base!J320="","",Base!J320)</f>
        <v/>
      </c>
      <c r="E322" s="45" t="str">
        <f>IF(Base!H320="","",Base!H320)</f>
        <v/>
      </c>
    </row>
    <row r="323" spans="1:5">
      <c r="A323" s="45" t="str">
        <f>IF(Base!B321="","",Base!B321)</f>
        <v/>
      </c>
      <c r="B323" s="45" t="str">
        <f>IF(Base!F321="","",Base!F321)</f>
        <v/>
      </c>
      <c r="C323" s="45" t="str">
        <f>IF(Base!I321="","",Base!I321)</f>
        <v/>
      </c>
      <c r="D323" s="46" t="str">
        <f>IF(Base!J321="","",Base!J321)</f>
        <v/>
      </c>
      <c r="E323" s="45" t="str">
        <f>IF(Base!H321="","",Base!H321)</f>
        <v/>
      </c>
    </row>
    <row r="324" spans="1:5">
      <c r="A324" s="45" t="str">
        <f>IF(Base!B322="","",Base!B322)</f>
        <v/>
      </c>
      <c r="B324" s="45" t="str">
        <f>IF(Base!F322="","",Base!F322)</f>
        <v/>
      </c>
      <c r="C324" s="45" t="str">
        <f>IF(Base!I322="","",Base!I322)</f>
        <v/>
      </c>
      <c r="D324" s="46" t="str">
        <f>IF(Base!J322="","",Base!J322)</f>
        <v/>
      </c>
      <c r="E324" s="45" t="str">
        <f>IF(Base!H322="","",Base!H322)</f>
        <v/>
      </c>
    </row>
    <row r="325" spans="1:5">
      <c r="A325" s="45" t="str">
        <f>IF(Base!B323="","",Base!B323)</f>
        <v/>
      </c>
      <c r="B325" s="45" t="str">
        <f>IF(Base!F323="","",Base!F323)</f>
        <v/>
      </c>
      <c r="C325" s="45" t="str">
        <f>IF(Base!I323="","",Base!I323)</f>
        <v/>
      </c>
      <c r="D325" s="46" t="str">
        <f>IF(Base!J323="","",Base!J323)</f>
        <v/>
      </c>
      <c r="E325" s="45" t="str">
        <f>IF(Base!H323="","",Base!H323)</f>
        <v/>
      </c>
    </row>
    <row r="326" spans="1:5">
      <c r="A326" s="45" t="str">
        <f>IF(Base!B324="","",Base!B324)</f>
        <v/>
      </c>
      <c r="B326" s="45" t="str">
        <f>IF(Base!F324="","",Base!F324)</f>
        <v/>
      </c>
      <c r="C326" s="45" t="str">
        <f>IF(Base!I324="","",Base!I324)</f>
        <v/>
      </c>
      <c r="D326" s="46" t="str">
        <f>IF(Base!J324="","",Base!J324)</f>
        <v/>
      </c>
      <c r="E326" s="45" t="str">
        <f>IF(Base!H324="","",Base!H324)</f>
        <v/>
      </c>
    </row>
    <row r="327" spans="1:5">
      <c r="A327" s="45" t="str">
        <f>IF(Base!B325="","",Base!B325)</f>
        <v/>
      </c>
      <c r="B327" s="45" t="str">
        <f>IF(Base!F325="","",Base!F325)</f>
        <v/>
      </c>
      <c r="C327" s="45" t="str">
        <f>IF(Base!I325="","",Base!I325)</f>
        <v/>
      </c>
      <c r="D327" s="46" t="str">
        <f>IF(Base!J325="","",Base!J325)</f>
        <v/>
      </c>
      <c r="E327" s="45" t="str">
        <f>IF(Base!H325="","",Base!H325)</f>
        <v/>
      </c>
    </row>
    <row r="328" spans="1:5">
      <c r="A328" s="45" t="str">
        <f>IF(Base!B326="","",Base!B326)</f>
        <v/>
      </c>
      <c r="B328" s="45" t="str">
        <f>IF(Base!F326="","",Base!F326)</f>
        <v/>
      </c>
      <c r="C328" s="45" t="str">
        <f>IF(Base!I326="","",Base!I326)</f>
        <v/>
      </c>
      <c r="D328" s="46" t="str">
        <f>IF(Base!J326="","",Base!J326)</f>
        <v/>
      </c>
      <c r="E328" s="45" t="str">
        <f>IF(Base!H326="","",Base!H326)</f>
        <v/>
      </c>
    </row>
    <row r="329" spans="1:5">
      <c r="A329" s="45" t="str">
        <f>IF(Base!B327="","",Base!B327)</f>
        <v/>
      </c>
      <c r="B329" s="45" t="str">
        <f>IF(Base!F327="","",Base!F327)</f>
        <v/>
      </c>
      <c r="C329" s="45" t="str">
        <f>IF(Base!I327="","",Base!I327)</f>
        <v/>
      </c>
      <c r="D329" s="46" t="str">
        <f>IF(Base!J327="","",Base!J327)</f>
        <v/>
      </c>
      <c r="E329" s="45" t="str">
        <f>IF(Base!H327="","",Base!H327)</f>
        <v/>
      </c>
    </row>
    <row r="330" spans="1:5">
      <c r="A330" s="45" t="str">
        <f>IF(Base!B328="","",Base!B328)</f>
        <v/>
      </c>
      <c r="B330" s="45" t="str">
        <f>IF(Base!F328="","",Base!F328)</f>
        <v/>
      </c>
      <c r="C330" s="45" t="str">
        <f>IF(Base!I328="","",Base!I328)</f>
        <v/>
      </c>
      <c r="D330" s="46" t="str">
        <f>IF(Base!J328="","",Base!J328)</f>
        <v/>
      </c>
      <c r="E330" s="45" t="str">
        <f>IF(Base!H328="","",Base!H328)</f>
        <v/>
      </c>
    </row>
    <row r="331" spans="1:5">
      <c r="A331" s="45" t="str">
        <f>IF(Base!B329="","",Base!B329)</f>
        <v/>
      </c>
      <c r="B331" s="45" t="str">
        <f>IF(Base!F329="","",Base!F329)</f>
        <v/>
      </c>
      <c r="C331" s="45" t="str">
        <f>IF(Base!I329="","",Base!I329)</f>
        <v/>
      </c>
      <c r="D331" s="46" t="str">
        <f>IF(Base!J329="","",Base!J329)</f>
        <v/>
      </c>
      <c r="E331" s="45" t="str">
        <f>IF(Base!H329="","",Base!H329)</f>
        <v/>
      </c>
    </row>
    <row r="332" spans="1:5">
      <c r="A332" s="45" t="str">
        <f>IF(Base!B330="","",Base!B330)</f>
        <v/>
      </c>
      <c r="B332" s="45" t="str">
        <f>IF(Base!F330="","",Base!F330)</f>
        <v/>
      </c>
      <c r="C332" s="45" t="str">
        <f>IF(Base!I330="","",Base!I330)</f>
        <v/>
      </c>
      <c r="D332" s="46" t="str">
        <f>IF(Base!J330="","",Base!J330)</f>
        <v/>
      </c>
      <c r="E332" s="45" t="str">
        <f>IF(Base!H330="","",Base!H330)</f>
        <v/>
      </c>
    </row>
    <row r="333" spans="1:5">
      <c r="A333" s="45" t="str">
        <f>IF(Base!B331="","",Base!B331)</f>
        <v/>
      </c>
      <c r="B333" s="45" t="str">
        <f>IF(Base!F331="","",Base!F331)</f>
        <v/>
      </c>
      <c r="C333" s="45" t="str">
        <f>IF(Base!I331="","",Base!I331)</f>
        <v/>
      </c>
      <c r="D333" s="46" t="str">
        <f>IF(Base!J331="","",Base!J331)</f>
        <v/>
      </c>
      <c r="E333" s="45" t="str">
        <f>IF(Base!H331="","",Base!H331)</f>
        <v/>
      </c>
    </row>
    <row r="334" spans="1:5">
      <c r="A334" s="45" t="str">
        <f>IF(Base!B332="","",Base!B332)</f>
        <v/>
      </c>
      <c r="B334" s="45" t="str">
        <f>IF(Base!F332="","",Base!F332)</f>
        <v/>
      </c>
      <c r="C334" s="45" t="str">
        <f>IF(Base!I332="","",Base!I332)</f>
        <v/>
      </c>
      <c r="D334" s="46" t="str">
        <f>IF(Base!J332="","",Base!J332)</f>
        <v/>
      </c>
      <c r="E334" s="45" t="str">
        <f>IF(Base!H332="","",Base!H332)</f>
        <v/>
      </c>
    </row>
    <row r="335" spans="1:5">
      <c r="A335" s="45" t="str">
        <f>IF(Base!B333="","",Base!B333)</f>
        <v/>
      </c>
      <c r="B335" s="45" t="str">
        <f>IF(Base!F333="","",Base!F333)</f>
        <v/>
      </c>
      <c r="C335" s="45" t="str">
        <f>IF(Base!I333="","",Base!I333)</f>
        <v/>
      </c>
      <c r="D335" s="46" t="str">
        <f>IF(Base!J333="","",Base!J333)</f>
        <v/>
      </c>
      <c r="E335" s="45" t="str">
        <f>IF(Base!H333="","",Base!H333)</f>
        <v/>
      </c>
    </row>
    <row r="336" spans="1:5">
      <c r="A336" s="45" t="str">
        <f>IF(Base!B334="","",Base!B334)</f>
        <v/>
      </c>
      <c r="B336" s="45" t="str">
        <f>IF(Base!F334="","",Base!F334)</f>
        <v/>
      </c>
      <c r="C336" s="45" t="str">
        <f>IF(Base!I334="","",Base!I334)</f>
        <v/>
      </c>
      <c r="D336" s="46" t="str">
        <f>IF(Base!J334="","",Base!J334)</f>
        <v/>
      </c>
      <c r="E336" s="45" t="str">
        <f>IF(Base!H334="","",Base!H334)</f>
        <v/>
      </c>
    </row>
    <row r="337" spans="1:5">
      <c r="A337" s="45" t="str">
        <f>IF(Base!B335="","",Base!B335)</f>
        <v/>
      </c>
      <c r="B337" s="45" t="str">
        <f>IF(Base!F335="","",Base!F335)</f>
        <v/>
      </c>
      <c r="C337" s="45" t="str">
        <f>IF(Base!I335="","",Base!I335)</f>
        <v/>
      </c>
      <c r="D337" s="46" t="str">
        <f>IF(Base!J335="","",Base!J335)</f>
        <v/>
      </c>
      <c r="E337" s="45" t="str">
        <f>IF(Base!H335="","",Base!H335)</f>
        <v/>
      </c>
    </row>
    <row r="338" spans="1:5">
      <c r="A338" s="45" t="str">
        <f>IF(Base!B336="","",Base!B336)</f>
        <v/>
      </c>
      <c r="B338" s="45" t="str">
        <f>IF(Base!F336="","",Base!F336)</f>
        <v/>
      </c>
      <c r="C338" s="45" t="str">
        <f>IF(Base!I336="","",Base!I336)</f>
        <v/>
      </c>
      <c r="D338" s="46" t="str">
        <f>IF(Base!J336="","",Base!J336)</f>
        <v/>
      </c>
      <c r="E338" s="45" t="str">
        <f>IF(Base!H336="","",Base!H336)</f>
        <v/>
      </c>
    </row>
    <row r="339" spans="1:5">
      <c r="A339" s="45" t="str">
        <f>IF(Base!B337="","",Base!B337)</f>
        <v/>
      </c>
      <c r="B339" s="45" t="str">
        <f>IF(Base!F337="","",Base!F337)</f>
        <v/>
      </c>
      <c r="C339" s="45" t="str">
        <f>IF(Base!I337="","",Base!I337)</f>
        <v/>
      </c>
      <c r="D339" s="46" t="str">
        <f>IF(Base!J337="","",Base!J337)</f>
        <v/>
      </c>
      <c r="E339" s="45" t="str">
        <f>IF(Base!H337="","",Base!H337)</f>
        <v/>
      </c>
    </row>
    <row r="340" spans="1:5">
      <c r="A340" s="45" t="str">
        <f>IF(Base!B338="","",Base!B338)</f>
        <v/>
      </c>
      <c r="B340" s="45" t="str">
        <f>IF(Base!F338="","",Base!F338)</f>
        <v/>
      </c>
      <c r="C340" s="45" t="str">
        <f>IF(Base!I338="","",Base!I338)</f>
        <v/>
      </c>
      <c r="D340" s="46" t="str">
        <f>IF(Base!J338="","",Base!J338)</f>
        <v/>
      </c>
      <c r="E340" s="45" t="str">
        <f>IF(Base!H338="","",Base!H338)</f>
        <v/>
      </c>
    </row>
    <row r="341" spans="1:5">
      <c r="A341" s="45" t="str">
        <f>IF(Base!B339="","",Base!B339)</f>
        <v/>
      </c>
      <c r="B341" s="45" t="str">
        <f>IF(Base!F339="","",Base!F339)</f>
        <v/>
      </c>
      <c r="C341" s="45" t="str">
        <f>IF(Base!I339="","",Base!I339)</f>
        <v/>
      </c>
      <c r="D341" s="46" t="str">
        <f>IF(Base!J339="","",Base!J339)</f>
        <v/>
      </c>
      <c r="E341" s="45" t="str">
        <f>IF(Base!H339="","",Base!H339)</f>
        <v/>
      </c>
    </row>
    <row r="342" spans="1:5">
      <c r="A342" s="45" t="str">
        <f>IF(Base!B340="","",Base!B340)</f>
        <v/>
      </c>
      <c r="B342" s="45" t="str">
        <f>IF(Base!F340="","",Base!F340)</f>
        <v/>
      </c>
      <c r="C342" s="45" t="str">
        <f>IF(Base!I340="","",Base!I340)</f>
        <v/>
      </c>
      <c r="D342" s="46" t="str">
        <f>IF(Base!J340="","",Base!J340)</f>
        <v/>
      </c>
      <c r="E342" s="45" t="str">
        <f>IF(Base!H340="","",Base!H340)</f>
        <v/>
      </c>
    </row>
    <row r="343" spans="1:5">
      <c r="A343" s="45" t="str">
        <f>IF(Base!B341="","",Base!B341)</f>
        <v/>
      </c>
      <c r="B343" s="45" t="str">
        <f>IF(Base!F341="","",Base!F341)</f>
        <v/>
      </c>
      <c r="C343" s="45" t="str">
        <f>IF(Base!I341="","",Base!I341)</f>
        <v/>
      </c>
      <c r="D343" s="46" t="str">
        <f>IF(Base!J341="","",Base!J341)</f>
        <v/>
      </c>
      <c r="E343" s="45" t="str">
        <f>IF(Base!H341="","",Base!H341)</f>
        <v/>
      </c>
    </row>
    <row r="344" spans="1:5">
      <c r="A344" s="45" t="str">
        <f>IF(Base!B342="","",Base!B342)</f>
        <v/>
      </c>
      <c r="B344" s="45" t="str">
        <f>IF(Base!F342="","",Base!F342)</f>
        <v/>
      </c>
      <c r="C344" s="45" t="str">
        <f>IF(Base!I342="","",Base!I342)</f>
        <v/>
      </c>
      <c r="D344" s="46" t="str">
        <f>IF(Base!J342="","",Base!J342)</f>
        <v/>
      </c>
      <c r="E344" s="45" t="str">
        <f>IF(Base!H342="","",Base!H342)</f>
        <v/>
      </c>
    </row>
    <row r="345" spans="1:5">
      <c r="A345" s="45" t="str">
        <f>IF(Base!B343="","",Base!B343)</f>
        <v/>
      </c>
      <c r="B345" s="45" t="str">
        <f>IF(Base!F343="","",Base!F343)</f>
        <v/>
      </c>
      <c r="C345" s="45" t="str">
        <f>IF(Base!I343="","",Base!I343)</f>
        <v/>
      </c>
      <c r="D345" s="46" t="str">
        <f>IF(Base!J343="","",Base!J343)</f>
        <v/>
      </c>
      <c r="E345" s="45" t="str">
        <f>IF(Base!H343="","",Base!H343)</f>
        <v/>
      </c>
    </row>
    <row r="346" spans="1:5">
      <c r="A346" s="45" t="str">
        <f>IF(Base!B344="","",Base!B344)</f>
        <v/>
      </c>
      <c r="B346" s="45" t="str">
        <f>IF(Base!F344="","",Base!F344)</f>
        <v/>
      </c>
      <c r="C346" s="45" t="str">
        <f>IF(Base!I344="","",Base!I344)</f>
        <v/>
      </c>
      <c r="D346" s="46" t="str">
        <f>IF(Base!J344="","",Base!J344)</f>
        <v/>
      </c>
      <c r="E346" s="45" t="str">
        <f>IF(Base!H344="","",Base!H344)</f>
        <v/>
      </c>
    </row>
    <row r="347" spans="1:5">
      <c r="A347" s="45" t="str">
        <f>IF(Base!B345="","",Base!B345)</f>
        <v/>
      </c>
      <c r="B347" s="45" t="str">
        <f>IF(Base!F345="","",Base!F345)</f>
        <v/>
      </c>
      <c r="C347" s="45" t="str">
        <f>IF(Base!I345="","",Base!I345)</f>
        <v/>
      </c>
      <c r="D347" s="46" t="str">
        <f>IF(Base!J345="","",Base!J345)</f>
        <v/>
      </c>
      <c r="E347" s="45" t="str">
        <f>IF(Base!H345="","",Base!H345)</f>
        <v/>
      </c>
    </row>
    <row r="348" spans="1:5">
      <c r="A348" s="45" t="str">
        <f>IF(Base!B346="","",Base!B346)</f>
        <v/>
      </c>
      <c r="B348" s="45" t="str">
        <f>IF(Base!F346="","",Base!F346)</f>
        <v/>
      </c>
      <c r="C348" s="45" t="str">
        <f>IF(Base!I346="","",Base!I346)</f>
        <v/>
      </c>
      <c r="D348" s="46" t="str">
        <f>IF(Base!J346="","",Base!J346)</f>
        <v/>
      </c>
      <c r="E348" s="45" t="str">
        <f>IF(Base!H346="","",Base!H346)</f>
        <v/>
      </c>
    </row>
    <row r="349" spans="1:5">
      <c r="A349" s="45" t="str">
        <f>IF(Base!B347="","",Base!B347)</f>
        <v/>
      </c>
      <c r="B349" s="45" t="str">
        <f>IF(Base!F347="","",Base!F347)</f>
        <v/>
      </c>
      <c r="C349" s="45" t="str">
        <f>IF(Base!I347="","",Base!I347)</f>
        <v/>
      </c>
      <c r="D349" s="46" t="str">
        <f>IF(Base!J347="","",Base!J347)</f>
        <v/>
      </c>
      <c r="E349" s="45" t="str">
        <f>IF(Base!H347="","",Base!H347)</f>
        <v/>
      </c>
    </row>
    <row r="350" spans="1:5">
      <c r="A350" s="45" t="str">
        <f>IF(Base!B348="","",Base!B348)</f>
        <v/>
      </c>
      <c r="B350" s="45" t="str">
        <f>IF(Base!F348="","",Base!F348)</f>
        <v/>
      </c>
      <c r="C350" s="45" t="str">
        <f>IF(Base!I348="","",Base!I348)</f>
        <v/>
      </c>
      <c r="D350" s="46" t="str">
        <f>IF(Base!J348="","",Base!J348)</f>
        <v/>
      </c>
      <c r="E350" s="45" t="str">
        <f>IF(Base!H348="","",Base!H348)</f>
        <v/>
      </c>
    </row>
    <row r="351" spans="1:5">
      <c r="A351" s="45" t="str">
        <f>IF(Base!B349="","",Base!B349)</f>
        <v/>
      </c>
      <c r="B351" s="45" t="str">
        <f>IF(Base!F349="","",Base!F349)</f>
        <v/>
      </c>
      <c r="C351" s="45" t="str">
        <f>IF(Base!I349="","",Base!I349)</f>
        <v/>
      </c>
      <c r="D351" s="46" t="str">
        <f>IF(Base!J349="","",Base!J349)</f>
        <v/>
      </c>
      <c r="E351" s="45" t="str">
        <f>IF(Base!H349="","",Base!H349)</f>
        <v/>
      </c>
    </row>
    <row r="352" spans="1:5">
      <c r="A352" s="45" t="str">
        <f>IF(Base!B350="","",Base!B350)</f>
        <v/>
      </c>
      <c r="B352" s="45" t="str">
        <f>IF(Base!F350="","",Base!F350)</f>
        <v/>
      </c>
      <c r="C352" s="45" t="str">
        <f>IF(Base!I350="","",Base!I350)</f>
        <v/>
      </c>
      <c r="D352" s="46" t="str">
        <f>IF(Base!J350="","",Base!J350)</f>
        <v/>
      </c>
      <c r="E352" s="45" t="str">
        <f>IF(Base!H350="","",Base!H350)</f>
        <v/>
      </c>
    </row>
    <row r="353" spans="1:5">
      <c r="A353" s="45" t="str">
        <f>IF(Base!B351="","",Base!B351)</f>
        <v/>
      </c>
      <c r="B353" s="45" t="str">
        <f>IF(Base!F351="","",Base!F351)</f>
        <v/>
      </c>
      <c r="C353" s="45" t="str">
        <f>IF(Base!I351="","",Base!I351)</f>
        <v/>
      </c>
      <c r="D353" s="46" t="str">
        <f>IF(Base!J351="","",Base!J351)</f>
        <v/>
      </c>
      <c r="E353" s="45" t="str">
        <f>IF(Base!H351="","",Base!H351)</f>
        <v/>
      </c>
    </row>
    <row r="354" spans="1:5">
      <c r="A354" s="45" t="str">
        <f>IF(Base!B352="","",Base!B352)</f>
        <v/>
      </c>
      <c r="B354" s="45" t="str">
        <f>IF(Base!F352="","",Base!F352)</f>
        <v/>
      </c>
      <c r="C354" s="45" t="str">
        <f>IF(Base!I352="","",Base!I352)</f>
        <v/>
      </c>
      <c r="D354" s="46" t="str">
        <f>IF(Base!J352="","",Base!J352)</f>
        <v/>
      </c>
      <c r="E354" s="45" t="str">
        <f>IF(Base!H352="","",Base!H352)</f>
        <v/>
      </c>
    </row>
    <row r="355" spans="1:5">
      <c r="A355" s="45" t="str">
        <f>IF(Base!B353="","",Base!B353)</f>
        <v/>
      </c>
      <c r="B355" s="45" t="str">
        <f>IF(Base!F353="","",Base!F353)</f>
        <v/>
      </c>
      <c r="C355" s="45" t="str">
        <f>IF(Base!I353="","",Base!I353)</f>
        <v/>
      </c>
      <c r="D355" s="46" t="str">
        <f>IF(Base!J353="","",Base!J353)</f>
        <v/>
      </c>
      <c r="E355" s="45" t="str">
        <f>IF(Base!H353="","",Base!H353)</f>
        <v/>
      </c>
    </row>
    <row r="356" spans="1:5">
      <c r="A356" s="45" t="str">
        <f>IF(Base!B354="","",Base!B354)</f>
        <v/>
      </c>
      <c r="B356" s="45" t="str">
        <f>IF(Base!F354="","",Base!F354)</f>
        <v/>
      </c>
      <c r="C356" s="45" t="str">
        <f>IF(Base!I354="","",Base!I354)</f>
        <v/>
      </c>
      <c r="D356" s="46" t="str">
        <f>IF(Base!J354="","",Base!J354)</f>
        <v/>
      </c>
      <c r="E356" s="45" t="str">
        <f>IF(Base!H354="","",Base!H354)</f>
        <v/>
      </c>
    </row>
    <row r="357" spans="1:5">
      <c r="A357" s="45" t="str">
        <f>IF(Base!B355="","",Base!B355)</f>
        <v/>
      </c>
      <c r="B357" s="45" t="str">
        <f>IF(Base!F355="","",Base!F355)</f>
        <v/>
      </c>
      <c r="C357" s="45" t="str">
        <f>IF(Base!I355="","",Base!I355)</f>
        <v/>
      </c>
      <c r="D357" s="46" t="str">
        <f>IF(Base!J355="","",Base!J355)</f>
        <v/>
      </c>
      <c r="E357" s="45" t="str">
        <f>IF(Base!H355="","",Base!H355)</f>
        <v/>
      </c>
    </row>
    <row r="358" spans="1:5">
      <c r="A358" s="45" t="str">
        <f>IF(Base!B356="","",Base!B356)</f>
        <v/>
      </c>
      <c r="B358" s="45" t="str">
        <f>IF(Base!F356="","",Base!F356)</f>
        <v/>
      </c>
      <c r="C358" s="45" t="str">
        <f>IF(Base!I356="","",Base!I356)</f>
        <v/>
      </c>
      <c r="D358" s="46" t="str">
        <f>IF(Base!J356="","",Base!J356)</f>
        <v/>
      </c>
      <c r="E358" s="45" t="str">
        <f>IF(Base!H356="","",Base!H356)</f>
        <v/>
      </c>
    </row>
    <row r="359" spans="1:5">
      <c r="A359" s="45" t="str">
        <f>IF(Base!B357="","",Base!B357)</f>
        <v/>
      </c>
      <c r="B359" s="45" t="str">
        <f>IF(Base!F357="","",Base!F357)</f>
        <v/>
      </c>
      <c r="C359" s="45" t="str">
        <f>IF(Base!I357="","",Base!I357)</f>
        <v/>
      </c>
      <c r="D359" s="46" t="str">
        <f>IF(Base!J357="","",Base!J357)</f>
        <v/>
      </c>
      <c r="E359" s="45" t="str">
        <f>IF(Base!H357="","",Base!H357)</f>
        <v/>
      </c>
    </row>
    <row r="360" spans="1:5">
      <c r="A360" s="45" t="str">
        <f>IF(Base!B358="","",Base!B358)</f>
        <v/>
      </c>
      <c r="B360" s="45" t="str">
        <f>IF(Base!F358="","",Base!F358)</f>
        <v/>
      </c>
      <c r="C360" s="45" t="str">
        <f>IF(Base!I358="","",Base!I358)</f>
        <v/>
      </c>
      <c r="D360" s="46" t="str">
        <f>IF(Base!J358="","",Base!J358)</f>
        <v/>
      </c>
      <c r="E360" s="45" t="str">
        <f>IF(Base!H358="","",Base!H358)</f>
        <v/>
      </c>
    </row>
    <row r="361" spans="1:5">
      <c r="A361" s="45" t="str">
        <f>IF(Base!B359="","",Base!B359)</f>
        <v/>
      </c>
      <c r="B361" s="45" t="str">
        <f>IF(Base!F359="","",Base!F359)</f>
        <v/>
      </c>
      <c r="C361" s="45" t="str">
        <f>IF(Base!I359="","",Base!I359)</f>
        <v/>
      </c>
      <c r="D361" s="46" t="str">
        <f>IF(Base!J359="","",Base!J359)</f>
        <v/>
      </c>
      <c r="E361" s="45" t="str">
        <f>IF(Base!H359="","",Base!H359)</f>
        <v/>
      </c>
    </row>
    <row r="362" spans="1:5">
      <c r="A362" s="45" t="str">
        <f>IF(Base!B360="","",Base!B360)</f>
        <v/>
      </c>
      <c r="B362" s="45" t="str">
        <f>IF(Base!F360="","",Base!F360)</f>
        <v/>
      </c>
      <c r="C362" s="45" t="str">
        <f>IF(Base!I360="","",Base!I360)</f>
        <v/>
      </c>
      <c r="D362" s="46" t="str">
        <f>IF(Base!J360="","",Base!J360)</f>
        <v/>
      </c>
      <c r="E362" s="45" t="str">
        <f>IF(Base!H360="","",Base!H360)</f>
        <v/>
      </c>
    </row>
    <row r="363" spans="1:5">
      <c r="A363" s="45" t="str">
        <f>IF(Base!B361="","",Base!B361)</f>
        <v/>
      </c>
      <c r="B363" s="45" t="str">
        <f>IF(Base!F361="","",Base!F361)</f>
        <v/>
      </c>
      <c r="C363" s="45" t="str">
        <f>IF(Base!I361="","",Base!I361)</f>
        <v/>
      </c>
      <c r="D363" s="46" t="str">
        <f>IF(Base!J361="","",Base!J361)</f>
        <v/>
      </c>
      <c r="E363" s="45" t="str">
        <f>IF(Base!H361="","",Base!H361)</f>
        <v/>
      </c>
    </row>
    <row r="364" spans="1:5">
      <c r="A364" s="45" t="str">
        <f>IF(Base!B362="","",Base!B362)</f>
        <v/>
      </c>
      <c r="B364" s="45" t="str">
        <f>IF(Base!F362="","",Base!F362)</f>
        <v/>
      </c>
      <c r="C364" s="45" t="str">
        <f>IF(Base!I362="","",Base!I362)</f>
        <v/>
      </c>
      <c r="D364" s="46" t="str">
        <f>IF(Base!J362="","",Base!J362)</f>
        <v/>
      </c>
      <c r="E364" s="45" t="str">
        <f>IF(Base!H362="","",Base!H362)</f>
        <v/>
      </c>
    </row>
    <row r="365" spans="1:5">
      <c r="A365" s="45" t="str">
        <f>IF(Base!B363="","",Base!B363)</f>
        <v/>
      </c>
      <c r="B365" s="45" t="str">
        <f>IF(Base!F363="","",Base!F363)</f>
        <v/>
      </c>
      <c r="C365" s="45" t="str">
        <f>IF(Base!I363="","",Base!I363)</f>
        <v/>
      </c>
      <c r="D365" s="46" t="str">
        <f>IF(Base!J363="","",Base!J363)</f>
        <v/>
      </c>
      <c r="E365" s="45" t="str">
        <f>IF(Base!H363="","",Base!H363)</f>
        <v/>
      </c>
    </row>
    <row r="366" spans="1:5">
      <c r="A366" s="45" t="str">
        <f>IF(Base!B364="","",Base!B364)</f>
        <v/>
      </c>
      <c r="B366" s="45" t="str">
        <f>IF(Base!F364="","",Base!F364)</f>
        <v/>
      </c>
      <c r="C366" s="45" t="str">
        <f>IF(Base!I364="","",Base!I364)</f>
        <v/>
      </c>
      <c r="D366" s="46" t="str">
        <f>IF(Base!J364="","",Base!J364)</f>
        <v/>
      </c>
      <c r="E366" s="45" t="str">
        <f>IF(Base!H364="","",Base!H364)</f>
        <v/>
      </c>
    </row>
    <row r="367" spans="1:5">
      <c r="A367" s="45" t="str">
        <f>IF(Base!B365="","",Base!B365)</f>
        <v/>
      </c>
      <c r="B367" s="45" t="str">
        <f>IF(Base!F365="","",Base!F365)</f>
        <v/>
      </c>
      <c r="C367" s="45" t="str">
        <f>IF(Base!I365="","",Base!I365)</f>
        <v/>
      </c>
      <c r="D367" s="46" t="str">
        <f>IF(Base!J365="","",Base!J365)</f>
        <v/>
      </c>
      <c r="E367" s="45" t="str">
        <f>IF(Base!H365="","",Base!H365)</f>
        <v/>
      </c>
    </row>
    <row r="368" spans="1:5">
      <c r="A368" s="45" t="str">
        <f>IF(Base!B366="","",Base!B366)</f>
        <v/>
      </c>
      <c r="B368" s="45" t="str">
        <f>IF(Base!F366="","",Base!F366)</f>
        <v/>
      </c>
      <c r="C368" s="45" t="str">
        <f>IF(Base!I366="","",Base!I366)</f>
        <v/>
      </c>
      <c r="D368" s="46" t="str">
        <f>IF(Base!J366="","",Base!J366)</f>
        <v/>
      </c>
      <c r="E368" s="45" t="str">
        <f>IF(Base!H366="","",Base!H366)</f>
        <v/>
      </c>
    </row>
    <row r="369" spans="1:5">
      <c r="A369" s="45" t="str">
        <f>IF(Base!B367="","",Base!B367)</f>
        <v/>
      </c>
      <c r="B369" s="45" t="str">
        <f>IF(Base!F367="","",Base!F367)</f>
        <v/>
      </c>
      <c r="C369" s="45" t="str">
        <f>IF(Base!I367="","",Base!I367)</f>
        <v/>
      </c>
      <c r="D369" s="46" t="str">
        <f>IF(Base!J367="","",Base!J367)</f>
        <v/>
      </c>
      <c r="E369" s="45" t="str">
        <f>IF(Base!H367="","",Base!H367)</f>
        <v/>
      </c>
    </row>
    <row r="370" spans="1:5">
      <c r="A370" s="45" t="str">
        <f>IF(Base!B368="","",Base!B368)</f>
        <v/>
      </c>
      <c r="B370" s="45" t="str">
        <f>IF(Base!F368="","",Base!F368)</f>
        <v/>
      </c>
      <c r="C370" s="45" t="str">
        <f>IF(Base!I368="","",Base!I368)</f>
        <v/>
      </c>
      <c r="D370" s="46" t="str">
        <f>IF(Base!J368="","",Base!J368)</f>
        <v/>
      </c>
      <c r="E370" s="45" t="str">
        <f>IF(Base!H368="","",Base!H368)</f>
        <v/>
      </c>
    </row>
    <row r="371" spans="1:5">
      <c r="A371" s="45" t="str">
        <f>IF(Base!B369="","",Base!B369)</f>
        <v/>
      </c>
      <c r="B371" s="45" t="str">
        <f>IF(Base!F369="","",Base!F369)</f>
        <v/>
      </c>
      <c r="C371" s="45" t="str">
        <f>IF(Base!I369="","",Base!I369)</f>
        <v/>
      </c>
      <c r="D371" s="46" t="str">
        <f>IF(Base!J369="","",Base!J369)</f>
        <v/>
      </c>
      <c r="E371" s="45" t="str">
        <f>IF(Base!H369="","",Base!H369)</f>
        <v/>
      </c>
    </row>
    <row r="372" spans="1:5">
      <c r="A372" s="45" t="str">
        <f>IF(Base!B370="","",Base!B370)</f>
        <v/>
      </c>
      <c r="B372" s="45" t="str">
        <f>IF(Base!F370="","",Base!F370)</f>
        <v/>
      </c>
      <c r="C372" s="45" t="str">
        <f>IF(Base!I370="","",Base!I370)</f>
        <v/>
      </c>
      <c r="D372" s="46" t="str">
        <f>IF(Base!J370="","",Base!J370)</f>
        <v/>
      </c>
      <c r="E372" s="45" t="str">
        <f>IF(Base!H370="","",Base!H370)</f>
        <v/>
      </c>
    </row>
    <row r="373" spans="1:5">
      <c r="A373" s="45" t="str">
        <f>IF(Base!B371="","",Base!B371)</f>
        <v/>
      </c>
      <c r="B373" s="45" t="str">
        <f>IF(Base!F371="","",Base!F371)</f>
        <v/>
      </c>
      <c r="C373" s="45" t="str">
        <f>IF(Base!I371="","",Base!I371)</f>
        <v/>
      </c>
      <c r="D373" s="46" t="str">
        <f>IF(Base!J371="","",Base!J371)</f>
        <v/>
      </c>
      <c r="E373" s="45" t="str">
        <f>IF(Base!H371="","",Base!H371)</f>
        <v/>
      </c>
    </row>
    <row r="374" spans="1:5">
      <c r="A374" s="45" t="str">
        <f>IF(Base!B372="","",Base!B372)</f>
        <v/>
      </c>
      <c r="B374" s="45" t="str">
        <f>IF(Base!F372="","",Base!F372)</f>
        <v/>
      </c>
      <c r="C374" s="45" t="str">
        <f>IF(Base!I372="","",Base!I372)</f>
        <v/>
      </c>
      <c r="D374" s="46" t="str">
        <f>IF(Base!J372="","",Base!J372)</f>
        <v/>
      </c>
      <c r="E374" s="45" t="str">
        <f>IF(Base!H372="","",Base!H372)</f>
        <v/>
      </c>
    </row>
    <row r="375" spans="1:5">
      <c r="A375" s="45" t="str">
        <f>IF(Base!B373="","",Base!B373)</f>
        <v/>
      </c>
      <c r="B375" s="45" t="str">
        <f>IF(Base!F373="","",Base!F373)</f>
        <v/>
      </c>
      <c r="C375" s="45" t="str">
        <f>IF(Base!I373="","",Base!I373)</f>
        <v/>
      </c>
      <c r="D375" s="46" t="str">
        <f>IF(Base!J373="","",Base!J373)</f>
        <v/>
      </c>
      <c r="E375" s="45" t="str">
        <f>IF(Base!H373="","",Base!H373)</f>
        <v/>
      </c>
    </row>
    <row r="376" spans="1:5">
      <c r="A376" s="45" t="str">
        <f>IF(Base!B374="","",Base!B374)</f>
        <v/>
      </c>
      <c r="B376" s="45" t="str">
        <f>IF(Base!F374="","",Base!F374)</f>
        <v/>
      </c>
      <c r="C376" s="45" t="str">
        <f>IF(Base!I374="","",Base!I374)</f>
        <v/>
      </c>
      <c r="D376" s="46" t="str">
        <f>IF(Base!J374="","",Base!J374)</f>
        <v/>
      </c>
      <c r="E376" s="45" t="str">
        <f>IF(Base!H374="","",Base!H374)</f>
        <v/>
      </c>
    </row>
    <row r="377" spans="1:5">
      <c r="A377" s="45" t="str">
        <f>IF(Base!B375="","",Base!B375)</f>
        <v/>
      </c>
      <c r="B377" s="45" t="str">
        <f>IF(Base!F375="","",Base!F375)</f>
        <v/>
      </c>
      <c r="C377" s="45" t="str">
        <f>IF(Base!I375="","",Base!I375)</f>
        <v/>
      </c>
      <c r="D377" s="46" t="str">
        <f>IF(Base!J375="","",Base!J375)</f>
        <v/>
      </c>
      <c r="E377" s="45" t="str">
        <f>IF(Base!H375="","",Base!H375)</f>
        <v/>
      </c>
    </row>
    <row r="378" spans="1:5">
      <c r="A378" s="45" t="str">
        <f>IF(Base!B376="","",Base!B376)</f>
        <v/>
      </c>
      <c r="B378" s="45" t="str">
        <f>IF(Base!F376="","",Base!F376)</f>
        <v/>
      </c>
      <c r="C378" s="45" t="str">
        <f>IF(Base!I376="","",Base!I376)</f>
        <v/>
      </c>
      <c r="D378" s="46" t="str">
        <f>IF(Base!J376="","",Base!J376)</f>
        <v/>
      </c>
      <c r="E378" s="45" t="str">
        <f>IF(Base!H376="","",Base!H376)</f>
        <v/>
      </c>
    </row>
    <row r="379" spans="1:5">
      <c r="A379" s="45" t="str">
        <f>IF(Base!B377="","",Base!B377)</f>
        <v/>
      </c>
      <c r="B379" s="45" t="str">
        <f>IF(Base!F377="","",Base!F377)</f>
        <v/>
      </c>
      <c r="C379" s="45" t="str">
        <f>IF(Base!I377="","",Base!I377)</f>
        <v/>
      </c>
      <c r="D379" s="46" t="str">
        <f>IF(Base!J377="","",Base!J377)</f>
        <v/>
      </c>
      <c r="E379" s="45" t="str">
        <f>IF(Base!H377="","",Base!H377)</f>
        <v/>
      </c>
    </row>
    <row r="380" spans="1:5">
      <c r="A380" s="45" t="str">
        <f>IF(Base!B378="","",Base!B378)</f>
        <v/>
      </c>
      <c r="B380" s="45" t="str">
        <f>IF(Base!F378="","",Base!F378)</f>
        <v/>
      </c>
      <c r="C380" s="45" t="str">
        <f>IF(Base!I378="","",Base!I378)</f>
        <v/>
      </c>
      <c r="D380" s="46" t="str">
        <f>IF(Base!J378="","",Base!J378)</f>
        <v/>
      </c>
      <c r="E380" s="45" t="str">
        <f>IF(Base!H378="","",Base!H378)</f>
        <v/>
      </c>
    </row>
    <row r="381" spans="1:5">
      <c r="A381" s="45" t="str">
        <f>IF(Base!B379="","",Base!B379)</f>
        <v/>
      </c>
      <c r="B381" s="45" t="str">
        <f>IF(Base!F379="","",Base!F379)</f>
        <v/>
      </c>
      <c r="C381" s="45" t="str">
        <f>IF(Base!I379="","",Base!I379)</f>
        <v/>
      </c>
      <c r="D381" s="46" t="str">
        <f>IF(Base!J379="","",Base!J379)</f>
        <v/>
      </c>
      <c r="E381" s="45" t="str">
        <f>IF(Base!H379="","",Base!H379)</f>
        <v/>
      </c>
    </row>
    <row r="382" spans="1:5">
      <c r="A382" s="45" t="str">
        <f>IF(Base!B380="","",Base!B380)</f>
        <v/>
      </c>
      <c r="B382" s="45" t="str">
        <f>IF(Base!F380="","",Base!F380)</f>
        <v/>
      </c>
      <c r="C382" s="45" t="str">
        <f>IF(Base!I380="","",Base!I380)</f>
        <v/>
      </c>
      <c r="D382" s="46" t="str">
        <f>IF(Base!J380="","",Base!J380)</f>
        <v/>
      </c>
      <c r="E382" s="45" t="str">
        <f>IF(Base!H380="","",Base!H380)</f>
        <v/>
      </c>
    </row>
    <row r="383" spans="1:5">
      <c r="A383" s="45" t="str">
        <f>IF(Base!B381="","",Base!B381)</f>
        <v/>
      </c>
      <c r="B383" s="45" t="str">
        <f>IF(Base!F381="","",Base!F381)</f>
        <v/>
      </c>
      <c r="C383" s="45" t="str">
        <f>IF(Base!I381="","",Base!I381)</f>
        <v/>
      </c>
      <c r="D383" s="46" t="str">
        <f>IF(Base!J381="","",Base!J381)</f>
        <v/>
      </c>
      <c r="E383" s="45" t="str">
        <f>IF(Base!H381="","",Base!H381)</f>
        <v/>
      </c>
    </row>
    <row r="384" spans="1:5">
      <c r="A384" s="45" t="str">
        <f>IF(Base!B382="","",Base!B382)</f>
        <v/>
      </c>
      <c r="B384" s="45" t="str">
        <f>IF(Base!F382="","",Base!F382)</f>
        <v/>
      </c>
      <c r="C384" s="45" t="str">
        <f>IF(Base!I382="","",Base!I382)</f>
        <v/>
      </c>
      <c r="D384" s="46" t="str">
        <f>IF(Base!J382="","",Base!J382)</f>
        <v/>
      </c>
      <c r="E384" s="45" t="str">
        <f>IF(Base!H382="","",Base!H382)</f>
        <v/>
      </c>
    </row>
    <row r="385" spans="1:5">
      <c r="A385" s="45" t="str">
        <f>IF(Base!B383="","",Base!B383)</f>
        <v/>
      </c>
      <c r="B385" s="45" t="str">
        <f>IF(Base!F383="","",Base!F383)</f>
        <v/>
      </c>
      <c r="C385" s="45" t="str">
        <f>IF(Base!I383="","",Base!I383)</f>
        <v/>
      </c>
      <c r="D385" s="46" t="str">
        <f>IF(Base!J383="","",Base!J383)</f>
        <v/>
      </c>
      <c r="E385" s="45" t="str">
        <f>IF(Base!H383="","",Base!H383)</f>
        <v/>
      </c>
    </row>
    <row r="386" spans="1:5">
      <c r="A386" s="45" t="str">
        <f>IF(Base!B384="","",Base!B384)</f>
        <v/>
      </c>
      <c r="B386" s="45" t="str">
        <f>IF(Base!F384="","",Base!F384)</f>
        <v/>
      </c>
      <c r="C386" s="45" t="str">
        <f>IF(Base!I384="","",Base!I384)</f>
        <v/>
      </c>
      <c r="D386" s="46" t="str">
        <f>IF(Base!J384="","",Base!J384)</f>
        <v/>
      </c>
      <c r="E386" s="45" t="str">
        <f>IF(Base!H384="","",Base!H384)</f>
        <v/>
      </c>
    </row>
    <row r="387" spans="1:5">
      <c r="A387" s="45" t="str">
        <f>IF(Base!B385="","",Base!B385)</f>
        <v/>
      </c>
      <c r="B387" s="45" t="str">
        <f>IF(Base!F385="","",Base!F385)</f>
        <v/>
      </c>
      <c r="C387" s="45" t="str">
        <f>IF(Base!I385="","",Base!I385)</f>
        <v/>
      </c>
      <c r="D387" s="46" t="str">
        <f>IF(Base!J385="","",Base!J385)</f>
        <v/>
      </c>
      <c r="E387" s="45" t="str">
        <f>IF(Base!H385="","",Base!H385)</f>
        <v/>
      </c>
    </row>
    <row r="388" spans="1:5">
      <c r="A388" s="45" t="str">
        <f>IF(Base!B386="","",Base!B386)</f>
        <v/>
      </c>
      <c r="B388" s="45" t="str">
        <f>IF(Base!F386="","",Base!F386)</f>
        <v/>
      </c>
      <c r="C388" s="45" t="str">
        <f>IF(Base!I386="","",Base!I386)</f>
        <v/>
      </c>
      <c r="D388" s="46" t="str">
        <f>IF(Base!J386="","",Base!J386)</f>
        <v/>
      </c>
      <c r="E388" s="45" t="str">
        <f>IF(Base!H386="","",Base!H386)</f>
        <v/>
      </c>
    </row>
    <row r="389" spans="1:5">
      <c r="A389" s="45" t="str">
        <f>IF(Base!B387="","",Base!B387)</f>
        <v/>
      </c>
      <c r="B389" s="45" t="str">
        <f>IF(Base!F387="","",Base!F387)</f>
        <v/>
      </c>
      <c r="C389" s="45" t="str">
        <f>IF(Base!I387="","",Base!I387)</f>
        <v/>
      </c>
      <c r="D389" s="46" t="str">
        <f>IF(Base!J387="","",Base!J387)</f>
        <v/>
      </c>
      <c r="E389" s="45" t="str">
        <f>IF(Base!H387="","",Base!H387)</f>
        <v/>
      </c>
    </row>
    <row r="390" spans="1:5">
      <c r="A390" s="45" t="str">
        <f>IF(Base!B388="","",Base!B388)</f>
        <v/>
      </c>
      <c r="B390" s="45" t="str">
        <f>IF(Base!F388="","",Base!F388)</f>
        <v/>
      </c>
      <c r="C390" s="45" t="str">
        <f>IF(Base!I388="","",Base!I388)</f>
        <v/>
      </c>
      <c r="D390" s="46" t="str">
        <f>IF(Base!J388="","",Base!J388)</f>
        <v/>
      </c>
      <c r="E390" s="45" t="str">
        <f>IF(Base!H388="","",Base!H388)</f>
        <v/>
      </c>
    </row>
    <row r="391" spans="1:5">
      <c r="A391" s="45" t="str">
        <f>IF(Base!B389="","",Base!B389)</f>
        <v/>
      </c>
      <c r="B391" s="45" t="str">
        <f>IF(Base!F389="","",Base!F389)</f>
        <v/>
      </c>
      <c r="C391" s="45" t="str">
        <f>IF(Base!I389="","",Base!I389)</f>
        <v/>
      </c>
      <c r="D391" s="46" t="str">
        <f>IF(Base!J389="","",Base!J389)</f>
        <v/>
      </c>
      <c r="E391" s="45" t="str">
        <f>IF(Base!H389="","",Base!H389)</f>
        <v/>
      </c>
    </row>
    <row r="392" spans="1:5">
      <c r="A392" s="45" t="str">
        <f>IF(Base!B390="","",Base!B390)</f>
        <v/>
      </c>
      <c r="B392" s="45" t="str">
        <f>IF(Base!F390="","",Base!F390)</f>
        <v/>
      </c>
      <c r="C392" s="45" t="str">
        <f>IF(Base!I390="","",Base!I390)</f>
        <v/>
      </c>
      <c r="D392" s="46" t="str">
        <f>IF(Base!J390="","",Base!J390)</f>
        <v/>
      </c>
      <c r="E392" s="45" t="str">
        <f>IF(Base!H390="","",Base!H390)</f>
        <v/>
      </c>
    </row>
    <row r="393" spans="1:5">
      <c r="A393" s="45" t="str">
        <f>IF(Base!B391="","",Base!B391)</f>
        <v/>
      </c>
      <c r="B393" s="45" t="str">
        <f>IF(Base!F391="","",Base!F391)</f>
        <v/>
      </c>
      <c r="C393" s="45" t="str">
        <f>IF(Base!I391="","",Base!I391)</f>
        <v/>
      </c>
      <c r="D393" s="46" t="str">
        <f>IF(Base!J391="","",Base!J391)</f>
        <v/>
      </c>
      <c r="E393" s="45" t="str">
        <f>IF(Base!H391="","",Base!H391)</f>
        <v/>
      </c>
    </row>
    <row r="394" spans="1:5">
      <c r="A394" s="45" t="str">
        <f>IF(Base!B392="","",Base!B392)</f>
        <v/>
      </c>
      <c r="B394" s="45" t="str">
        <f>IF(Base!F392="","",Base!F392)</f>
        <v/>
      </c>
      <c r="C394" s="45" t="str">
        <f>IF(Base!I392="","",Base!I392)</f>
        <v/>
      </c>
      <c r="D394" s="46" t="str">
        <f>IF(Base!J392="","",Base!J392)</f>
        <v/>
      </c>
      <c r="E394" s="45" t="str">
        <f>IF(Base!H392="","",Base!H392)</f>
        <v/>
      </c>
    </row>
    <row r="395" spans="1:5">
      <c r="A395" s="45" t="str">
        <f>IF(Base!B393="","",Base!B393)</f>
        <v/>
      </c>
      <c r="B395" s="45" t="str">
        <f>IF(Base!F393="","",Base!F393)</f>
        <v/>
      </c>
      <c r="C395" s="45" t="str">
        <f>IF(Base!I393="","",Base!I393)</f>
        <v/>
      </c>
      <c r="D395" s="46" t="str">
        <f>IF(Base!J393="","",Base!J393)</f>
        <v/>
      </c>
      <c r="E395" s="45" t="str">
        <f>IF(Base!H393="","",Base!H393)</f>
        <v/>
      </c>
    </row>
    <row r="396" spans="1:5">
      <c r="A396" s="45" t="str">
        <f>IF(Base!B394="","",Base!B394)</f>
        <v/>
      </c>
      <c r="B396" s="45" t="str">
        <f>IF(Base!F394="","",Base!F394)</f>
        <v/>
      </c>
      <c r="C396" s="45" t="str">
        <f>IF(Base!I394="","",Base!I394)</f>
        <v/>
      </c>
      <c r="D396" s="46" t="str">
        <f>IF(Base!J394="","",Base!J394)</f>
        <v/>
      </c>
      <c r="E396" s="45" t="str">
        <f>IF(Base!H394="","",Base!H394)</f>
        <v/>
      </c>
    </row>
    <row r="397" spans="1:5">
      <c r="A397" s="45" t="str">
        <f>IF(Base!B395="","",Base!B395)</f>
        <v/>
      </c>
      <c r="B397" s="45" t="str">
        <f>IF(Base!F395="","",Base!F395)</f>
        <v/>
      </c>
      <c r="C397" s="45" t="str">
        <f>IF(Base!I395="","",Base!I395)</f>
        <v/>
      </c>
      <c r="D397" s="46" t="str">
        <f>IF(Base!J395="","",Base!J395)</f>
        <v/>
      </c>
      <c r="E397" s="45" t="str">
        <f>IF(Base!H395="","",Base!H395)</f>
        <v/>
      </c>
    </row>
    <row r="398" spans="1:5">
      <c r="A398" s="45" t="str">
        <f>IF(Base!B396="","",Base!B396)</f>
        <v/>
      </c>
      <c r="B398" s="45" t="str">
        <f>IF(Base!F396="","",Base!F396)</f>
        <v/>
      </c>
      <c r="C398" s="45" t="str">
        <f>IF(Base!I396="","",Base!I396)</f>
        <v/>
      </c>
      <c r="D398" s="46" t="str">
        <f>IF(Base!J396="","",Base!J396)</f>
        <v/>
      </c>
      <c r="E398" s="45" t="str">
        <f>IF(Base!H396="","",Base!H396)</f>
        <v/>
      </c>
    </row>
    <row r="399" spans="1:5">
      <c r="A399" s="45" t="str">
        <f>IF(Base!B397="","",Base!B397)</f>
        <v/>
      </c>
      <c r="B399" s="45" t="str">
        <f>IF(Base!F397="","",Base!F397)</f>
        <v/>
      </c>
      <c r="C399" s="45" t="str">
        <f>IF(Base!I397="","",Base!I397)</f>
        <v/>
      </c>
      <c r="D399" s="46" t="str">
        <f>IF(Base!J397="","",Base!J397)</f>
        <v/>
      </c>
      <c r="E399" s="45" t="str">
        <f>IF(Base!H397="","",Base!H397)</f>
        <v/>
      </c>
    </row>
    <row r="400" spans="1:5">
      <c r="A400" s="45" t="str">
        <f>IF(Base!B398="","",Base!B398)</f>
        <v/>
      </c>
      <c r="B400" s="45" t="str">
        <f>IF(Base!F398="","",Base!F398)</f>
        <v/>
      </c>
      <c r="C400" s="45" t="str">
        <f>IF(Base!I398="","",Base!I398)</f>
        <v/>
      </c>
      <c r="D400" s="46" t="str">
        <f>IF(Base!J398="","",Base!J398)</f>
        <v/>
      </c>
      <c r="E400" s="45" t="str">
        <f>IF(Base!H398="","",Base!H398)</f>
        <v/>
      </c>
    </row>
    <row r="401" spans="1:5">
      <c r="A401" s="45" t="str">
        <f>IF(Base!B399="","",Base!B399)</f>
        <v/>
      </c>
      <c r="B401" s="45" t="str">
        <f>IF(Base!F399="","",Base!F399)</f>
        <v/>
      </c>
      <c r="C401" s="45" t="str">
        <f>IF(Base!I399="","",Base!I399)</f>
        <v/>
      </c>
      <c r="D401" s="46" t="str">
        <f>IF(Base!J399="","",Base!J399)</f>
        <v/>
      </c>
      <c r="E401" s="45" t="str">
        <f>IF(Base!H399="","",Base!H399)</f>
        <v/>
      </c>
    </row>
    <row r="402" spans="1:5">
      <c r="A402" s="45" t="str">
        <f>IF(Base!B400="","",Base!B400)</f>
        <v/>
      </c>
      <c r="B402" s="45" t="str">
        <f>IF(Base!F400="","",Base!F400)</f>
        <v/>
      </c>
      <c r="C402" s="45" t="str">
        <f>IF(Base!I400="","",Base!I400)</f>
        <v/>
      </c>
      <c r="D402" s="46" t="str">
        <f>IF(Base!J400="","",Base!J400)</f>
        <v/>
      </c>
      <c r="E402" s="45" t="str">
        <f>IF(Base!H400="","",Base!H400)</f>
        <v/>
      </c>
    </row>
    <row r="403" spans="1:5">
      <c r="A403" s="45" t="str">
        <f>IF(Base!B401="","",Base!B401)</f>
        <v/>
      </c>
      <c r="B403" s="45" t="str">
        <f>IF(Base!F401="","",Base!F401)</f>
        <v/>
      </c>
      <c r="C403" s="45" t="str">
        <f>IF(Base!I401="","",Base!I401)</f>
        <v/>
      </c>
      <c r="D403" s="46" t="str">
        <f>IF(Base!J401="","",Base!J401)</f>
        <v/>
      </c>
      <c r="E403" s="45" t="str">
        <f>IF(Base!H401="","",Base!H401)</f>
        <v/>
      </c>
    </row>
    <row r="404" spans="1:5">
      <c r="A404" s="45" t="str">
        <f>IF(Base!B402="","",Base!B402)</f>
        <v/>
      </c>
      <c r="B404" s="45" t="str">
        <f>IF(Base!F402="","",Base!F402)</f>
        <v/>
      </c>
      <c r="C404" s="45" t="str">
        <f>IF(Base!I402="","",Base!I402)</f>
        <v/>
      </c>
      <c r="D404" s="46" t="str">
        <f>IF(Base!J402="","",Base!J402)</f>
        <v/>
      </c>
      <c r="E404" s="45" t="str">
        <f>IF(Base!H402="","",Base!H402)</f>
        <v/>
      </c>
    </row>
    <row r="405" spans="1:5">
      <c r="A405" s="45" t="str">
        <f>IF(Base!B403="","",Base!B403)</f>
        <v/>
      </c>
      <c r="B405" s="45" t="str">
        <f>IF(Base!F403="","",Base!F403)</f>
        <v/>
      </c>
      <c r="C405" s="45" t="str">
        <f>IF(Base!I403="","",Base!I403)</f>
        <v/>
      </c>
      <c r="D405" s="46" t="str">
        <f>IF(Base!J403="","",Base!J403)</f>
        <v/>
      </c>
      <c r="E405" s="45" t="str">
        <f>IF(Base!H403="","",Base!H403)</f>
        <v/>
      </c>
    </row>
    <row r="406" spans="1:5">
      <c r="A406" s="45" t="str">
        <f>IF(Base!B404="","",Base!B404)</f>
        <v/>
      </c>
      <c r="B406" s="45" t="str">
        <f>IF(Base!F404="","",Base!F404)</f>
        <v/>
      </c>
      <c r="C406" s="45" t="str">
        <f>IF(Base!I404="","",Base!I404)</f>
        <v/>
      </c>
      <c r="D406" s="46" t="str">
        <f>IF(Base!J404="","",Base!J404)</f>
        <v/>
      </c>
      <c r="E406" s="45" t="str">
        <f>IF(Base!H404="","",Base!H404)</f>
        <v/>
      </c>
    </row>
    <row r="407" spans="1:5">
      <c r="A407" s="45" t="str">
        <f>IF(Base!B405="","",Base!B405)</f>
        <v/>
      </c>
      <c r="B407" s="45" t="str">
        <f>IF(Base!F405="","",Base!F405)</f>
        <v/>
      </c>
      <c r="C407" s="45" t="str">
        <f>IF(Base!I405="","",Base!I405)</f>
        <v/>
      </c>
      <c r="D407" s="46" t="str">
        <f>IF(Base!J405="","",Base!J405)</f>
        <v/>
      </c>
      <c r="E407" s="45" t="str">
        <f>IF(Base!H405="","",Base!H405)</f>
        <v/>
      </c>
    </row>
    <row r="408" spans="1:5">
      <c r="A408" s="45" t="str">
        <f>IF(Base!B406="","",Base!B406)</f>
        <v/>
      </c>
      <c r="B408" s="45" t="str">
        <f>IF(Base!F406="","",Base!F406)</f>
        <v/>
      </c>
      <c r="C408" s="45" t="str">
        <f>IF(Base!I406="","",Base!I406)</f>
        <v/>
      </c>
      <c r="D408" s="46" t="str">
        <f>IF(Base!J406="","",Base!J406)</f>
        <v/>
      </c>
      <c r="E408" s="45" t="str">
        <f>IF(Base!H406="","",Base!H406)</f>
        <v/>
      </c>
    </row>
    <row r="409" spans="1:5">
      <c r="A409" s="45" t="str">
        <f>IF(Base!B407="","",Base!B407)</f>
        <v/>
      </c>
      <c r="B409" s="45" t="str">
        <f>IF(Base!F407="","",Base!F407)</f>
        <v/>
      </c>
      <c r="C409" s="45" t="str">
        <f>IF(Base!I407="","",Base!I407)</f>
        <v/>
      </c>
      <c r="D409" s="46" t="str">
        <f>IF(Base!J407="","",Base!J407)</f>
        <v/>
      </c>
      <c r="E409" s="45" t="str">
        <f>IF(Base!H407="","",Base!H407)</f>
        <v/>
      </c>
    </row>
    <row r="410" spans="1:5">
      <c r="A410" s="45" t="str">
        <f>IF(Base!B408="","",Base!B408)</f>
        <v/>
      </c>
      <c r="B410" s="45" t="str">
        <f>IF(Base!F408="","",Base!F408)</f>
        <v/>
      </c>
      <c r="C410" s="45" t="str">
        <f>IF(Base!I408="","",Base!I408)</f>
        <v/>
      </c>
      <c r="D410" s="46" t="str">
        <f>IF(Base!J408="","",Base!J408)</f>
        <v/>
      </c>
      <c r="E410" s="45" t="str">
        <f>IF(Base!H408="","",Base!H408)</f>
        <v/>
      </c>
    </row>
    <row r="411" spans="1:5">
      <c r="A411" s="45" t="str">
        <f>IF(Base!B409="","",Base!B409)</f>
        <v/>
      </c>
      <c r="B411" s="45" t="str">
        <f>IF(Base!F409="","",Base!F409)</f>
        <v/>
      </c>
      <c r="C411" s="45" t="str">
        <f>IF(Base!I409="","",Base!I409)</f>
        <v/>
      </c>
      <c r="D411" s="46" t="str">
        <f>IF(Base!J409="","",Base!J409)</f>
        <v/>
      </c>
      <c r="E411" s="45" t="str">
        <f>IF(Base!H409="","",Base!H409)</f>
        <v/>
      </c>
    </row>
    <row r="412" spans="1:5">
      <c r="A412" s="45" t="str">
        <f>IF(Base!B410="","",Base!B410)</f>
        <v/>
      </c>
      <c r="B412" s="45" t="str">
        <f>IF(Base!F410="","",Base!F410)</f>
        <v/>
      </c>
      <c r="C412" s="45" t="str">
        <f>IF(Base!I410="","",Base!I410)</f>
        <v/>
      </c>
      <c r="D412" s="46" t="str">
        <f>IF(Base!J410="","",Base!J410)</f>
        <v/>
      </c>
      <c r="E412" s="45" t="str">
        <f>IF(Base!H410="","",Base!H410)</f>
        <v/>
      </c>
    </row>
    <row r="413" spans="1:5">
      <c r="A413" s="45" t="str">
        <f>IF(Base!B411="","",Base!B411)</f>
        <v/>
      </c>
      <c r="B413" s="45" t="str">
        <f>IF(Base!F411="","",Base!F411)</f>
        <v/>
      </c>
      <c r="C413" s="45" t="str">
        <f>IF(Base!I411="","",Base!I411)</f>
        <v/>
      </c>
      <c r="D413" s="46" t="str">
        <f>IF(Base!J411="","",Base!J411)</f>
        <v/>
      </c>
      <c r="E413" s="45" t="str">
        <f>IF(Base!H411="","",Base!H411)</f>
        <v/>
      </c>
    </row>
    <row r="414" spans="1:5">
      <c r="A414" s="45" t="str">
        <f>IF(Base!B412="","",Base!B412)</f>
        <v/>
      </c>
      <c r="B414" s="45" t="str">
        <f>IF(Base!F412="","",Base!F412)</f>
        <v/>
      </c>
      <c r="C414" s="45" t="str">
        <f>IF(Base!I412="","",Base!I412)</f>
        <v/>
      </c>
      <c r="D414" s="46" t="str">
        <f>IF(Base!J412="","",Base!J412)</f>
        <v/>
      </c>
      <c r="E414" s="45" t="str">
        <f>IF(Base!H412="","",Base!H412)</f>
        <v/>
      </c>
    </row>
    <row r="415" spans="1:5">
      <c r="A415" s="45" t="str">
        <f>IF(Base!B413="","",Base!B413)</f>
        <v/>
      </c>
      <c r="B415" s="45" t="str">
        <f>IF(Base!F413="","",Base!F413)</f>
        <v/>
      </c>
      <c r="C415" s="45" t="str">
        <f>IF(Base!I413="","",Base!I413)</f>
        <v/>
      </c>
      <c r="D415" s="46" t="str">
        <f>IF(Base!J413="","",Base!J413)</f>
        <v/>
      </c>
      <c r="E415" s="45" t="str">
        <f>IF(Base!H413="","",Base!H413)</f>
        <v/>
      </c>
    </row>
    <row r="416" spans="1:5">
      <c r="A416" s="45" t="str">
        <f>IF(Base!B414="","",Base!B414)</f>
        <v/>
      </c>
      <c r="B416" s="45" t="str">
        <f>IF(Base!F414="","",Base!F414)</f>
        <v/>
      </c>
      <c r="C416" s="45" t="str">
        <f>IF(Base!I414="","",Base!I414)</f>
        <v/>
      </c>
      <c r="D416" s="46" t="str">
        <f>IF(Base!J414="","",Base!J414)</f>
        <v/>
      </c>
      <c r="E416" s="45" t="str">
        <f>IF(Base!H414="","",Base!H414)</f>
        <v/>
      </c>
    </row>
    <row r="417" spans="1:5">
      <c r="A417" s="45" t="str">
        <f>IF(Base!B415="","",Base!B415)</f>
        <v/>
      </c>
      <c r="B417" s="45" t="str">
        <f>IF(Base!F415="","",Base!F415)</f>
        <v/>
      </c>
      <c r="C417" s="45" t="str">
        <f>IF(Base!I415="","",Base!I415)</f>
        <v/>
      </c>
      <c r="D417" s="46" t="str">
        <f>IF(Base!J415="","",Base!J415)</f>
        <v/>
      </c>
      <c r="E417" s="45" t="str">
        <f>IF(Base!H415="","",Base!H415)</f>
        <v/>
      </c>
    </row>
    <row r="418" spans="1:5">
      <c r="A418" s="45" t="str">
        <f>IF(Base!B416="","",Base!B416)</f>
        <v/>
      </c>
      <c r="B418" s="45" t="str">
        <f>IF(Base!F416="","",Base!F416)</f>
        <v/>
      </c>
      <c r="C418" s="45" t="str">
        <f>IF(Base!I416="","",Base!I416)</f>
        <v/>
      </c>
      <c r="D418" s="46" t="str">
        <f>IF(Base!J416="","",Base!J416)</f>
        <v/>
      </c>
      <c r="E418" s="45" t="str">
        <f>IF(Base!H416="","",Base!H416)</f>
        <v/>
      </c>
    </row>
    <row r="419" spans="1:5">
      <c r="A419" s="45" t="str">
        <f>IF(Base!B417="","",Base!B417)</f>
        <v/>
      </c>
      <c r="B419" s="45" t="str">
        <f>IF(Base!F417="","",Base!F417)</f>
        <v/>
      </c>
      <c r="C419" s="45" t="str">
        <f>IF(Base!I417="","",Base!I417)</f>
        <v/>
      </c>
      <c r="D419" s="46" t="str">
        <f>IF(Base!J417="","",Base!J417)</f>
        <v/>
      </c>
      <c r="E419" s="45" t="str">
        <f>IF(Base!H417="","",Base!H417)</f>
        <v/>
      </c>
    </row>
    <row r="420" spans="1:5">
      <c r="A420" s="45" t="str">
        <f>IF(Base!B418="","",Base!B418)</f>
        <v/>
      </c>
      <c r="B420" s="45" t="str">
        <f>IF(Base!F418="","",Base!F418)</f>
        <v/>
      </c>
      <c r="C420" s="45" t="str">
        <f>IF(Base!I418="","",Base!I418)</f>
        <v/>
      </c>
      <c r="D420" s="46" t="str">
        <f>IF(Base!J418="","",Base!J418)</f>
        <v/>
      </c>
      <c r="E420" s="45" t="str">
        <f>IF(Base!H418="","",Base!H418)</f>
        <v/>
      </c>
    </row>
    <row r="421" spans="1:5">
      <c r="A421" s="45" t="str">
        <f>IF(Base!B419="","",Base!B419)</f>
        <v/>
      </c>
      <c r="B421" s="45" t="str">
        <f>IF(Base!F419="","",Base!F419)</f>
        <v/>
      </c>
      <c r="C421" s="45" t="str">
        <f>IF(Base!I419="","",Base!I419)</f>
        <v/>
      </c>
      <c r="D421" s="46" t="str">
        <f>IF(Base!J419="","",Base!J419)</f>
        <v/>
      </c>
      <c r="E421" s="45" t="str">
        <f>IF(Base!H419="","",Base!H419)</f>
        <v/>
      </c>
    </row>
    <row r="422" spans="1:5">
      <c r="A422" s="45" t="str">
        <f>IF(Base!B420="","",Base!B420)</f>
        <v/>
      </c>
      <c r="B422" s="45" t="str">
        <f>IF(Base!F420="","",Base!F420)</f>
        <v/>
      </c>
      <c r="C422" s="45" t="str">
        <f>IF(Base!I420="","",Base!I420)</f>
        <v/>
      </c>
      <c r="D422" s="46" t="str">
        <f>IF(Base!J420="","",Base!J420)</f>
        <v/>
      </c>
      <c r="E422" s="45" t="str">
        <f>IF(Base!H420="","",Base!H420)</f>
        <v/>
      </c>
    </row>
    <row r="423" spans="1:5">
      <c r="A423" s="45" t="str">
        <f>IF(Base!B421="","",Base!B421)</f>
        <v/>
      </c>
      <c r="B423" s="45" t="str">
        <f>IF(Base!F421="","",Base!F421)</f>
        <v/>
      </c>
      <c r="C423" s="45" t="str">
        <f>IF(Base!I421="","",Base!I421)</f>
        <v/>
      </c>
      <c r="D423" s="46" t="str">
        <f>IF(Base!J421="","",Base!J421)</f>
        <v/>
      </c>
      <c r="E423" s="45" t="str">
        <f>IF(Base!H421="","",Base!H421)</f>
        <v/>
      </c>
    </row>
    <row r="424" spans="1:5">
      <c r="A424" s="45" t="str">
        <f>IF(Base!B422="","",Base!B422)</f>
        <v/>
      </c>
      <c r="B424" s="45" t="str">
        <f>IF(Base!F422="","",Base!F422)</f>
        <v/>
      </c>
      <c r="C424" s="45" t="str">
        <f>IF(Base!I422="","",Base!I422)</f>
        <v/>
      </c>
      <c r="D424" s="46" t="str">
        <f>IF(Base!J422="","",Base!J422)</f>
        <v/>
      </c>
      <c r="E424" s="45" t="str">
        <f>IF(Base!H422="","",Base!H422)</f>
        <v/>
      </c>
    </row>
    <row r="425" spans="1:5">
      <c r="A425" s="45" t="str">
        <f>IF(Base!B423="","",Base!B423)</f>
        <v/>
      </c>
      <c r="B425" s="45" t="str">
        <f>IF(Base!F423="","",Base!F423)</f>
        <v/>
      </c>
      <c r="C425" s="45" t="str">
        <f>IF(Base!I423="","",Base!I423)</f>
        <v/>
      </c>
      <c r="D425" s="46" t="str">
        <f>IF(Base!J423="","",Base!J423)</f>
        <v/>
      </c>
      <c r="E425" s="45" t="str">
        <f>IF(Base!H423="","",Base!H423)</f>
        <v/>
      </c>
    </row>
    <row r="426" spans="1:5">
      <c r="A426" s="45" t="str">
        <f>IF(Base!B424="","",Base!B424)</f>
        <v/>
      </c>
      <c r="B426" s="45" t="str">
        <f>IF(Base!F424="","",Base!F424)</f>
        <v/>
      </c>
      <c r="C426" s="45" t="str">
        <f>IF(Base!I424="","",Base!I424)</f>
        <v/>
      </c>
      <c r="D426" s="46" t="str">
        <f>IF(Base!J424="","",Base!J424)</f>
        <v/>
      </c>
      <c r="E426" s="45" t="str">
        <f>IF(Base!H424="","",Base!H424)</f>
        <v/>
      </c>
    </row>
    <row r="427" spans="1:5">
      <c r="A427" s="45" t="str">
        <f>IF(Base!B425="","",Base!B425)</f>
        <v/>
      </c>
      <c r="B427" s="45" t="str">
        <f>IF(Base!F425="","",Base!F425)</f>
        <v/>
      </c>
      <c r="C427" s="45" t="str">
        <f>IF(Base!I425="","",Base!I425)</f>
        <v/>
      </c>
      <c r="D427" s="46" t="str">
        <f>IF(Base!J425="","",Base!J425)</f>
        <v/>
      </c>
      <c r="E427" s="45" t="str">
        <f>IF(Base!H425="","",Base!H425)</f>
        <v/>
      </c>
    </row>
    <row r="428" spans="1:5">
      <c r="A428" s="45" t="str">
        <f>IF(Base!B426="","",Base!B426)</f>
        <v/>
      </c>
      <c r="B428" s="45" t="str">
        <f>IF(Base!F426="","",Base!F426)</f>
        <v/>
      </c>
      <c r="C428" s="45" t="str">
        <f>IF(Base!I426="","",Base!I426)</f>
        <v/>
      </c>
      <c r="D428" s="46" t="str">
        <f>IF(Base!J426="","",Base!J426)</f>
        <v/>
      </c>
      <c r="E428" s="45" t="str">
        <f>IF(Base!H426="","",Base!H426)</f>
        <v/>
      </c>
    </row>
    <row r="429" spans="1:5">
      <c r="A429" s="45" t="str">
        <f>IF(Base!B427="","",Base!B427)</f>
        <v/>
      </c>
      <c r="B429" s="45" t="str">
        <f>IF(Base!F427="","",Base!F427)</f>
        <v/>
      </c>
      <c r="C429" s="45" t="str">
        <f>IF(Base!I427="","",Base!I427)</f>
        <v/>
      </c>
      <c r="D429" s="46" t="str">
        <f>IF(Base!J427="","",Base!J427)</f>
        <v/>
      </c>
      <c r="E429" s="45" t="str">
        <f>IF(Base!H427="","",Base!H427)</f>
        <v/>
      </c>
    </row>
    <row r="430" spans="1:5">
      <c r="A430" s="45" t="str">
        <f>IF(Base!B428="","",Base!B428)</f>
        <v/>
      </c>
      <c r="B430" s="45" t="str">
        <f>IF(Base!F428="","",Base!F428)</f>
        <v/>
      </c>
      <c r="C430" s="45" t="str">
        <f>IF(Base!I428="","",Base!I428)</f>
        <v/>
      </c>
      <c r="D430" s="46" t="str">
        <f>IF(Base!J428="","",Base!J428)</f>
        <v/>
      </c>
      <c r="E430" s="45" t="str">
        <f>IF(Base!H428="","",Base!H428)</f>
        <v/>
      </c>
    </row>
    <row r="431" spans="1:5">
      <c r="A431" s="45" t="str">
        <f>IF(Base!B429="","",Base!B429)</f>
        <v/>
      </c>
      <c r="B431" s="45" t="str">
        <f>IF(Base!F429="","",Base!F429)</f>
        <v/>
      </c>
      <c r="C431" s="45" t="str">
        <f>IF(Base!I429="","",Base!I429)</f>
        <v/>
      </c>
      <c r="D431" s="46" t="str">
        <f>IF(Base!J429="","",Base!J429)</f>
        <v/>
      </c>
      <c r="E431" s="45" t="str">
        <f>IF(Base!H429="","",Base!H429)</f>
        <v/>
      </c>
    </row>
    <row r="432" spans="1:5">
      <c r="A432" s="45" t="str">
        <f>IF(Base!B430="","",Base!B430)</f>
        <v/>
      </c>
      <c r="B432" s="45" t="str">
        <f>IF(Base!F430="","",Base!F430)</f>
        <v/>
      </c>
      <c r="C432" s="45" t="str">
        <f>IF(Base!I430="","",Base!I430)</f>
        <v/>
      </c>
      <c r="D432" s="46" t="str">
        <f>IF(Base!J430="","",Base!J430)</f>
        <v/>
      </c>
      <c r="E432" s="45" t="str">
        <f>IF(Base!H430="","",Base!H430)</f>
        <v/>
      </c>
    </row>
    <row r="433" spans="1:5">
      <c r="A433" s="45" t="str">
        <f>IF(Base!B431="","",Base!B431)</f>
        <v/>
      </c>
      <c r="B433" s="45" t="str">
        <f>IF(Base!F431="","",Base!F431)</f>
        <v/>
      </c>
      <c r="C433" s="45" t="str">
        <f>IF(Base!I431="","",Base!I431)</f>
        <v/>
      </c>
      <c r="D433" s="46" t="str">
        <f>IF(Base!J431="","",Base!J431)</f>
        <v/>
      </c>
      <c r="E433" s="45" t="str">
        <f>IF(Base!H431="","",Base!H431)</f>
        <v/>
      </c>
    </row>
    <row r="434" spans="1:5">
      <c r="A434" s="45" t="str">
        <f>IF(Base!B432="","",Base!B432)</f>
        <v/>
      </c>
      <c r="B434" s="45" t="str">
        <f>IF(Base!F432="","",Base!F432)</f>
        <v/>
      </c>
      <c r="C434" s="45" t="str">
        <f>IF(Base!I432="","",Base!I432)</f>
        <v/>
      </c>
      <c r="D434" s="46" t="str">
        <f>IF(Base!J432="","",Base!J432)</f>
        <v/>
      </c>
      <c r="E434" s="45" t="str">
        <f>IF(Base!H432="","",Base!H432)</f>
        <v/>
      </c>
    </row>
    <row r="435" spans="1:5">
      <c r="A435" s="45" t="str">
        <f>IF(Base!B433="","",Base!B433)</f>
        <v/>
      </c>
      <c r="B435" s="45" t="str">
        <f>IF(Base!F433="","",Base!F433)</f>
        <v/>
      </c>
      <c r="C435" s="45" t="str">
        <f>IF(Base!I433="","",Base!I433)</f>
        <v/>
      </c>
      <c r="D435" s="46" t="str">
        <f>IF(Base!J433="","",Base!J433)</f>
        <v/>
      </c>
      <c r="E435" s="45" t="str">
        <f>IF(Base!H433="","",Base!H433)</f>
        <v/>
      </c>
    </row>
    <row r="436" spans="1:5">
      <c r="A436" s="45" t="str">
        <f>IF(Base!B434="","",Base!B434)</f>
        <v/>
      </c>
      <c r="B436" s="45" t="str">
        <f>IF(Base!F434="","",Base!F434)</f>
        <v/>
      </c>
      <c r="C436" s="45" t="str">
        <f>IF(Base!I434="","",Base!I434)</f>
        <v/>
      </c>
      <c r="D436" s="46" t="str">
        <f>IF(Base!J434="","",Base!J434)</f>
        <v/>
      </c>
      <c r="E436" s="45" t="str">
        <f>IF(Base!H434="","",Base!H434)</f>
        <v/>
      </c>
    </row>
    <row r="437" spans="1:5">
      <c r="A437" s="45" t="str">
        <f>IF(Base!B435="","",Base!B435)</f>
        <v/>
      </c>
      <c r="B437" s="45" t="str">
        <f>IF(Base!F435="","",Base!F435)</f>
        <v/>
      </c>
      <c r="C437" s="45" t="str">
        <f>IF(Base!I435="","",Base!I435)</f>
        <v/>
      </c>
      <c r="D437" s="46" t="str">
        <f>IF(Base!J435="","",Base!J435)</f>
        <v/>
      </c>
      <c r="E437" s="45" t="str">
        <f>IF(Base!H435="","",Base!H435)</f>
        <v/>
      </c>
    </row>
    <row r="438" spans="1:5">
      <c r="A438" s="45" t="str">
        <f>IF(Base!B436="","",Base!B436)</f>
        <v/>
      </c>
      <c r="B438" s="45" t="str">
        <f>IF(Base!F436="","",Base!F436)</f>
        <v/>
      </c>
      <c r="C438" s="45" t="str">
        <f>IF(Base!I436="","",Base!I436)</f>
        <v/>
      </c>
      <c r="D438" s="46" t="str">
        <f>IF(Base!J436="","",Base!J436)</f>
        <v/>
      </c>
      <c r="E438" s="45" t="str">
        <f>IF(Base!H436="","",Base!H436)</f>
        <v/>
      </c>
    </row>
    <row r="439" spans="1:5">
      <c r="A439" s="45" t="str">
        <f>IF(Base!B437="","",Base!B437)</f>
        <v/>
      </c>
      <c r="B439" s="45" t="str">
        <f>IF(Base!F437="","",Base!F437)</f>
        <v/>
      </c>
      <c r="C439" s="45" t="str">
        <f>IF(Base!I437="","",Base!I437)</f>
        <v/>
      </c>
      <c r="D439" s="46" t="str">
        <f>IF(Base!J437="","",Base!J437)</f>
        <v/>
      </c>
      <c r="E439" s="45" t="str">
        <f>IF(Base!H437="","",Base!H437)</f>
        <v/>
      </c>
    </row>
    <row r="440" spans="1:5">
      <c r="A440" s="45" t="str">
        <f>IF(Base!B438="","",Base!B438)</f>
        <v/>
      </c>
      <c r="B440" s="45" t="str">
        <f>IF(Base!F438="","",Base!F438)</f>
        <v/>
      </c>
      <c r="C440" s="45" t="str">
        <f>IF(Base!I438="","",Base!I438)</f>
        <v/>
      </c>
      <c r="D440" s="46" t="str">
        <f>IF(Base!J438="","",Base!J438)</f>
        <v/>
      </c>
      <c r="E440" s="45" t="str">
        <f>IF(Base!H438="","",Base!H438)</f>
        <v/>
      </c>
    </row>
    <row r="441" spans="1:5">
      <c r="A441" s="45" t="str">
        <f>IF(Base!B439="","",Base!B439)</f>
        <v/>
      </c>
      <c r="B441" s="45" t="str">
        <f>IF(Base!F439="","",Base!F439)</f>
        <v/>
      </c>
      <c r="C441" s="45" t="str">
        <f>IF(Base!I439="","",Base!I439)</f>
        <v/>
      </c>
      <c r="D441" s="46" t="str">
        <f>IF(Base!J439="","",Base!J439)</f>
        <v/>
      </c>
      <c r="E441" s="45" t="str">
        <f>IF(Base!H439="","",Base!H439)</f>
        <v/>
      </c>
    </row>
    <row r="442" spans="1:5">
      <c r="A442" s="45" t="str">
        <f>IF(Base!B440="","",Base!B440)</f>
        <v/>
      </c>
      <c r="B442" s="45" t="str">
        <f>IF(Base!F440="","",Base!F440)</f>
        <v/>
      </c>
      <c r="C442" s="45" t="str">
        <f>IF(Base!I440="","",Base!I440)</f>
        <v/>
      </c>
      <c r="D442" s="46" t="str">
        <f>IF(Base!J440="","",Base!J440)</f>
        <v/>
      </c>
      <c r="E442" s="45" t="str">
        <f>IF(Base!H440="","",Base!H440)</f>
        <v/>
      </c>
    </row>
    <row r="443" spans="1:5">
      <c r="A443" s="45" t="str">
        <f>IF(Base!B441="","",Base!B441)</f>
        <v/>
      </c>
      <c r="B443" s="45" t="str">
        <f>IF(Base!F441="","",Base!F441)</f>
        <v/>
      </c>
      <c r="C443" s="45" t="str">
        <f>IF(Base!I441="","",Base!I441)</f>
        <v/>
      </c>
      <c r="D443" s="46" t="str">
        <f>IF(Base!J441="","",Base!J441)</f>
        <v/>
      </c>
      <c r="E443" s="45" t="str">
        <f>IF(Base!H441="","",Base!H441)</f>
        <v/>
      </c>
    </row>
    <row r="444" spans="1:5">
      <c r="A444" s="45" t="str">
        <f>IF(Base!B442="","",Base!B442)</f>
        <v/>
      </c>
      <c r="B444" s="45" t="str">
        <f>IF(Base!F442="","",Base!F442)</f>
        <v/>
      </c>
      <c r="C444" s="45" t="str">
        <f>IF(Base!I442="","",Base!I442)</f>
        <v/>
      </c>
      <c r="D444" s="46" t="str">
        <f>IF(Base!J442="","",Base!J442)</f>
        <v/>
      </c>
      <c r="E444" s="45" t="str">
        <f>IF(Base!H442="","",Base!H442)</f>
        <v/>
      </c>
    </row>
    <row r="445" spans="1:5">
      <c r="A445" s="45" t="str">
        <f>IF(Base!B443="","",Base!B443)</f>
        <v/>
      </c>
      <c r="B445" s="45" t="str">
        <f>IF(Base!F443="","",Base!F443)</f>
        <v/>
      </c>
      <c r="C445" s="45" t="str">
        <f>IF(Base!I443="","",Base!I443)</f>
        <v/>
      </c>
      <c r="D445" s="46" t="str">
        <f>IF(Base!J443="","",Base!J443)</f>
        <v/>
      </c>
      <c r="E445" s="45" t="str">
        <f>IF(Base!H443="","",Base!H443)</f>
        <v/>
      </c>
    </row>
    <row r="446" spans="1:5">
      <c r="A446" s="45" t="str">
        <f>IF(Base!B444="","",Base!B444)</f>
        <v/>
      </c>
      <c r="B446" s="45" t="str">
        <f>IF(Base!F444="","",Base!F444)</f>
        <v/>
      </c>
      <c r="C446" s="45" t="str">
        <f>IF(Base!I444="","",Base!I444)</f>
        <v/>
      </c>
      <c r="D446" s="46" t="str">
        <f>IF(Base!J444="","",Base!J444)</f>
        <v/>
      </c>
      <c r="E446" s="45" t="str">
        <f>IF(Base!H444="","",Base!H444)</f>
        <v/>
      </c>
    </row>
    <row r="447" spans="1:5">
      <c r="A447" s="45" t="str">
        <f>IF(Base!B445="","",Base!B445)</f>
        <v/>
      </c>
      <c r="B447" s="45" t="str">
        <f>IF(Base!F445="","",Base!F445)</f>
        <v/>
      </c>
      <c r="C447" s="45" t="str">
        <f>IF(Base!I445="","",Base!I445)</f>
        <v/>
      </c>
      <c r="D447" s="46" t="str">
        <f>IF(Base!J445="","",Base!J445)</f>
        <v/>
      </c>
      <c r="E447" s="45" t="str">
        <f>IF(Base!H445="","",Base!H445)</f>
        <v/>
      </c>
    </row>
    <row r="448" spans="1:5">
      <c r="A448" s="45" t="str">
        <f>IF(Base!B446="","",Base!B446)</f>
        <v/>
      </c>
      <c r="B448" s="45" t="str">
        <f>IF(Base!F446="","",Base!F446)</f>
        <v/>
      </c>
      <c r="C448" s="45" t="str">
        <f>IF(Base!I446="","",Base!I446)</f>
        <v/>
      </c>
      <c r="D448" s="46" t="str">
        <f>IF(Base!J446="","",Base!J446)</f>
        <v/>
      </c>
      <c r="E448" s="45" t="str">
        <f>IF(Base!H446="","",Base!H446)</f>
        <v/>
      </c>
    </row>
    <row r="449" spans="1:5">
      <c r="A449" s="45" t="str">
        <f>IF(Base!B447="","",Base!B447)</f>
        <v/>
      </c>
      <c r="B449" s="45" t="str">
        <f>IF(Base!F447="","",Base!F447)</f>
        <v/>
      </c>
      <c r="C449" s="45" t="str">
        <f>IF(Base!I447="","",Base!I447)</f>
        <v/>
      </c>
      <c r="D449" s="46" t="str">
        <f>IF(Base!J447="","",Base!J447)</f>
        <v/>
      </c>
      <c r="E449" s="45" t="str">
        <f>IF(Base!H447="","",Base!H447)</f>
        <v/>
      </c>
    </row>
    <row r="450" spans="1:5">
      <c r="A450" s="45" t="str">
        <f>IF(Base!B448="","",Base!B448)</f>
        <v/>
      </c>
      <c r="B450" s="45" t="str">
        <f>IF(Base!F448="","",Base!F448)</f>
        <v/>
      </c>
      <c r="C450" s="45" t="str">
        <f>IF(Base!I448="","",Base!I448)</f>
        <v/>
      </c>
      <c r="D450" s="46" t="str">
        <f>IF(Base!J448="","",Base!J448)</f>
        <v/>
      </c>
      <c r="E450" s="45" t="str">
        <f>IF(Base!H448="","",Base!H448)</f>
        <v/>
      </c>
    </row>
    <row r="451" spans="1:5">
      <c r="A451" s="45" t="str">
        <f>IF(Base!B449="","",Base!B449)</f>
        <v/>
      </c>
      <c r="B451" s="45" t="str">
        <f>IF(Base!F449="","",Base!F449)</f>
        <v/>
      </c>
      <c r="C451" s="45" t="str">
        <f>IF(Base!I449="","",Base!I449)</f>
        <v/>
      </c>
      <c r="D451" s="46" t="str">
        <f>IF(Base!J449="","",Base!J449)</f>
        <v/>
      </c>
      <c r="E451" s="45" t="str">
        <f>IF(Base!H449="","",Base!H449)</f>
        <v/>
      </c>
    </row>
    <row r="452" spans="1:5">
      <c r="A452" s="45" t="str">
        <f>IF(Base!B450="","",Base!B450)</f>
        <v/>
      </c>
      <c r="B452" s="45" t="str">
        <f>IF(Base!F450="","",Base!F450)</f>
        <v/>
      </c>
      <c r="C452" s="45" t="str">
        <f>IF(Base!I450="","",Base!I450)</f>
        <v/>
      </c>
      <c r="D452" s="46" t="str">
        <f>IF(Base!J450="","",Base!J450)</f>
        <v/>
      </c>
      <c r="E452" s="45" t="str">
        <f>IF(Base!H450="","",Base!H450)</f>
        <v/>
      </c>
    </row>
    <row r="453" spans="1:5">
      <c r="A453" s="45" t="str">
        <f>IF(Base!B451="","",Base!B451)</f>
        <v/>
      </c>
      <c r="B453" s="45" t="str">
        <f>IF(Base!F451="","",Base!F451)</f>
        <v/>
      </c>
      <c r="C453" s="45" t="str">
        <f>IF(Base!I451="","",Base!I451)</f>
        <v/>
      </c>
      <c r="D453" s="46" t="str">
        <f>IF(Base!J451="","",Base!J451)</f>
        <v/>
      </c>
      <c r="E453" s="45" t="str">
        <f>IF(Base!H451="","",Base!H451)</f>
        <v/>
      </c>
    </row>
    <row r="454" spans="1:5">
      <c r="A454" s="45" t="str">
        <f>IF(Base!B452="","",Base!B452)</f>
        <v/>
      </c>
      <c r="B454" s="45" t="str">
        <f>IF(Base!F452="","",Base!F452)</f>
        <v/>
      </c>
      <c r="C454" s="45" t="str">
        <f>IF(Base!I452="","",Base!I452)</f>
        <v/>
      </c>
      <c r="D454" s="46" t="str">
        <f>IF(Base!J452="","",Base!J452)</f>
        <v/>
      </c>
      <c r="E454" s="45" t="str">
        <f>IF(Base!H452="","",Base!H452)</f>
        <v/>
      </c>
    </row>
    <row r="455" spans="1:5">
      <c r="A455" s="45" t="str">
        <f>IF(Base!B453="","",Base!B453)</f>
        <v/>
      </c>
      <c r="B455" s="45" t="str">
        <f>IF(Base!F453="","",Base!F453)</f>
        <v/>
      </c>
      <c r="C455" s="45" t="str">
        <f>IF(Base!I453="","",Base!I453)</f>
        <v/>
      </c>
      <c r="D455" s="46" t="str">
        <f>IF(Base!J453="","",Base!J453)</f>
        <v/>
      </c>
      <c r="E455" s="45" t="str">
        <f>IF(Base!H453="","",Base!H453)</f>
        <v/>
      </c>
    </row>
    <row r="456" spans="1:5">
      <c r="A456" s="45" t="str">
        <f>IF(Base!B454="","",Base!B454)</f>
        <v/>
      </c>
      <c r="B456" s="45" t="str">
        <f>IF(Base!F454="","",Base!F454)</f>
        <v/>
      </c>
      <c r="C456" s="45" t="str">
        <f>IF(Base!I454="","",Base!I454)</f>
        <v/>
      </c>
      <c r="D456" s="46" t="str">
        <f>IF(Base!J454="","",Base!J454)</f>
        <v/>
      </c>
      <c r="E456" s="45" t="str">
        <f>IF(Base!H454="","",Base!H454)</f>
        <v/>
      </c>
    </row>
    <row r="457" spans="1:5">
      <c r="A457" s="45" t="str">
        <f>IF(Base!B455="","",Base!B455)</f>
        <v/>
      </c>
      <c r="B457" s="45" t="str">
        <f>IF(Base!F455="","",Base!F455)</f>
        <v/>
      </c>
      <c r="C457" s="45" t="str">
        <f>IF(Base!I455="","",Base!I455)</f>
        <v/>
      </c>
      <c r="D457" s="46" t="str">
        <f>IF(Base!J455="","",Base!J455)</f>
        <v/>
      </c>
      <c r="E457" s="45" t="str">
        <f>IF(Base!H455="","",Base!H455)</f>
        <v/>
      </c>
    </row>
    <row r="458" spans="1:5">
      <c r="A458" s="45" t="str">
        <f>IF(Base!B456="","",Base!B456)</f>
        <v/>
      </c>
      <c r="B458" s="45" t="str">
        <f>IF(Base!F456="","",Base!F456)</f>
        <v/>
      </c>
      <c r="C458" s="45" t="str">
        <f>IF(Base!I456="","",Base!I456)</f>
        <v/>
      </c>
      <c r="D458" s="46" t="str">
        <f>IF(Base!J456="","",Base!J456)</f>
        <v/>
      </c>
      <c r="E458" s="45" t="str">
        <f>IF(Base!H456="","",Base!H456)</f>
        <v/>
      </c>
    </row>
    <row r="459" spans="1:5">
      <c r="A459" s="45" t="str">
        <f>IF(Base!B457="","",Base!B457)</f>
        <v/>
      </c>
      <c r="B459" s="45" t="str">
        <f>IF(Base!F457="","",Base!F457)</f>
        <v/>
      </c>
      <c r="C459" s="45" t="str">
        <f>IF(Base!I457="","",Base!I457)</f>
        <v/>
      </c>
      <c r="D459" s="46" t="str">
        <f>IF(Base!J457="","",Base!J457)</f>
        <v/>
      </c>
      <c r="E459" s="45" t="str">
        <f>IF(Base!H457="","",Base!H457)</f>
        <v/>
      </c>
    </row>
    <row r="460" spans="1:5">
      <c r="A460" s="45" t="str">
        <f>IF(Base!B458="","",Base!B458)</f>
        <v/>
      </c>
      <c r="B460" s="45" t="str">
        <f>IF(Base!F458="","",Base!F458)</f>
        <v/>
      </c>
      <c r="C460" s="45" t="str">
        <f>IF(Base!I458="","",Base!I458)</f>
        <v/>
      </c>
      <c r="D460" s="46" t="str">
        <f>IF(Base!J458="","",Base!J458)</f>
        <v/>
      </c>
      <c r="E460" s="45" t="str">
        <f>IF(Base!H458="","",Base!H458)</f>
        <v/>
      </c>
    </row>
    <row r="461" spans="1:5">
      <c r="A461" s="45" t="str">
        <f>IF(Base!B459="","",Base!B459)</f>
        <v/>
      </c>
      <c r="B461" s="45" t="str">
        <f>IF(Base!F459="","",Base!F459)</f>
        <v/>
      </c>
      <c r="C461" s="45" t="str">
        <f>IF(Base!I459="","",Base!I459)</f>
        <v/>
      </c>
      <c r="D461" s="46" t="str">
        <f>IF(Base!J459="","",Base!J459)</f>
        <v/>
      </c>
      <c r="E461" s="45" t="str">
        <f>IF(Base!H459="","",Base!H459)</f>
        <v/>
      </c>
    </row>
    <row r="462" spans="1:5">
      <c r="A462" s="45" t="str">
        <f>IF(Base!B460="","",Base!B460)</f>
        <v/>
      </c>
      <c r="B462" s="45" t="str">
        <f>IF(Base!F460="","",Base!F460)</f>
        <v/>
      </c>
      <c r="C462" s="45" t="str">
        <f>IF(Base!I460="","",Base!I460)</f>
        <v/>
      </c>
      <c r="D462" s="46" t="str">
        <f>IF(Base!J460="","",Base!J460)</f>
        <v/>
      </c>
      <c r="E462" s="45" t="str">
        <f>IF(Base!H460="","",Base!H460)</f>
        <v/>
      </c>
    </row>
    <row r="463" spans="1:5">
      <c r="A463" s="45" t="str">
        <f>IF(Base!B461="","",Base!B461)</f>
        <v/>
      </c>
      <c r="B463" s="45" t="str">
        <f>IF(Base!F461="","",Base!F461)</f>
        <v/>
      </c>
      <c r="C463" s="45" t="str">
        <f>IF(Base!I461="","",Base!I461)</f>
        <v/>
      </c>
      <c r="D463" s="46" t="str">
        <f>IF(Base!J461="","",Base!J461)</f>
        <v/>
      </c>
      <c r="E463" s="45" t="str">
        <f>IF(Base!H461="","",Base!H461)</f>
        <v/>
      </c>
    </row>
    <row r="464" spans="1:5">
      <c r="A464" s="45" t="str">
        <f>IF(Base!B462="","",Base!B462)</f>
        <v/>
      </c>
      <c r="B464" s="45" t="str">
        <f>IF(Base!F462="","",Base!F462)</f>
        <v/>
      </c>
      <c r="C464" s="45" t="str">
        <f>IF(Base!I462="","",Base!I462)</f>
        <v/>
      </c>
      <c r="D464" s="46" t="str">
        <f>IF(Base!J462="","",Base!J462)</f>
        <v/>
      </c>
      <c r="E464" s="45" t="str">
        <f>IF(Base!H462="","",Base!H462)</f>
        <v/>
      </c>
    </row>
    <row r="465" spans="1:5">
      <c r="A465" s="45" t="str">
        <f>IF(Base!B463="","",Base!B463)</f>
        <v/>
      </c>
      <c r="B465" s="45" t="str">
        <f>IF(Base!F463="","",Base!F463)</f>
        <v/>
      </c>
      <c r="C465" s="45" t="str">
        <f>IF(Base!I463="","",Base!I463)</f>
        <v/>
      </c>
      <c r="D465" s="46" t="str">
        <f>IF(Base!J463="","",Base!J463)</f>
        <v/>
      </c>
      <c r="E465" s="45" t="str">
        <f>IF(Base!H463="","",Base!H463)</f>
        <v/>
      </c>
    </row>
    <row r="466" spans="1:5">
      <c r="A466" s="45" t="str">
        <f>IF(Base!B464="","",Base!B464)</f>
        <v/>
      </c>
      <c r="B466" s="45" t="str">
        <f>IF(Base!F464="","",Base!F464)</f>
        <v/>
      </c>
      <c r="C466" s="45" t="str">
        <f>IF(Base!I464="","",Base!I464)</f>
        <v/>
      </c>
      <c r="D466" s="46" t="str">
        <f>IF(Base!J464="","",Base!J464)</f>
        <v/>
      </c>
      <c r="E466" s="45" t="str">
        <f>IF(Base!H464="","",Base!H464)</f>
        <v/>
      </c>
    </row>
    <row r="467" spans="1:5">
      <c r="A467" s="45" t="str">
        <f>IF(Base!B465="","",Base!B465)</f>
        <v/>
      </c>
      <c r="B467" s="45" t="str">
        <f>IF(Base!F465="","",Base!F465)</f>
        <v/>
      </c>
      <c r="C467" s="45" t="str">
        <f>IF(Base!I465="","",Base!I465)</f>
        <v/>
      </c>
      <c r="D467" s="46" t="str">
        <f>IF(Base!J465="","",Base!J465)</f>
        <v/>
      </c>
      <c r="E467" s="45" t="str">
        <f>IF(Base!H465="","",Base!H465)</f>
        <v/>
      </c>
    </row>
    <row r="468" spans="1:5">
      <c r="A468" s="45" t="str">
        <f>IF(Base!B466="","",Base!B466)</f>
        <v/>
      </c>
      <c r="B468" s="45" t="str">
        <f>IF(Base!F466="","",Base!F466)</f>
        <v/>
      </c>
      <c r="C468" s="45" t="str">
        <f>IF(Base!I466="","",Base!I466)</f>
        <v/>
      </c>
      <c r="D468" s="46" t="str">
        <f>IF(Base!J466="","",Base!J466)</f>
        <v/>
      </c>
      <c r="E468" s="45" t="str">
        <f>IF(Base!H466="","",Base!H466)</f>
        <v/>
      </c>
    </row>
    <row r="469" spans="1:5">
      <c r="A469" s="45" t="str">
        <f>IF(Base!B467="","",Base!B467)</f>
        <v/>
      </c>
      <c r="B469" s="45" t="str">
        <f>IF(Base!F467="","",Base!F467)</f>
        <v/>
      </c>
      <c r="C469" s="45" t="str">
        <f>IF(Base!I467="","",Base!I467)</f>
        <v/>
      </c>
      <c r="D469" s="46" t="str">
        <f>IF(Base!J467="","",Base!J467)</f>
        <v/>
      </c>
      <c r="E469" s="45" t="str">
        <f>IF(Base!H467="","",Base!H467)</f>
        <v/>
      </c>
    </row>
    <row r="470" spans="1:5">
      <c r="A470" s="45" t="str">
        <f>IF(Base!B468="","",Base!B468)</f>
        <v/>
      </c>
      <c r="B470" s="45" t="str">
        <f>IF(Base!F468="","",Base!F468)</f>
        <v/>
      </c>
      <c r="C470" s="45" t="str">
        <f>IF(Base!I468="","",Base!I468)</f>
        <v/>
      </c>
      <c r="D470" s="46" t="str">
        <f>IF(Base!J468="","",Base!J468)</f>
        <v/>
      </c>
      <c r="E470" s="45" t="str">
        <f>IF(Base!H468="","",Base!H468)</f>
        <v/>
      </c>
    </row>
    <row r="471" spans="1:5">
      <c r="A471" s="45" t="str">
        <f>IF(Base!B469="","",Base!B469)</f>
        <v/>
      </c>
      <c r="B471" s="45" t="str">
        <f>IF(Base!F469="","",Base!F469)</f>
        <v/>
      </c>
      <c r="C471" s="45" t="str">
        <f>IF(Base!I469="","",Base!I469)</f>
        <v/>
      </c>
      <c r="D471" s="46" t="str">
        <f>IF(Base!J469="","",Base!J469)</f>
        <v/>
      </c>
      <c r="E471" s="45" t="str">
        <f>IF(Base!H469="","",Base!H469)</f>
        <v/>
      </c>
    </row>
    <row r="472" spans="1:5">
      <c r="A472" s="45" t="str">
        <f>IF(Base!B470="","",Base!B470)</f>
        <v/>
      </c>
      <c r="B472" s="45" t="str">
        <f>IF(Base!F470="","",Base!F470)</f>
        <v/>
      </c>
      <c r="C472" s="45" t="str">
        <f>IF(Base!I470="","",Base!I470)</f>
        <v/>
      </c>
      <c r="D472" s="46" t="str">
        <f>IF(Base!J470="","",Base!J470)</f>
        <v/>
      </c>
      <c r="E472" s="45" t="str">
        <f>IF(Base!H470="","",Base!H470)</f>
        <v/>
      </c>
    </row>
    <row r="473" spans="1:5">
      <c r="A473" s="45" t="str">
        <f>IF(Base!B471="","",Base!B471)</f>
        <v/>
      </c>
      <c r="B473" s="45" t="str">
        <f>IF(Base!F471="","",Base!F471)</f>
        <v/>
      </c>
      <c r="C473" s="45" t="str">
        <f>IF(Base!I471="","",Base!I471)</f>
        <v/>
      </c>
      <c r="D473" s="46" t="str">
        <f>IF(Base!J471="","",Base!J471)</f>
        <v/>
      </c>
      <c r="E473" s="45" t="str">
        <f>IF(Base!H471="","",Base!H471)</f>
        <v/>
      </c>
    </row>
    <row r="474" spans="1:5">
      <c r="A474" s="45" t="str">
        <f>IF(Base!B472="","",Base!B472)</f>
        <v/>
      </c>
      <c r="B474" s="45" t="str">
        <f>IF(Base!F472="","",Base!F472)</f>
        <v/>
      </c>
      <c r="C474" s="45" t="str">
        <f>IF(Base!I472="","",Base!I472)</f>
        <v/>
      </c>
      <c r="D474" s="46" t="str">
        <f>IF(Base!J472="","",Base!J472)</f>
        <v/>
      </c>
      <c r="E474" s="45" t="str">
        <f>IF(Base!H472="","",Base!H472)</f>
        <v/>
      </c>
    </row>
    <row r="475" spans="1:5">
      <c r="A475" s="45" t="str">
        <f>IF(Base!B473="","",Base!B473)</f>
        <v/>
      </c>
      <c r="B475" s="45" t="str">
        <f>IF(Base!F473="","",Base!F473)</f>
        <v/>
      </c>
      <c r="C475" s="45" t="str">
        <f>IF(Base!I473="","",Base!I473)</f>
        <v/>
      </c>
      <c r="D475" s="46" t="str">
        <f>IF(Base!J473="","",Base!J473)</f>
        <v/>
      </c>
      <c r="E475" s="45" t="str">
        <f>IF(Base!H473="","",Base!H473)</f>
        <v/>
      </c>
    </row>
    <row r="476" spans="1:5">
      <c r="A476" s="45" t="str">
        <f>IF(Base!B474="","",Base!B474)</f>
        <v/>
      </c>
      <c r="B476" s="45" t="str">
        <f>IF(Base!F474="","",Base!F474)</f>
        <v/>
      </c>
      <c r="C476" s="45" t="str">
        <f>IF(Base!I474="","",Base!I474)</f>
        <v/>
      </c>
      <c r="D476" s="46" t="str">
        <f>IF(Base!J474="","",Base!J474)</f>
        <v/>
      </c>
      <c r="E476" s="45" t="str">
        <f>IF(Base!H474="","",Base!H474)</f>
        <v/>
      </c>
    </row>
    <row r="477" spans="1:5">
      <c r="A477" s="45" t="str">
        <f>IF(Base!B475="","",Base!B475)</f>
        <v/>
      </c>
      <c r="B477" s="45" t="str">
        <f>IF(Base!F475="","",Base!F475)</f>
        <v/>
      </c>
      <c r="C477" s="45" t="str">
        <f>IF(Base!I475="","",Base!I475)</f>
        <v/>
      </c>
      <c r="D477" s="46" t="str">
        <f>IF(Base!J475="","",Base!J475)</f>
        <v/>
      </c>
      <c r="E477" s="45" t="str">
        <f>IF(Base!H475="","",Base!H475)</f>
        <v/>
      </c>
    </row>
    <row r="478" spans="1:5">
      <c r="A478" s="45" t="str">
        <f>IF(Base!B476="","",Base!B476)</f>
        <v/>
      </c>
      <c r="B478" s="45" t="str">
        <f>IF(Base!F476="","",Base!F476)</f>
        <v/>
      </c>
      <c r="C478" s="45" t="str">
        <f>IF(Base!I476="","",Base!I476)</f>
        <v/>
      </c>
      <c r="D478" s="46" t="str">
        <f>IF(Base!J476="","",Base!J476)</f>
        <v/>
      </c>
      <c r="E478" s="45" t="str">
        <f>IF(Base!H476="","",Base!H476)</f>
        <v/>
      </c>
    </row>
    <row r="479" spans="1:5">
      <c r="A479" s="45" t="str">
        <f>IF(Base!B477="","",Base!B477)</f>
        <v/>
      </c>
      <c r="B479" s="45" t="str">
        <f>IF(Base!F477="","",Base!F477)</f>
        <v/>
      </c>
      <c r="C479" s="45" t="str">
        <f>IF(Base!I477="","",Base!I477)</f>
        <v/>
      </c>
      <c r="D479" s="46" t="str">
        <f>IF(Base!J477="","",Base!J477)</f>
        <v/>
      </c>
      <c r="E479" s="45" t="str">
        <f>IF(Base!H477="","",Base!H477)</f>
        <v/>
      </c>
    </row>
    <row r="480" spans="1:5">
      <c r="A480" s="45" t="str">
        <f>IF(Base!B478="","",Base!B478)</f>
        <v/>
      </c>
      <c r="B480" s="45" t="str">
        <f>IF(Base!F478="","",Base!F478)</f>
        <v/>
      </c>
      <c r="C480" s="45" t="str">
        <f>IF(Base!I478="","",Base!I478)</f>
        <v/>
      </c>
      <c r="D480" s="46" t="str">
        <f>IF(Base!J478="","",Base!J478)</f>
        <v/>
      </c>
      <c r="E480" s="45" t="str">
        <f>IF(Base!H478="","",Base!H478)</f>
        <v/>
      </c>
    </row>
    <row r="481" spans="1:5">
      <c r="A481" s="45" t="str">
        <f>IF(Base!B479="","",Base!B479)</f>
        <v/>
      </c>
      <c r="B481" s="45" t="str">
        <f>IF(Base!F479="","",Base!F479)</f>
        <v/>
      </c>
      <c r="C481" s="45" t="str">
        <f>IF(Base!I479="","",Base!I479)</f>
        <v/>
      </c>
      <c r="D481" s="46" t="str">
        <f>IF(Base!J479="","",Base!J479)</f>
        <v/>
      </c>
      <c r="E481" s="45" t="str">
        <f>IF(Base!H479="","",Base!H479)</f>
        <v/>
      </c>
    </row>
    <row r="482" spans="1:5">
      <c r="A482" s="45" t="str">
        <f>IF(Base!B480="","",Base!B480)</f>
        <v/>
      </c>
      <c r="B482" s="45" t="str">
        <f>IF(Base!F480="","",Base!F480)</f>
        <v/>
      </c>
      <c r="C482" s="45" t="str">
        <f>IF(Base!I480="","",Base!I480)</f>
        <v/>
      </c>
      <c r="D482" s="46" t="str">
        <f>IF(Base!J480="","",Base!J480)</f>
        <v/>
      </c>
      <c r="E482" s="45" t="str">
        <f>IF(Base!H480="","",Base!H480)</f>
        <v/>
      </c>
    </row>
    <row r="483" spans="1:5">
      <c r="A483" s="45" t="str">
        <f>IF(Base!B481="","",Base!B481)</f>
        <v/>
      </c>
      <c r="B483" s="45" t="str">
        <f>IF(Base!F481="","",Base!F481)</f>
        <v/>
      </c>
      <c r="C483" s="45" t="str">
        <f>IF(Base!I481="","",Base!I481)</f>
        <v/>
      </c>
      <c r="D483" s="46" t="str">
        <f>IF(Base!J481="","",Base!J481)</f>
        <v/>
      </c>
      <c r="E483" s="45" t="str">
        <f>IF(Base!H481="","",Base!H481)</f>
        <v/>
      </c>
    </row>
    <row r="484" spans="1:5">
      <c r="A484" s="45" t="str">
        <f>IF(Base!B482="","",Base!B482)</f>
        <v/>
      </c>
      <c r="B484" s="45" t="str">
        <f>IF(Base!F482="","",Base!F482)</f>
        <v/>
      </c>
      <c r="C484" s="45" t="str">
        <f>IF(Base!I482="","",Base!I482)</f>
        <v/>
      </c>
      <c r="D484" s="46" t="str">
        <f>IF(Base!J482="","",Base!J482)</f>
        <v/>
      </c>
      <c r="E484" s="45" t="str">
        <f>IF(Base!H482="","",Base!H482)</f>
        <v/>
      </c>
    </row>
    <row r="485" spans="1:5">
      <c r="A485" s="45" t="str">
        <f>IF(Base!B483="","",Base!B483)</f>
        <v/>
      </c>
      <c r="B485" s="45" t="str">
        <f>IF(Base!F483="","",Base!F483)</f>
        <v/>
      </c>
      <c r="C485" s="45" t="str">
        <f>IF(Base!I483="","",Base!I483)</f>
        <v/>
      </c>
      <c r="D485" s="46" t="str">
        <f>IF(Base!J483="","",Base!J483)</f>
        <v/>
      </c>
      <c r="E485" s="45" t="str">
        <f>IF(Base!H483="","",Base!H483)</f>
        <v/>
      </c>
    </row>
    <row r="486" spans="1:5">
      <c r="A486" s="45" t="str">
        <f>IF(Base!B484="","",Base!B484)</f>
        <v/>
      </c>
      <c r="B486" s="45" t="str">
        <f>IF(Base!F484="","",Base!F484)</f>
        <v/>
      </c>
      <c r="C486" s="45" t="str">
        <f>IF(Base!I484="","",Base!I484)</f>
        <v/>
      </c>
      <c r="D486" s="46" t="str">
        <f>IF(Base!J484="","",Base!J484)</f>
        <v/>
      </c>
      <c r="E486" s="45" t="str">
        <f>IF(Base!H484="","",Base!H484)</f>
        <v/>
      </c>
    </row>
    <row r="487" spans="1:5">
      <c r="A487" s="45" t="str">
        <f>IF(Base!B485="","",Base!B485)</f>
        <v/>
      </c>
      <c r="B487" s="45" t="str">
        <f>IF(Base!F485="","",Base!F485)</f>
        <v/>
      </c>
      <c r="C487" s="45" t="str">
        <f>IF(Base!I485="","",Base!I485)</f>
        <v/>
      </c>
      <c r="D487" s="46" t="str">
        <f>IF(Base!J485="","",Base!J485)</f>
        <v/>
      </c>
      <c r="E487" s="45" t="str">
        <f>IF(Base!H485="","",Base!H485)</f>
        <v/>
      </c>
    </row>
    <row r="488" spans="1:5">
      <c r="A488" s="45" t="str">
        <f>IF(Base!B486="","",Base!B486)</f>
        <v/>
      </c>
      <c r="B488" s="45" t="str">
        <f>IF(Base!F486="","",Base!F486)</f>
        <v/>
      </c>
      <c r="C488" s="45" t="str">
        <f>IF(Base!I486="","",Base!I486)</f>
        <v/>
      </c>
      <c r="D488" s="46" t="str">
        <f>IF(Base!J486="","",Base!J486)</f>
        <v/>
      </c>
      <c r="E488" s="45" t="str">
        <f>IF(Base!H486="","",Base!H486)</f>
        <v/>
      </c>
    </row>
    <row r="489" spans="1:5">
      <c r="A489" s="45" t="str">
        <f>IF(Base!B487="","",Base!B487)</f>
        <v/>
      </c>
      <c r="B489" s="45" t="str">
        <f>IF(Base!F487="","",Base!F487)</f>
        <v/>
      </c>
      <c r="C489" s="45" t="str">
        <f>IF(Base!I487="","",Base!I487)</f>
        <v/>
      </c>
      <c r="D489" s="46" t="str">
        <f>IF(Base!J487="","",Base!J487)</f>
        <v/>
      </c>
      <c r="E489" s="45" t="str">
        <f>IF(Base!H487="","",Base!H487)</f>
        <v/>
      </c>
    </row>
    <row r="490" spans="1:5">
      <c r="A490" s="45" t="str">
        <f>IF(Base!B488="","",Base!B488)</f>
        <v/>
      </c>
      <c r="B490" s="45" t="str">
        <f>IF(Base!F488="","",Base!F488)</f>
        <v/>
      </c>
      <c r="C490" s="45" t="str">
        <f>IF(Base!I488="","",Base!I488)</f>
        <v/>
      </c>
      <c r="D490" s="46" t="str">
        <f>IF(Base!J488="","",Base!J488)</f>
        <v/>
      </c>
      <c r="E490" s="45" t="str">
        <f>IF(Base!H488="","",Base!H488)</f>
        <v/>
      </c>
    </row>
    <row r="491" spans="1:5">
      <c r="A491" s="45" t="str">
        <f>IF(Base!B489="","",Base!B489)</f>
        <v/>
      </c>
      <c r="B491" s="45" t="str">
        <f>IF(Base!F489="","",Base!F489)</f>
        <v/>
      </c>
      <c r="C491" s="45" t="str">
        <f>IF(Base!I489="","",Base!I489)</f>
        <v/>
      </c>
      <c r="D491" s="46" t="str">
        <f>IF(Base!J489="","",Base!J489)</f>
        <v/>
      </c>
      <c r="E491" s="45" t="str">
        <f>IF(Base!H489="","",Base!H489)</f>
        <v/>
      </c>
    </row>
    <row r="492" spans="1:5">
      <c r="A492" s="45" t="str">
        <f>IF(Base!B490="","",Base!B490)</f>
        <v/>
      </c>
      <c r="B492" s="45" t="str">
        <f>IF(Base!F490="","",Base!F490)</f>
        <v/>
      </c>
      <c r="C492" s="45" t="str">
        <f>IF(Base!I490="","",Base!I490)</f>
        <v/>
      </c>
      <c r="D492" s="46" t="str">
        <f>IF(Base!J490="","",Base!J490)</f>
        <v/>
      </c>
      <c r="E492" s="45" t="str">
        <f>IF(Base!H490="","",Base!H490)</f>
        <v/>
      </c>
    </row>
    <row r="493" spans="1:5">
      <c r="A493" s="45" t="str">
        <f>IF(Base!B491="","",Base!B491)</f>
        <v/>
      </c>
      <c r="B493" s="45" t="str">
        <f>IF(Base!F491="","",Base!F491)</f>
        <v/>
      </c>
      <c r="C493" s="45" t="str">
        <f>IF(Base!I491="","",Base!I491)</f>
        <v/>
      </c>
      <c r="D493" s="46" t="str">
        <f>IF(Base!J491="","",Base!J491)</f>
        <v/>
      </c>
      <c r="E493" s="45" t="str">
        <f>IF(Base!H491="","",Base!H491)</f>
        <v/>
      </c>
    </row>
    <row r="494" spans="1:5">
      <c r="A494" s="45" t="str">
        <f>IF(Base!B492="","",Base!B492)</f>
        <v/>
      </c>
      <c r="B494" s="45" t="str">
        <f>IF(Base!F492="","",Base!F492)</f>
        <v/>
      </c>
      <c r="C494" s="45" t="str">
        <f>IF(Base!I492="","",Base!I492)</f>
        <v/>
      </c>
      <c r="D494" s="46" t="str">
        <f>IF(Base!J492="","",Base!J492)</f>
        <v/>
      </c>
      <c r="E494" s="45" t="str">
        <f>IF(Base!H492="","",Base!H492)</f>
        <v/>
      </c>
    </row>
    <row r="495" spans="1:5">
      <c r="A495" s="45" t="str">
        <f>IF(Base!B493="","",Base!B493)</f>
        <v/>
      </c>
      <c r="B495" s="45" t="str">
        <f>IF(Base!F493="","",Base!F493)</f>
        <v/>
      </c>
      <c r="C495" s="45" t="str">
        <f>IF(Base!I493="","",Base!I493)</f>
        <v/>
      </c>
      <c r="D495" s="46" t="str">
        <f>IF(Base!J493="","",Base!J493)</f>
        <v/>
      </c>
      <c r="E495" s="45" t="str">
        <f>IF(Base!H493="","",Base!H493)</f>
        <v/>
      </c>
    </row>
    <row r="496" spans="1:5">
      <c r="A496" s="45" t="str">
        <f>IF(Base!B494="","",Base!B494)</f>
        <v/>
      </c>
      <c r="B496" s="45" t="str">
        <f>IF(Base!F494="","",Base!F494)</f>
        <v/>
      </c>
      <c r="C496" s="45" t="str">
        <f>IF(Base!I494="","",Base!I494)</f>
        <v/>
      </c>
      <c r="D496" s="46" t="str">
        <f>IF(Base!J494="","",Base!J494)</f>
        <v/>
      </c>
      <c r="E496" s="45" t="str">
        <f>IF(Base!H494="","",Base!H494)</f>
        <v/>
      </c>
    </row>
    <row r="497" spans="1:5">
      <c r="A497" s="45" t="str">
        <f>IF(Base!B495="","",Base!B495)</f>
        <v/>
      </c>
      <c r="B497" s="45" t="str">
        <f>IF(Base!F495="","",Base!F495)</f>
        <v/>
      </c>
      <c r="C497" s="45" t="str">
        <f>IF(Base!I495="","",Base!I495)</f>
        <v/>
      </c>
      <c r="D497" s="46" t="str">
        <f>IF(Base!J495="","",Base!J495)</f>
        <v/>
      </c>
      <c r="E497" s="45" t="str">
        <f>IF(Base!H495="","",Base!H495)</f>
        <v/>
      </c>
    </row>
    <row r="498" spans="1:5">
      <c r="A498" s="45" t="str">
        <f>IF(Base!B496="","",Base!B496)</f>
        <v/>
      </c>
      <c r="B498" s="45" t="str">
        <f>IF(Base!F496="","",Base!F496)</f>
        <v/>
      </c>
      <c r="C498" s="45" t="str">
        <f>IF(Base!I496="","",Base!I496)</f>
        <v/>
      </c>
      <c r="D498" s="46" t="str">
        <f>IF(Base!J496="","",Base!J496)</f>
        <v/>
      </c>
      <c r="E498" s="45" t="str">
        <f>IF(Base!H496="","",Base!H496)</f>
        <v/>
      </c>
    </row>
    <row r="499" spans="1:5">
      <c r="A499" s="45" t="str">
        <f>IF(Base!B497="","",Base!B497)</f>
        <v/>
      </c>
      <c r="B499" s="45" t="str">
        <f>IF(Base!F497="","",Base!F497)</f>
        <v/>
      </c>
      <c r="C499" s="45" t="str">
        <f>IF(Base!I497="","",Base!I497)</f>
        <v/>
      </c>
      <c r="D499" s="46" t="str">
        <f>IF(Base!J497="","",Base!J497)</f>
        <v/>
      </c>
      <c r="E499" s="45" t="str">
        <f>IF(Base!H497="","",Base!H497)</f>
        <v/>
      </c>
    </row>
    <row r="500" spans="1:5">
      <c r="A500" s="45" t="str">
        <f>IF(Base!B498="","",Base!B498)</f>
        <v/>
      </c>
      <c r="B500" s="45" t="str">
        <f>IF(Base!F498="","",Base!F498)</f>
        <v/>
      </c>
      <c r="C500" s="45" t="str">
        <f>IF(Base!I498="","",Base!I498)</f>
        <v/>
      </c>
      <c r="D500" s="46" t="str">
        <f>IF(Base!J498="","",Base!J498)</f>
        <v/>
      </c>
      <c r="E500" s="45" t="str">
        <f>IF(Base!H498="","",Base!H498)</f>
        <v/>
      </c>
    </row>
    <row r="501" spans="1:5">
      <c r="A501" s="45" t="str">
        <f>IF(Base!B499="","",Base!B499)</f>
        <v/>
      </c>
      <c r="B501" s="45" t="str">
        <f>IF(Base!F499="","",Base!F499)</f>
        <v/>
      </c>
      <c r="C501" s="45" t="str">
        <f>IF(Base!I499="","",Base!I499)</f>
        <v/>
      </c>
      <c r="D501" s="46" t="str">
        <f>IF(Base!J499="","",Base!J499)</f>
        <v/>
      </c>
      <c r="E501" s="45" t="str">
        <f>IF(Base!H499="","",Base!H499)</f>
        <v/>
      </c>
    </row>
    <row r="502" spans="1:5">
      <c r="A502" s="45" t="str">
        <f>IF(Base!B500="","",Base!B500)</f>
        <v/>
      </c>
      <c r="B502" s="45" t="str">
        <f>IF(Base!F500="","",Base!F500)</f>
        <v/>
      </c>
      <c r="C502" s="45" t="str">
        <f>IF(Base!I500="","",Base!I500)</f>
        <v/>
      </c>
      <c r="D502" s="46" t="str">
        <f>IF(Base!J500="","",Base!J500)</f>
        <v/>
      </c>
      <c r="E502" s="45" t="str">
        <f>IF(Base!H500="","",Base!H500)</f>
        <v/>
      </c>
    </row>
    <row r="503" spans="1:5">
      <c r="A503" s="45" t="str">
        <f>IF(Base!B501="","",Base!B501)</f>
        <v/>
      </c>
      <c r="B503" s="45" t="str">
        <f>IF(Base!F501="","",Base!F501)</f>
        <v/>
      </c>
      <c r="C503" s="45" t="str">
        <f>IF(Base!I501="","",Base!I501)</f>
        <v/>
      </c>
      <c r="D503" s="46" t="str">
        <f>IF(Base!J501="","",Base!J501)</f>
        <v/>
      </c>
      <c r="E503" s="45" t="str">
        <f>IF(Base!H501="","",Base!H501)</f>
        <v/>
      </c>
    </row>
    <row r="504" spans="1:5">
      <c r="A504" s="45" t="str">
        <f>IF(Base!B502="","",Base!B502)</f>
        <v/>
      </c>
      <c r="B504" s="45" t="str">
        <f>IF(Base!F502="","",Base!F502)</f>
        <v/>
      </c>
      <c r="C504" s="45" t="str">
        <f>IF(Base!I502="","",Base!I502)</f>
        <v/>
      </c>
      <c r="D504" s="46" t="str">
        <f>IF(Base!J502="","",Base!J502)</f>
        <v/>
      </c>
      <c r="E504" s="45" t="str">
        <f>IF(Base!H502="","",Base!H502)</f>
        <v/>
      </c>
    </row>
    <row r="505" spans="1:5">
      <c r="A505" s="45" t="str">
        <f>IF(Base!B503="","",Base!B503)</f>
        <v/>
      </c>
      <c r="B505" s="45" t="str">
        <f>IF(Base!F503="","",Base!F503)</f>
        <v/>
      </c>
      <c r="C505" s="45" t="str">
        <f>IF(Base!I503="","",Base!I503)</f>
        <v/>
      </c>
      <c r="D505" s="46" t="str">
        <f>IF(Base!J503="","",Base!J503)</f>
        <v/>
      </c>
      <c r="E505" s="45" t="str">
        <f>IF(Base!H503="","",Base!H503)</f>
        <v/>
      </c>
    </row>
    <row r="506" spans="1:5">
      <c r="A506" s="45" t="str">
        <f>IF(Base!B504="","",Base!B504)</f>
        <v/>
      </c>
      <c r="B506" s="45" t="str">
        <f>IF(Base!F504="","",Base!F504)</f>
        <v/>
      </c>
      <c r="C506" s="45" t="str">
        <f>IF(Base!I504="","",Base!I504)</f>
        <v/>
      </c>
      <c r="D506" s="46" t="str">
        <f>IF(Base!J504="","",Base!J504)</f>
        <v/>
      </c>
      <c r="E506" s="45" t="str">
        <f>IF(Base!H504="","",Base!H504)</f>
        <v/>
      </c>
    </row>
    <row r="507" spans="1:5">
      <c r="A507" s="45" t="str">
        <f>IF(Base!B505="","",Base!B505)</f>
        <v/>
      </c>
      <c r="B507" s="45" t="str">
        <f>IF(Base!F505="","",Base!F505)</f>
        <v/>
      </c>
      <c r="C507" s="45" t="str">
        <f>IF(Base!I505="","",Base!I505)</f>
        <v/>
      </c>
      <c r="D507" s="46" t="str">
        <f>IF(Base!J505="","",Base!J505)</f>
        <v/>
      </c>
      <c r="E507" s="45" t="str">
        <f>IF(Base!H505="","",Base!H505)</f>
        <v/>
      </c>
    </row>
    <row r="508" spans="1:5">
      <c r="A508" s="45" t="str">
        <f>IF(Base!B506="","",Base!B506)</f>
        <v/>
      </c>
      <c r="B508" s="45" t="str">
        <f>IF(Base!F506="","",Base!F506)</f>
        <v/>
      </c>
      <c r="C508" s="45" t="str">
        <f>IF(Base!I506="","",Base!I506)</f>
        <v/>
      </c>
      <c r="D508" s="46" t="str">
        <f>IF(Base!J506="","",Base!J506)</f>
        <v/>
      </c>
      <c r="E508" s="45" t="str">
        <f>IF(Base!H506="","",Base!H506)</f>
        <v/>
      </c>
    </row>
    <row r="509" spans="1:5">
      <c r="A509" s="45" t="str">
        <f>IF(Base!B507="","",Base!B507)</f>
        <v/>
      </c>
      <c r="B509" s="45" t="str">
        <f>IF(Base!F507="","",Base!F507)</f>
        <v/>
      </c>
      <c r="C509" s="45" t="str">
        <f>IF(Base!I507="","",Base!I507)</f>
        <v/>
      </c>
      <c r="D509" s="46" t="str">
        <f>IF(Base!J507="","",Base!J507)</f>
        <v/>
      </c>
      <c r="E509" s="45" t="str">
        <f>IF(Base!H507="","",Base!H507)</f>
        <v/>
      </c>
    </row>
    <row r="510" spans="1:5">
      <c r="A510" s="45" t="str">
        <f>IF(Base!B508="","",Base!B508)</f>
        <v/>
      </c>
      <c r="B510" s="45" t="str">
        <f>IF(Base!F508="","",Base!F508)</f>
        <v/>
      </c>
      <c r="C510" s="45" t="str">
        <f>IF(Base!I508="","",Base!I508)</f>
        <v/>
      </c>
      <c r="D510" s="46" t="str">
        <f>IF(Base!J508="","",Base!J508)</f>
        <v/>
      </c>
      <c r="E510" s="45" t="str">
        <f>IF(Base!H508="","",Base!H508)</f>
        <v/>
      </c>
    </row>
    <row r="511" spans="1:5">
      <c r="A511" s="45" t="str">
        <f>IF(Base!B509="","",Base!B509)</f>
        <v/>
      </c>
      <c r="B511" s="45" t="str">
        <f>IF(Base!F509="","",Base!F509)</f>
        <v/>
      </c>
      <c r="C511" s="45" t="str">
        <f>IF(Base!I509="","",Base!I509)</f>
        <v/>
      </c>
      <c r="D511" s="46" t="str">
        <f>IF(Base!J509="","",Base!J509)</f>
        <v/>
      </c>
      <c r="E511" s="45" t="str">
        <f>IF(Base!H509="","",Base!H509)</f>
        <v/>
      </c>
    </row>
    <row r="512" spans="1:5">
      <c r="A512" s="45" t="str">
        <f>IF(Base!B510="","",Base!B510)</f>
        <v/>
      </c>
      <c r="B512" s="45" t="str">
        <f>IF(Base!F510="","",Base!F510)</f>
        <v/>
      </c>
      <c r="C512" s="45" t="str">
        <f>IF(Base!I510="","",Base!I510)</f>
        <v/>
      </c>
      <c r="D512" s="46" t="str">
        <f>IF(Base!J510="","",Base!J510)</f>
        <v/>
      </c>
      <c r="E512" s="45" t="str">
        <f>IF(Base!H510="","",Base!H510)</f>
        <v/>
      </c>
    </row>
    <row r="513" spans="1:5">
      <c r="A513" s="45" t="str">
        <f>IF(Base!B511="","",Base!B511)</f>
        <v/>
      </c>
      <c r="B513" s="45" t="str">
        <f>IF(Base!F511="","",Base!F511)</f>
        <v/>
      </c>
      <c r="C513" s="45" t="str">
        <f>IF(Base!I511="","",Base!I511)</f>
        <v/>
      </c>
      <c r="D513" s="46" t="str">
        <f>IF(Base!J511="","",Base!J511)</f>
        <v/>
      </c>
      <c r="E513" s="45" t="str">
        <f>IF(Base!H511="","",Base!H511)</f>
        <v/>
      </c>
    </row>
    <row r="514" spans="1:5">
      <c r="A514" s="45" t="str">
        <f>IF(Base!B512="","",Base!B512)</f>
        <v/>
      </c>
      <c r="B514" s="45" t="str">
        <f>IF(Base!F512="","",Base!F512)</f>
        <v/>
      </c>
      <c r="C514" s="45" t="str">
        <f>IF(Base!I512="","",Base!I512)</f>
        <v/>
      </c>
      <c r="D514" s="46" t="str">
        <f>IF(Base!J512="","",Base!J512)</f>
        <v/>
      </c>
      <c r="E514" s="45" t="str">
        <f>IF(Base!H512="","",Base!H512)</f>
        <v/>
      </c>
    </row>
    <row r="515" spans="1:5">
      <c r="A515" s="45" t="str">
        <f>IF(Base!B513="","",Base!B513)</f>
        <v/>
      </c>
      <c r="B515" s="45" t="str">
        <f>IF(Base!F513="","",Base!F513)</f>
        <v/>
      </c>
      <c r="C515" s="45" t="str">
        <f>IF(Base!I513="","",Base!I513)</f>
        <v/>
      </c>
      <c r="D515" s="46" t="str">
        <f>IF(Base!J513="","",Base!J513)</f>
        <v/>
      </c>
      <c r="E515" s="45" t="str">
        <f>IF(Base!H513="","",Base!H513)</f>
        <v/>
      </c>
    </row>
    <row r="516" spans="1:5">
      <c r="A516" s="45" t="str">
        <f>IF(Base!B514="","",Base!B514)</f>
        <v/>
      </c>
      <c r="B516" s="45" t="str">
        <f>IF(Base!F514="","",Base!F514)</f>
        <v/>
      </c>
      <c r="C516" s="45" t="str">
        <f>IF(Base!I514="","",Base!I514)</f>
        <v/>
      </c>
      <c r="D516" s="46" t="str">
        <f>IF(Base!J514="","",Base!J514)</f>
        <v/>
      </c>
      <c r="E516" s="45" t="str">
        <f>IF(Base!H514="","",Base!H514)</f>
        <v/>
      </c>
    </row>
    <row r="517" spans="1:5">
      <c r="A517" s="45" t="str">
        <f>IF(Base!B515="","",Base!B515)</f>
        <v/>
      </c>
      <c r="B517" s="45" t="str">
        <f>IF(Base!F515="","",Base!F515)</f>
        <v/>
      </c>
      <c r="C517" s="45" t="str">
        <f>IF(Base!I515="","",Base!I515)</f>
        <v/>
      </c>
      <c r="D517" s="46" t="str">
        <f>IF(Base!J515="","",Base!J515)</f>
        <v/>
      </c>
      <c r="E517" s="45" t="str">
        <f>IF(Base!H515="","",Base!H515)</f>
        <v/>
      </c>
    </row>
    <row r="518" spans="1:5">
      <c r="A518" s="45" t="str">
        <f>IF(Base!B516="","",Base!B516)</f>
        <v/>
      </c>
      <c r="B518" s="45" t="str">
        <f>IF(Base!F516="","",Base!F516)</f>
        <v/>
      </c>
      <c r="C518" s="45" t="str">
        <f>IF(Base!I516="","",Base!I516)</f>
        <v/>
      </c>
      <c r="D518" s="46" t="str">
        <f>IF(Base!J516="","",Base!J516)</f>
        <v/>
      </c>
      <c r="E518" s="45" t="str">
        <f>IF(Base!H516="","",Base!H516)</f>
        <v/>
      </c>
    </row>
    <row r="519" spans="1:5">
      <c r="A519" s="45" t="str">
        <f>IF(Base!B517="","",Base!B517)</f>
        <v/>
      </c>
      <c r="B519" s="45" t="str">
        <f>IF(Base!F517="","",Base!F517)</f>
        <v/>
      </c>
      <c r="C519" s="45" t="str">
        <f>IF(Base!I517="","",Base!I517)</f>
        <v/>
      </c>
      <c r="D519" s="46" t="str">
        <f>IF(Base!J517="","",Base!J517)</f>
        <v/>
      </c>
      <c r="E519" s="45" t="str">
        <f>IF(Base!H517="","",Base!H517)</f>
        <v/>
      </c>
    </row>
    <row r="520" spans="1:5">
      <c r="A520" s="45" t="str">
        <f>IF(Base!B518="","",Base!B518)</f>
        <v/>
      </c>
      <c r="B520" s="45" t="str">
        <f>IF(Base!F518="","",Base!F518)</f>
        <v/>
      </c>
      <c r="C520" s="45" t="str">
        <f>IF(Base!I518="","",Base!I518)</f>
        <v/>
      </c>
      <c r="D520" s="46" t="str">
        <f>IF(Base!J518="","",Base!J518)</f>
        <v/>
      </c>
      <c r="E520" s="45" t="str">
        <f>IF(Base!H518="","",Base!H518)</f>
        <v/>
      </c>
    </row>
    <row r="521" spans="1:5">
      <c r="A521" s="45" t="str">
        <f>IF(Base!B519="","",Base!B519)</f>
        <v/>
      </c>
      <c r="B521" s="45" t="str">
        <f>IF(Base!F519="","",Base!F519)</f>
        <v/>
      </c>
      <c r="C521" s="45" t="str">
        <f>IF(Base!I519="","",Base!I519)</f>
        <v/>
      </c>
      <c r="D521" s="46" t="str">
        <f>IF(Base!J519="","",Base!J519)</f>
        <v/>
      </c>
      <c r="E521" s="45" t="str">
        <f>IF(Base!H519="","",Base!H519)</f>
        <v/>
      </c>
    </row>
    <row r="522" spans="1:5">
      <c r="A522" s="45" t="str">
        <f>IF(Base!B520="","",Base!B520)</f>
        <v/>
      </c>
      <c r="B522" s="45" t="str">
        <f>IF(Base!F520="","",Base!F520)</f>
        <v/>
      </c>
      <c r="C522" s="45" t="str">
        <f>IF(Base!I520="","",Base!I520)</f>
        <v/>
      </c>
      <c r="D522" s="46" t="str">
        <f>IF(Base!J520="","",Base!J520)</f>
        <v/>
      </c>
      <c r="E522" s="45" t="str">
        <f>IF(Base!H520="","",Base!H520)</f>
        <v/>
      </c>
    </row>
    <row r="523" spans="1:5">
      <c r="A523" s="45" t="str">
        <f>IF(Base!B521="","",Base!B521)</f>
        <v/>
      </c>
      <c r="B523" s="45" t="str">
        <f>IF(Base!F521="","",Base!F521)</f>
        <v/>
      </c>
      <c r="C523" s="45" t="str">
        <f>IF(Base!I521="","",Base!I521)</f>
        <v/>
      </c>
      <c r="D523" s="46" t="str">
        <f>IF(Base!J521="","",Base!J521)</f>
        <v/>
      </c>
      <c r="E523" s="45" t="str">
        <f>IF(Base!H521="","",Base!H521)</f>
        <v/>
      </c>
    </row>
    <row r="524" spans="1:5">
      <c r="A524" s="45" t="str">
        <f>IF(Base!B522="","",Base!B522)</f>
        <v/>
      </c>
      <c r="B524" s="45" t="str">
        <f>IF(Base!F522="","",Base!F522)</f>
        <v/>
      </c>
      <c r="C524" s="45" t="str">
        <f>IF(Base!I522="","",Base!I522)</f>
        <v/>
      </c>
      <c r="D524" s="46" t="str">
        <f>IF(Base!J522="","",Base!J522)</f>
        <v/>
      </c>
      <c r="E524" s="45" t="str">
        <f>IF(Base!H522="","",Base!H522)</f>
        <v/>
      </c>
    </row>
    <row r="525" spans="1:5">
      <c r="A525" s="45" t="str">
        <f>IF(Base!B523="","",Base!B523)</f>
        <v/>
      </c>
      <c r="B525" s="45" t="str">
        <f>IF(Base!F523="","",Base!F523)</f>
        <v/>
      </c>
      <c r="C525" s="45" t="str">
        <f>IF(Base!I523="","",Base!I523)</f>
        <v/>
      </c>
      <c r="D525" s="46" t="str">
        <f>IF(Base!J523="","",Base!J523)</f>
        <v/>
      </c>
      <c r="E525" s="45" t="str">
        <f>IF(Base!H523="","",Base!H523)</f>
        <v/>
      </c>
    </row>
    <row r="526" spans="1:5">
      <c r="A526" s="45" t="str">
        <f>IF(Base!B524="","",Base!B524)</f>
        <v/>
      </c>
      <c r="B526" s="45" t="str">
        <f>IF(Base!F524="","",Base!F524)</f>
        <v/>
      </c>
      <c r="C526" s="45" t="str">
        <f>IF(Base!I524="","",Base!I524)</f>
        <v/>
      </c>
      <c r="D526" s="46" t="str">
        <f>IF(Base!J524="","",Base!J524)</f>
        <v/>
      </c>
      <c r="E526" s="45" t="str">
        <f>IF(Base!H524="","",Base!H524)</f>
        <v/>
      </c>
    </row>
    <row r="527" spans="1:5">
      <c r="A527" s="45" t="str">
        <f>IF(Base!B525="","",Base!B525)</f>
        <v/>
      </c>
      <c r="B527" s="45" t="str">
        <f>IF(Base!F525="","",Base!F525)</f>
        <v/>
      </c>
      <c r="C527" s="45" t="str">
        <f>IF(Base!I525="","",Base!I525)</f>
        <v/>
      </c>
      <c r="D527" s="46" t="str">
        <f>IF(Base!J525="","",Base!J525)</f>
        <v/>
      </c>
      <c r="E527" s="45" t="str">
        <f>IF(Base!H525="","",Base!H525)</f>
        <v/>
      </c>
    </row>
    <row r="528" spans="1:5">
      <c r="A528" s="45" t="str">
        <f>IF(Base!B526="","",Base!B526)</f>
        <v/>
      </c>
      <c r="B528" s="45" t="str">
        <f>IF(Base!F526="","",Base!F526)</f>
        <v/>
      </c>
      <c r="C528" s="45" t="str">
        <f>IF(Base!I526="","",Base!I526)</f>
        <v/>
      </c>
      <c r="D528" s="46" t="str">
        <f>IF(Base!J526="","",Base!J526)</f>
        <v/>
      </c>
      <c r="E528" s="45" t="str">
        <f>IF(Base!H526="","",Base!H526)</f>
        <v/>
      </c>
    </row>
    <row r="529" spans="1:5">
      <c r="A529" s="45" t="str">
        <f>IF(Base!B527="","",Base!B527)</f>
        <v/>
      </c>
      <c r="B529" s="45" t="str">
        <f>IF(Base!F527="","",Base!F527)</f>
        <v/>
      </c>
      <c r="C529" s="45" t="str">
        <f>IF(Base!I527="","",Base!I527)</f>
        <v/>
      </c>
      <c r="D529" s="46" t="str">
        <f>IF(Base!J527="","",Base!J527)</f>
        <v/>
      </c>
      <c r="E529" s="45" t="str">
        <f>IF(Base!H527="","",Base!H527)</f>
        <v/>
      </c>
    </row>
    <row r="530" spans="1:5">
      <c r="A530" s="45" t="str">
        <f>IF(Base!B528="","",Base!B528)</f>
        <v/>
      </c>
      <c r="B530" s="45" t="str">
        <f>IF(Base!F528="","",Base!F528)</f>
        <v/>
      </c>
      <c r="C530" s="45" t="str">
        <f>IF(Base!I528="","",Base!I528)</f>
        <v/>
      </c>
      <c r="D530" s="46" t="str">
        <f>IF(Base!J528="","",Base!J528)</f>
        <v/>
      </c>
      <c r="E530" s="45" t="str">
        <f>IF(Base!H528="","",Base!H528)</f>
        <v/>
      </c>
    </row>
    <row r="531" spans="1:5">
      <c r="A531" s="45" t="str">
        <f>IF(Base!B529="","",Base!B529)</f>
        <v/>
      </c>
      <c r="B531" s="45" t="str">
        <f>IF(Base!F529="","",Base!F529)</f>
        <v/>
      </c>
      <c r="C531" s="45" t="str">
        <f>IF(Base!I529="","",Base!I529)</f>
        <v/>
      </c>
      <c r="D531" s="46" t="str">
        <f>IF(Base!J529="","",Base!J529)</f>
        <v/>
      </c>
      <c r="E531" s="45" t="str">
        <f>IF(Base!H529="","",Base!H529)</f>
        <v/>
      </c>
    </row>
    <row r="532" spans="1:5">
      <c r="A532" s="45" t="str">
        <f>IF(Base!B530="","",Base!B530)</f>
        <v/>
      </c>
      <c r="B532" s="45" t="str">
        <f>IF(Base!F530="","",Base!F530)</f>
        <v/>
      </c>
      <c r="C532" s="45" t="str">
        <f>IF(Base!I530="","",Base!I530)</f>
        <v/>
      </c>
      <c r="D532" s="46" t="str">
        <f>IF(Base!J530="","",Base!J530)</f>
        <v/>
      </c>
      <c r="E532" s="45" t="str">
        <f>IF(Base!H530="","",Base!H530)</f>
        <v/>
      </c>
    </row>
    <row r="533" spans="1:5">
      <c r="A533" s="45" t="str">
        <f>IF(Base!B531="","",Base!B531)</f>
        <v/>
      </c>
      <c r="B533" s="45" t="str">
        <f>IF(Base!F531="","",Base!F531)</f>
        <v/>
      </c>
      <c r="C533" s="45" t="str">
        <f>IF(Base!I531="","",Base!I531)</f>
        <v/>
      </c>
      <c r="D533" s="46" t="str">
        <f>IF(Base!J531="","",Base!J531)</f>
        <v/>
      </c>
      <c r="E533" s="45" t="str">
        <f>IF(Base!H531="","",Base!H531)</f>
        <v/>
      </c>
    </row>
    <row r="534" spans="1:5">
      <c r="A534" s="45" t="str">
        <f>IF(Base!B532="","",Base!B532)</f>
        <v/>
      </c>
      <c r="B534" s="45" t="str">
        <f>IF(Base!F532="","",Base!F532)</f>
        <v/>
      </c>
      <c r="C534" s="45" t="str">
        <f>IF(Base!I532="","",Base!I532)</f>
        <v/>
      </c>
      <c r="D534" s="46" t="str">
        <f>IF(Base!J532="","",Base!J532)</f>
        <v/>
      </c>
      <c r="E534" s="45" t="str">
        <f>IF(Base!H532="","",Base!H532)</f>
        <v/>
      </c>
    </row>
    <row r="535" spans="1:5">
      <c r="A535" s="45" t="str">
        <f>IF(Base!B533="","",Base!B533)</f>
        <v/>
      </c>
      <c r="B535" s="45" t="str">
        <f>IF(Base!F533="","",Base!F533)</f>
        <v/>
      </c>
      <c r="C535" s="45" t="str">
        <f>IF(Base!I533="","",Base!I533)</f>
        <v/>
      </c>
      <c r="D535" s="46" t="str">
        <f>IF(Base!J533="","",Base!J533)</f>
        <v/>
      </c>
      <c r="E535" s="45" t="str">
        <f>IF(Base!H533="","",Base!H533)</f>
        <v/>
      </c>
    </row>
    <row r="536" spans="1:5">
      <c r="A536" s="45" t="str">
        <f>IF(Base!B534="","",Base!B534)</f>
        <v/>
      </c>
      <c r="B536" s="45" t="str">
        <f>IF(Base!F534="","",Base!F534)</f>
        <v/>
      </c>
      <c r="C536" s="45" t="str">
        <f>IF(Base!I534="","",Base!I534)</f>
        <v/>
      </c>
      <c r="D536" s="46" t="str">
        <f>IF(Base!J534="","",Base!J534)</f>
        <v/>
      </c>
      <c r="E536" s="45" t="str">
        <f>IF(Base!H534="","",Base!H534)</f>
        <v/>
      </c>
    </row>
    <row r="537" spans="1:5">
      <c r="A537" s="45" t="str">
        <f>IF(Base!B535="","",Base!B535)</f>
        <v/>
      </c>
      <c r="B537" s="45" t="str">
        <f>IF(Base!F535="","",Base!F535)</f>
        <v/>
      </c>
      <c r="C537" s="45" t="str">
        <f>IF(Base!I535="","",Base!I535)</f>
        <v/>
      </c>
      <c r="D537" s="46" t="str">
        <f>IF(Base!J535="","",Base!J535)</f>
        <v/>
      </c>
      <c r="E537" s="45" t="str">
        <f>IF(Base!H535="","",Base!H535)</f>
        <v/>
      </c>
    </row>
    <row r="538" spans="1:5">
      <c r="A538" s="45" t="str">
        <f>IF(Base!B536="","",Base!B536)</f>
        <v/>
      </c>
      <c r="B538" s="45" t="str">
        <f>IF(Base!F536="","",Base!F536)</f>
        <v/>
      </c>
      <c r="C538" s="45" t="str">
        <f>IF(Base!I536="","",Base!I536)</f>
        <v/>
      </c>
      <c r="D538" s="46" t="str">
        <f>IF(Base!J536="","",Base!J536)</f>
        <v/>
      </c>
      <c r="E538" s="45" t="str">
        <f>IF(Base!H536="","",Base!H536)</f>
        <v/>
      </c>
    </row>
    <row r="539" spans="1:5">
      <c r="A539" s="45" t="str">
        <f>IF(Base!B537="","",Base!B537)</f>
        <v/>
      </c>
      <c r="B539" s="45" t="str">
        <f>IF(Base!F537="","",Base!F537)</f>
        <v/>
      </c>
      <c r="C539" s="45" t="str">
        <f>IF(Base!I537="","",Base!I537)</f>
        <v/>
      </c>
      <c r="D539" s="46" t="str">
        <f>IF(Base!J537="","",Base!J537)</f>
        <v/>
      </c>
      <c r="E539" s="45" t="str">
        <f>IF(Base!H537="","",Base!H537)</f>
        <v/>
      </c>
    </row>
    <row r="540" spans="1:5">
      <c r="A540" s="45" t="str">
        <f>IF(Base!B538="","",Base!B538)</f>
        <v/>
      </c>
      <c r="B540" s="45" t="str">
        <f>IF(Base!F538="","",Base!F538)</f>
        <v/>
      </c>
      <c r="C540" s="45" t="str">
        <f>IF(Base!I538="","",Base!I538)</f>
        <v/>
      </c>
      <c r="D540" s="46" t="str">
        <f>IF(Base!J538="","",Base!J538)</f>
        <v/>
      </c>
      <c r="E540" s="45" t="str">
        <f>IF(Base!H538="","",Base!H538)</f>
        <v/>
      </c>
    </row>
    <row r="541" spans="1:5">
      <c r="A541" s="45" t="str">
        <f>IF(Base!B539="","",Base!B539)</f>
        <v/>
      </c>
      <c r="B541" s="45" t="str">
        <f>IF(Base!F539="","",Base!F539)</f>
        <v/>
      </c>
      <c r="C541" s="45" t="str">
        <f>IF(Base!I539="","",Base!I539)</f>
        <v/>
      </c>
      <c r="D541" s="46" t="str">
        <f>IF(Base!J539="","",Base!J539)</f>
        <v/>
      </c>
      <c r="E541" s="45" t="str">
        <f>IF(Base!H539="","",Base!H539)</f>
        <v/>
      </c>
    </row>
    <row r="542" spans="1:5">
      <c r="A542" s="45" t="str">
        <f>IF(Base!B540="","",Base!B540)</f>
        <v/>
      </c>
      <c r="B542" s="45" t="str">
        <f>IF(Base!F540="","",Base!F540)</f>
        <v/>
      </c>
      <c r="C542" s="45" t="str">
        <f>IF(Base!I540="","",Base!I540)</f>
        <v/>
      </c>
      <c r="D542" s="46" t="str">
        <f>IF(Base!J540="","",Base!J540)</f>
        <v/>
      </c>
      <c r="E542" s="45" t="str">
        <f>IF(Base!H540="","",Base!H540)</f>
        <v/>
      </c>
    </row>
    <row r="543" spans="1:5">
      <c r="A543" s="45" t="str">
        <f>IF(Base!B541="","",Base!B541)</f>
        <v/>
      </c>
      <c r="B543" s="45" t="str">
        <f>IF(Base!F541="","",Base!F541)</f>
        <v/>
      </c>
      <c r="C543" s="45" t="str">
        <f>IF(Base!I541="","",Base!I541)</f>
        <v/>
      </c>
      <c r="D543" s="46" t="str">
        <f>IF(Base!J541="","",Base!J541)</f>
        <v/>
      </c>
      <c r="E543" s="45" t="str">
        <f>IF(Base!H541="","",Base!H541)</f>
        <v/>
      </c>
    </row>
    <row r="544" spans="1:5">
      <c r="A544" s="45" t="str">
        <f>IF(Base!B542="","",Base!B542)</f>
        <v/>
      </c>
      <c r="B544" s="45" t="str">
        <f>IF(Base!F542="","",Base!F542)</f>
        <v/>
      </c>
      <c r="C544" s="45" t="str">
        <f>IF(Base!I542="","",Base!I542)</f>
        <v/>
      </c>
      <c r="D544" s="46" t="str">
        <f>IF(Base!J542="","",Base!J542)</f>
        <v/>
      </c>
      <c r="E544" s="45" t="str">
        <f>IF(Base!H542="","",Base!H542)</f>
        <v/>
      </c>
    </row>
    <row r="545" spans="1:5">
      <c r="A545" s="45" t="str">
        <f>IF(Base!B543="","",Base!B543)</f>
        <v/>
      </c>
      <c r="B545" s="45" t="str">
        <f>IF(Base!F543="","",Base!F543)</f>
        <v/>
      </c>
      <c r="C545" s="45" t="str">
        <f>IF(Base!I543="","",Base!I543)</f>
        <v/>
      </c>
      <c r="D545" s="46" t="str">
        <f>IF(Base!J543="","",Base!J543)</f>
        <v/>
      </c>
      <c r="E545" s="45" t="str">
        <f>IF(Base!H543="","",Base!H543)</f>
        <v/>
      </c>
    </row>
    <row r="546" spans="1:5">
      <c r="A546" s="45" t="str">
        <f>IF(Base!B544="","",Base!B544)</f>
        <v/>
      </c>
      <c r="B546" s="45" t="str">
        <f>IF(Base!F544="","",Base!F544)</f>
        <v/>
      </c>
      <c r="C546" s="45" t="str">
        <f>IF(Base!I544="","",Base!I544)</f>
        <v/>
      </c>
      <c r="D546" s="46" t="str">
        <f>IF(Base!J544="","",Base!J544)</f>
        <v/>
      </c>
      <c r="E546" s="45" t="str">
        <f>IF(Base!H544="","",Base!H544)</f>
        <v/>
      </c>
    </row>
    <row r="547" spans="1:5">
      <c r="A547" s="45" t="str">
        <f>IF(Base!B545="","",Base!B545)</f>
        <v/>
      </c>
      <c r="B547" s="45" t="str">
        <f>IF(Base!F545="","",Base!F545)</f>
        <v/>
      </c>
      <c r="C547" s="45" t="str">
        <f>IF(Base!I545="","",Base!I545)</f>
        <v/>
      </c>
      <c r="D547" s="46" t="str">
        <f>IF(Base!J545="","",Base!J545)</f>
        <v/>
      </c>
      <c r="E547" s="45" t="str">
        <f>IF(Base!H545="","",Base!H545)</f>
        <v/>
      </c>
    </row>
    <row r="548" spans="1:5">
      <c r="A548" s="45" t="str">
        <f>IF(Base!B546="","",Base!B546)</f>
        <v/>
      </c>
      <c r="B548" s="45" t="str">
        <f>IF(Base!F546="","",Base!F546)</f>
        <v/>
      </c>
      <c r="C548" s="45" t="str">
        <f>IF(Base!I546="","",Base!I546)</f>
        <v/>
      </c>
      <c r="D548" s="46" t="str">
        <f>IF(Base!J546="","",Base!J546)</f>
        <v/>
      </c>
      <c r="E548" s="45" t="str">
        <f>IF(Base!H546="","",Base!H546)</f>
        <v/>
      </c>
    </row>
    <row r="549" spans="1:5">
      <c r="A549" s="45" t="str">
        <f>IF(Base!B547="","",Base!B547)</f>
        <v/>
      </c>
      <c r="B549" s="45" t="str">
        <f>IF(Base!F547="","",Base!F547)</f>
        <v/>
      </c>
      <c r="C549" s="45" t="str">
        <f>IF(Base!I547="","",Base!I547)</f>
        <v/>
      </c>
      <c r="D549" s="46" t="str">
        <f>IF(Base!J547="","",Base!J547)</f>
        <v/>
      </c>
      <c r="E549" s="45" t="str">
        <f>IF(Base!H547="","",Base!H547)</f>
        <v/>
      </c>
    </row>
    <row r="550" spans="1:5">
      <c r="A550" s="45" t="str">
        <f>IF(Base!B548="","",Base!B548)</f>
        <v/>
      </c>
      <c r="B550" s="45" t="str">
        <f>IF(Base!F548="","",Base!F548)</f>
        <v/>
      </c>
      <c r="C550" s="45" t="str">
        <f>IF(Base!I548="","",Base!I548)</f>
        <v/>
      </c>
      <c r="D550" s="46" t="str">
        <f>IF(Base!J548="","",Base!J548)</f>
        <v/>
      </c>
      <c r="E550" s="45" t="str">
        <f>IF(Base!H548="","",Base!H548)</f>
        <v/>
      </c>
    </row>
    <row r="551" spans="1:5">
      <c r="A551" s="45" t="str">
        <f>IF(Base!B549="","",Base!B549)</f>
        <v/>
      </c>
      <c r="B551" s="45" t="str">
        <f>IF(Base!F549="","",Base!F549)</f>
        <v/>
      </c>
      <c r="C551" s="45" t="str">
        <f>IF(Base!I549="","",Base!I549)</f>
        <v/>
      </c>
      <c r="D551" s="46" t="str">
        <f>IF(Base!J549="","",Base!J549)</f>
        <v/>
      </c>
      <c r="E551" s="45" t="str">
        <f>IF(Base!H549="","",Base!H549)</f>
        <v/>
      </c>
    </row>
    <row r="552" spans="1:5">
      <c r="A552" s="45" t="str">
        <f>IF(Base!B550="","",Base!B550)</f>
        <v/>
      </c>
      <c r="B552" s="45" t="str">
        <f>IF(Base!F550="","",Base!F550)</f>
        <v/>
      </c>
      <c r="C552" s="45" t="str">
        <f>IF(Base!I550="","",Base!I550)</f>
        <v/>
      </c>
      <c r="D552" s="46" t="str">
        <f>IF(Base!J550="","",Base!J550)</f>
        <v/>
      </c>
      <c r="E552" s="45" t="str">
        <f>IF(Base!H550="","",Base!H550)</f>
        <v/>
      </c>
    </row>
    <row r="553" spans="1:5">
      <c r="A553" s="45" t="str">
        <f>IF(Base!B551="","",Base!B551)</f>
        <v/>
      </c>
      <c r="B553" s="45" t="str">
        <f>IF(Base!F551="","",Base!F551)</f>
        <v/>
      </c>
      <c r="C553" s="45" t="str">
        <f>IF(Base!I551="","",Base!I551)</f>
        <v/>
      </c>
      <c r="D553" s="46" t="str">
        <f>IF(Base!J551="","",Base!J551)</f>
        <v/>
      </c>
      <c r="E553" s="45" t="str">
        <f>IF(Base!H551="","",Base!H551)</f>
        <v/>
      </c>
    </row>
    <row r="554" spans="1:5">
      <c r="A554" s="45" t="str">
        <f>IF(Base!B552="","",Base!B552)</f>
        <v/>
      </c>
      <c r="B554" s="45" t="str">
        <f>IF(Base!F552="","",Base!F552)</f>
        <v/>
      </c>
      <c r="C554" s="45" t="str">
        <f>IF(Base!I552="","",Base!I552)</f>
        <v/>
      </c>
      <c r="D554" s="46" t="str">
        <f>IF(Base!J552="","",Base!J552)</f>
        <v/>
      </c>
      <c r="E554" s="45" t="str">
        <f>IF(Base!H552="","",Base!H552)</f>
        <v/>
      </c>
    </row>
    <row r="555" spans="1:5">
      <c r="A555" s="45" t="str">
        <f>IF(Base!B553="","",Base!B553)</f>
        <v/>
      </c>
      <c r="B555" s="45" t="str">
        <f>IF(Base!F553="","",Base!F553)</f>
        <v/>
      </c>
      <c r="C555" s="45" t="str">
        <f>IF(Base!I553="","",Base!I553)</f>
        <v/>
      </c>
      <c r="D555" s="46" t="str">
        <f>IF(Base!J553="","",Base!J553)</f>
        <v/>
      </c>
      <c r="E555" s="45" t="str">
        <f>IF(Base!H553="","",Base!H553)</f>
        <v/>
      </c>
    </row>
    <row r="556" spans="1:5">
      <c r="A556" s="45" t="str">
        <f>IF(Base!B554="","",Base!B554)</f>
        <v/>
      </c>
      <c r="B556" s="45" t="str">
        <f>IF(Base!F554="","",Base!F554)</f>
        <v/>
      </c>
      <c r="C556" s="45" t="str">
        <f>IF(Base!I554="","",Base!I554)</f>
        <v/>
      </c>
      <c r="D556" s="46" t="str">
        <f>IF(Base!J554="","",Base!J554)</f>
        <v/>
      </c>
      <c r="E556" s="45" t="str">
        <f>IF(Base!H554="","",Base!H554)</f>
        <v/>
      </c>
    </row>
    <row r="557" spans="1:5">
      <c r="A557" s="45" t="str">
        <f>IF(Base!B555="","",Base!B555)</f>
        <v/>
      </c>
      <c r="B557" s="45" t="str">
        <f>IF(Base!F555="","",Base!F555)</f>
        <v/>
      </c>
      <c r="C557" s="45" t="str">
        <f>IF(Base!I555="","",Base!I555)</f>
        <v/>
      </c>
      <c r="D557" s="46" t="str">
        <f>IF(Base!J555="","",Base!J555)</f>
        <v/>
      </c>
      <c r="E557" s="45" t="str">
        <f>IF(Base!H555="","",Base!H555)</f>
        <v/>
      </c>
    </row>
    <row r="558" spans="1:5">
      <c r="A558" s="45" t="str">
        <f>IF(Base!B556="","",Base!B556)</f>
        <v/>
      </c>
      <c r="B558" s="45" t="str">
        <f>IF(Base!F556="","",Base!F556)</f>
        <v/>
      </c>
      <c r="C558" s="45" t="str">
        <f>IF(Base!I556="","",Base!I556)</f>
        <v/>
      </c>
      <c r="D558" s="46" t="str">
        <f>IF(Base!J556="","",Base!J556)</f>
        <v/>
      </c>
      <c r="E558" s="45" t="str">
        <f>IF(Base!H556="","",Base!H556)</f>
        <v/>
      </c>
    </row>
    <row r="559" spans="1:5">
      <c r="A559" s="45" t="str">
        <f>IF(Base!B557="","",Base!B557)</f>
        <v/>
      </c>
      <c r="B559" s="45" t="str">
        <f>IF(Base!F557="","",Base!F557)</f>
        <v/>
      </c>
      <c r="C559" s="45" t="str">
        <f>IF(Base!I557="","",Base!I557)</f>
        <v/>
      </c>
      <c r="D559" s="46" t="str">
        <f>IF(Base!J557="","",Base!J557)</f>
        <v/>
      </c>
      <c r="E559" s="45" t="str">
        <f>IF(Base!H557="","",Base!H557)</f>
        <v/>
      </c>
    </row>
    <row r="560" spans="1:5">
      <c r="A560" s="45" t="str">
        <f>IF(Base!B558="","",Base!B558)</f>
        <v/>
      </c>
      <c r="B560" s="45" t="str">
        <f>IF(Base!F558="","",Base!F558)</f>
        <v/>
      </c>
      <c r="C560" s="45" t="str">
        <f>IF(Base!I558="","",Base!I558)</f>
        <v/>
      </c>
      <c r="D560" s="46" t="str">
        <f>IF(Base!J558="","",Base!J558)</f>
        <v/>
      </c>
      <c r="E560" s="45" t="str">
        <f>IF(Base!H558="","",Base!H558)</f>
        <v/>
      </c>
    </row>
    <row r="561" spans="1:5">
      <c r="A561" s="45" t="str">
        <f>IF(Base!B559="","",Base!B559)</f>
        <v/>
      </c>
      <c r="B561" s="45" t="str">
        <f>IF(Base!F559="","",Base!F559)</f>
        <v/>
      </c>
      <c r="C561" s="45" t="str">
        <f>IF(Base!I559="","",Base!I559)</f>
        <v/>
      </c>
      <c r="D561" s="46" t="str">
        <f>IF(Base!J559="","",Base!J559)</f>
        <v/>
      </c>
      <c r="E561" s="45" t="str">
        <f>IF(Base!H559="","",Base!H559)</f>
        <v/>
      </c>
    </row>
    <row r="562" spans="1:5">
      <c r="A562" s="45" t="str">
        <f>IF(Base!B560="","",Base!B560)</f>
        <v/>
      </c>
      <c r="B562" s="45" t="str">
        <f>IF(Base!F560="","",Base!F560)</f>
        <v/>
      </c>
      <c r="C562" s="45" t="str">
        <f>IF(Base!I560="","",Base!I560)</f>
        <v/>
      </c>
      <c r="D562" s="46" t="str">
        <f>IF(Base!J560="","",Base!J560)</f>
        <v/>
      </c>
      <c r="E562" s="45" t="str">
        <f>IF(Base!H560="","",Base!H560)</f>
        <v/>
      </c>
    </row>
    <row r="563" spans="1:5">
      <c r="A563" s="45" t="str">
        <f>IF(Base!B561="","",Base!B561)</f>
        <v/>
      </c>
      <c r="B563" s="45" t="str">
        <f>IF(Base!F561="","",Base!F561)</f>
        <v/>
      </c>
      <c r="C563" s="45" t="str">
        <f>IF(Base!I561="","",Base!I561)</f>
        <v/>
      </c>
      <c r="D563" s="46" t="str">
        <f>IF(Base!J561="","",Base!J561)</f>
        <v/>
      </c>
      <c r="E563" s="45" t="str">
        <f>IF(Base!H561="","",Base!H561)</f>
        <v/>
      </c>
    </row>
    <row r="564" spans="1:5">
      <c r="A564" s="45" t="str">
        <f>IF(Base!B562="","",Base!B562)</f>
        <v/>
      </c>
      <c r="B564" s="45" t="str">
        <f>IF(Base!F562="","",Base!F562)</f>
        <v/>
      </c>
      <c r="C564" s="45" t="str">
        <f>IF(Base!I562="","",Base!I562)</f>
        <v/>
      </c>
      <c r="D564" s="46" t="str">
        <f>IF(Base!J562="","",Base!J562)</f>
        <v/>
      </c>
      <c r="E564" s="45" t="str">
        <f>IF(Base!H562="","",Base!H562)</f>
        <v/>
      </c>
    </row>
    <row r="565" spans="1:5">
      <c r="A565" s="45" t="str">
        <f>IF(Base!B563="","",Base!B563)</f>
        <v/>
      </c>
      <c r="B565" s="45" t="str">
        <f>IF(Base!F563="","",Base!F563)</f>
        <v/>
      </c>
      <c r="C565" s="45" t="str">
        <f>IF(Base!I563="","",Base!I563)</f>
        <v/>
      </c>
      <c r="D565" s="46" t="str">
        <f>IF(Base!J563="","",Base!J563)</f>
        <v/>
      </c>
      <c r="E565" s="45" t="str">
        <f>IF(Base!H563="","",Base!H563)</f>
        <v/>
      </c>
    </row>
    <row r="566" spans="1:5">
      <c r="A566" s="45" t="str">
        <f>IF(Base!B564="","",Base!B564)</f>
        <v/>
      </c>
      <c r="B566" s="45" t="str">
        <f>IF(Base!F564="","",Base!F564)</f>
        <v/>
      </c>
      <c r="C566" s="45" t="str">
        <f>IF(Base!I564="","",Base!I564)</f>
        <v/>
      </c>
      <c r="D566" s="46" t="str">
        <f>IF(Base!J564="","",Base!J564)</f>
        <v/>
      </c>
      <c r="E566" s="45" t="str">
        <f>IF(Base!H564="","",Base!H564)</f>
        <v/>
      </c>
    </row>
    <row r="567" spans="1:5">
      <c r="A567" s="45" t="str">
        <f>IF(Base!B565="","",Base!B565)</f>
        <v/>
      </c>
      <c r="B567" s="45" t="str">
        <f>IF(Base!F565="","",Base!F565)</f>
        <v/>
      </c>
      <c r="C567" s="45" t="str">
        <f>IF(Base!I565="","",Base!I565)</f>
        <v/>
      </c>
      <c r="D567" s="46" t="str">
        <f>IF(Base!J565="","",Base!J565)</f>
        <v/>
      </c>
      <c r="E567" s="45" t="str">
        <f>IF(Base!H565="","",Base!H565)</f>
        <v/>
      </c>
    </row>
    <row r="568" spans="1:5">
      <c r="A568" s="45" t="str">
        <f>IF(Base!B566="","",Base!B566)</f>
        <v/>
      </c>
      <c r="B568" s="45" t="str">
        <f>IF(Base!F566="","",Base!F566)</f>
        <v/>
      </c>
      <c r="C568" s="45" t="str">
        <f>IF(Base!I566="","",Base!I566)</f>
        <v/>
      </c>
      <c r="D568" s="46" t="str">
        <f>IF(Base!J566="","",Base!J566)</f>
        <v/>
      </c>
      <c r="E568" s="45" t="str">
        <f>IF(Base!H566="","",Base!H566)</f>
        <v/>
      </c>
    </row>
    <row r="569" spans="1:5">
      <c r="A569" s="45" t="str">
        <f>IF(Base!B567="","",Base!B567)</f>
        <v/>
      </c>
      <c r="B569" s="45" t="str">
        <f>IF(Base!F567="","",Base!F567)</f>
        <v/>
      </c>
      <c r="C569" s="45" t="str">
        <f>IF(Base!I567="","",Base!I567)</f>
        <v/>
      </c>
      <c r="D569" s="46" t="str">
        <f>IF(Base!J567="","",Base!J567)</f>
        <v/>
      </c>
      <c r="E569" s="45" t="str">
        <f>IF(Base!H567="","",Base!H567)</f>
        <v/>
      </c>
    </row>
    <row r="570" spans="1:5">
      <c r="A570" s="45" t="str">
        <f>IF(Base!B568="","",Base!B568)</f>
        <v/>
      </c>
      <c r="B570" s="45" t="str">
        <f>IF(Base!F568="","",Base!F568)</f>
        <v/>
      </c>
      <c r="C570" s="45" t="str">
        <f>IF(Base!I568="","",Base!I568)</f>
        <v/>
      </c>
      <c r="D570" s="46" t="str">
        <f>IF(Base!J568="","",Base!J568)</f>
        <v/>
      </c>
      <c r="E570" s="45" t="str">
        <f>IF(Base!H568="","",Base!H568)</f>
        <v/>
      </c>
    </row>
    <row r="571" spans="1:5">
      <c r="A571" s="45" t="str">
        <f>IF(Base!B569="","",Base!B569)</f>
        <v/>
      </c>
      <c r="B571" s="45" t="str">
        <f>IF(Base!F569="","",Base!F569)</f>
        <v/>
      </c>
      <c r="C571" s="45" t="str">
        <f>IF(Base!I569="","",Base!I569)</f>
        <v/>
      </c>
      <c r="D571" s="46" t="str">
        <f>IF(Base!J569="","",Base!J569)</f>
        <v/>
      </c>
      <c r="E571" s="45" t="str">
        <f>IF(Base!H569="","",Base!H569)</f>
        <v/>
      </c>
    </row>
    <row r="572" spans="1:5">
      <c r="A572" s="45" t="str">
        <f>IF(Base!B570="","",Base!B570)</f>
        <v/>
      </c>
      <c r="B572" s="45" t="str">
        <f>IF(Base!F570="","",Base!F570)</f>
        <v/>
      </c>
      <c r="C572" s="45" t="str">
        <f>IF(Base!I570="","",Base!I570)</f>
        <v/>
      </c>
      <c r="D572" s="46" t="str">
        <f>IF(Base!J570="","",Base!J570)</f>
        <v/>
      </c>
      <c r="E572" s="45" t="str">
        <f>IF(Base!H570="","",Base!H570)</f>
        <v/>
      </c>
    </row>
    <row r="573" spans="1:5">
      <c r="A573" s="45" t="str">
        <f>IF(Base!B571="","",Base!B571)</f>
        <v/>
      </c>
      <c r="B573" s="45" t="str">
        <f>IF(Base!F571="","",Base!F571)</f>
        <v/>
      </c>
      <c r="C573" s="45" t="str">
        <f>IF(Base!I571="","",Base!I571)</f>
        <v/>
      </c>
      <c r="D573" s="46" t="str">
        <f>IF(Base!J571="","",Base!J571)</f>
        <v/>
      </c>
      <c r="E573" s="45" t="str">
        <f>IF(Base!H571="","",Base!H571)</f>
        <v/>
      </c>
    </row>
    <row r="574" spans="1:5">
      <c r="A574" s="45" t="str">
        <f>IF(Base!B572="","",Base!B572)</f>
        <v/>
      </c>
      <c r="B574" s="45" t="str">
        <f>IF(Base!F572="","",Base!F572)</f>
        <v/>
      </c>
      <c r="C574" s="45" t="str">
        <f>IF(Base!I572="","",Base!I572)</f>
        <v/>
      </c>
      <c r="D574" s="46" t="str">
        <f>IF(Base!J572="","",Base!J572)</f>
        <v/>
      </c>
      <c r="E574" s="45" t="str">
        <f>IF(Base!H572="","",Base!H572)</f>
        <v/>
      </c>
    </row>
    <row r="575" spans="1:5">
      <c r="A575" s="45" t="str">
        <f>IF(Base!B573="","",Base!B573)</f>
        <v/>
      </c>
      <c r="B575" s="45" t="str">
        <f>IF(Base!F573="","",Base!F573)</f>
        <v/>
      </c>
      <c r="C575" s="45" t="str">
        <f>IF(Base!I573="","",Base!I573)</f>
        <v/>
      </c>
      <c r="D575" s="46" t="str">
        <f>IF(Base!J573="","",Base!J573)</f>
        <v/>
      </c>
      <c r="E575" s="45" t="str">
        <f>IF(Base!H573="","",Base!H573)</f>
        <v/>
      </c>
    </row>
    <row r="576" spans="1:5">
      <c r="A576" s="45" t="str">
        <f>IF(Base!B574="","",Base!B574)</f>
        <v/>
      </c>
      <c r="B576" s="45" t="str">
        <f>IF(Base!F574="","",Base!F574)</f>
        <v/>
      </c>
      <c r="C576" s="45" t="str">
        <f>IF(Base!I574="","",Base!I574)</f>
        <v/>
      </c>
      <c r="D576" s="46" t="str">
        <f>IF(Base!J574="","",Base!J574)</f>
        <v/>
      </c>
      <c r="E576" s="45" t="str">
        <f>IF(Base!H574="","",Base!H574)</f>
        <v/>
      </c>
    </row>
    <row r="577" spans="1:5">
      <c r="A577" s="45" t="str">
        <f>IF(Base!B575="","",Base!B575)</f>
        <v/>
      </c>
      <c r="B577" s="45" t="str">
        <f>IF(Base!F575="","",Base!F575)</f>
        <v/>
      </c>
      <c r="C577" s="45" t="str">
        <f>IF(Base!I575="","",Base!I575)</f>
        <v/>
      </c>
      <c r="D577" s="46" t="str">
        <f>IF(Base!J575="","",Base!J575)</f>
        <v/>
      </c>
      <c r="E577" s="45" t="str">
        <f>IF(Base!H575="","",Base!H575)</f>
        <v/>
      </c>
    </row>
    <row r="578" spans="1:5">
      <c r="A578" s="45" t="str">
        <f>IF(Base!B576="","",Base!B576)</f>
        <v/>
      </c>
      <c r="B578" s="45" t="str">
        <f>IF(Base!F576="","",Base!F576)</f>
        <v/>
      </c>
      <c r="C578" s="45" t="str">
        <f>IF(Base!I576="","",Base!I576)</f>
        <v/>
      </c>
      <c r="D578" s="46" t="str">
        <f>IF(Base!J576="","",Base!J576)</f>
        <v/>
      </c>
      <c r="E578" s="45" t="str">
        <f>IF(Base!H576="","",Base!H576)</f>
        <v/>
      </c>
    </row>
    <row r="579" spans="1:5">
      <c r="A579" s="45" t="str">
        <f>IF(Base!B577="","",Base!B577)</f>
        <v/>
      </c>
      <c r="B579" s="45" t="str">
        <f>IF(Base!F577="","",Base!F577)</f>
        <v/>
      </c>
      <c r="C579" s="45" t="str">
        <f>IF(Base!I577="","",Base!I577)</f>
        <v/>
      </c>
      <c r="D579" s="46" t="str">
        <f>IF(Base!J577="","",Base!J577)</f>
        <v/>
      </c>
      <c r="E579" s="45" t="str">
        <f>IF(Base!H577="","",Base!H577)</f>
        <v/>
      </c>
    </row>
    <row r="580" spans="1:5">
      <c r="A580" s="45" t="str">
        <f>IF(Base!B578="","",Base!B578)</f>
        <v/>
      </c>
      <c r="B580" s="45" t="str">
        <f>IF(Base!F578="","",Base!F578)</f>
        <v/>
      </c>
      <c r="C580" s="45" t="str">
        <f>IF(Base!I578="","",Base!I578)</f>
        <v/>
      </c>
      <c r="D580" s="46" t="str">
        <f>IF(Base!J578="","",Base!J578)</f>
        <v/>
      </c>
      <c r="E580" s="45" t="str">
        <f>IF(Base!H578="","",Base!H578)</f>
        <v/>
      </c>
    </row>
    <row r="581" spans="1:5">
      <c r="A581" s="45" t="str">
        <f>IF(Base!B579="","",Base!B579)</f>
        <v/>
      </c>
      <c r="B581" s="45" t="str">
        <f>IF(Base!F579="","",Base!F579)</f>
        <v/>
      </c>
      <c r="C581" s="45" t="str">
        <f>IF(Base!I579="","",Base!I579)</f>
        <v/>
      </c>
      <c r="D581" s="46" t="str">
        <f>IF(Base!J579="","",Base!J579)</f>
        <v/>
      </c>
      <c r="E581" s="45" t="str">
        <f>IF(Base!H579="","",Base!H579)</f>
        <v/>
      </c>
    </row>
    <row r="582" spans="1:5">
      <c r="A582" s="45" t="str">
        <f>IF(Base!B580="","",Base!B580)</f>
        <v/>
      </c>
      <c r="B582" s="45" t="str">
        <f>IF(Base!F580="","",Base!F580)</f>
        <v/>
      </c>
      <c r="C582" s="45" t="str">
        <f>IF(Base!I580="","",Base!I580)</f>
        <v/>
      </c>
      <c r="D582" s="46" t="str">
        <f>IF(Base!J580="","",Base!J580)</f>
        <v/>
      </c>
      <c r="E582" s="45" t="str">
        <f>IF(Base!H580="","",Base!H580)</f>
        <v/>
      </c>
    </row>
    <row r="583" spans="1:5">
      <c r="A583" s="45" t="str">
        <f>IF(Base!B581="","",Base!B581)</f>
        <v/>
      </c>
      <c r="B583" s="45" t="str">
        <f>IF(Base!F581="","",Base!F581)</f>
        <v/>
      </c>
      <c r="C583" s="45" t="str">
        <f>IF(Base!I581="","",Base!I581)</f>
        <v/>
      </c>
      <c r="D583" s="46" t="str">
        <f>IF(Base!J581="","",Base!J581)</f>
        <v/>
      </c>
      <c r="E583" s="45" t="str">
        <f>IF(Base!H581="","",Base!H581)</f>
        <v/>
      </c>
    </row>
    <row r="584" spans="1:5">
      <c r="A584" s="45" t="str">
        <f>IF(Base!B582="","",Base!B582)</f>
        <v/>
      </c>
      <c r="B584" s="45" t="str">
        <f>IF(Base!F582="","",Base!F582)</f>
        <v/>
      </c>
      <c r="C584" s="45" t="str">
        <f>IF(Base!I582="","",Base!I582)</f>
        <v/>
      </c>
      <c r="D584" s="46" t="str">
        <f>IF(Base!J582="","",Base!J582)</f>
        <v/>
      </c>
      <c r="E584" s="45" t="str">
        <f>IF(Base!H582="","",Base!H582)</f>
        <v/>
      </c>
    </row>
    <row r="585" spans="1:5">
      <c r="A585" s="45" t="str">
        <f>IF(Base!B583="","",Base!B583)</f>
        <v/>
      </c>
      <c r="B585" s="45" t="str">
        <f>IF(Base!F583="","",Base!F583)</f>
        <v/>
      </c>
      <c r="C585" s="45" t="str">
        <f>IF(Base!I583="","",Base!I583)</f>
        <v/>
      </c>
      <c r="D585" s="46" t="str">
        <f>IF(Base!J583="","",Base!J583)</f>
        <v/>
      </c>
      <c r="E585" s="45" t="str">
        <f>IF(Base!H583="","",Base!H583)</f>
        <v/>
      </c>
    </row>
    <row r="586" spans="1:5">
      <c r="A586" s="45" t="str">
        <f>IF(Base!B584="","",Base!B584)</f>
        <v/>
      </c>
      <c r="B586" s="45" t="str">
        <f>IF(Base!F584="","",Base!F584)</f>
        <v/>
      </c>
      <c r="C586" s="45" t="str">
        <f>IF(Base!I584="","",Base!I584)</f>
        <v/>
      </c>
      <c r="D586" s="46" t="str">
        <f>IF(Base!J584="","",Base!J584)</f>
        <v/>
      </c>
      <c r="E586" s="45" t="str">
        <f>IF(Base!H584="","",Base!H584)</f>
        <v/>
      </c>
    </row>
    <row r="587" spans="1:5">
      <c r="A587" s="45" t="str">
        <f>IF(Base!B585="","",Base!B585)</f>
        <v/>
      </c>
      <c r="B587" s="45" t="str">
        <f>IF(Base!F585="","",Base!F585)</f>
        <v/>
      </c>
      <c r="C587" s="45" t="str">
        <f>IF(Base!I585="","",Base!I585)</f>
        <v/>
      </c>
      <c r="D587" s="46" t="str">
        <f>IF(Base!J585="","",Base!J585)</f>
        <v/>
      </c>
      <c r="E587" s="45" t="str">
        <f>IF(Base!H585="","",Base!H585)</f>
        <v/>
      </c>
    </row>
    <row r="588" spans="1:5">
      <c r="A588" s="45" t="str">
        <f>IF(Base!B586="","",Base!B586)</f>
        <v/>
      </c>
      <c r="B588" s="45" t="str">
        <f>IF(Base!F586="","",Base!F586)</f>
        <v/>
      </c>
      <c r="C588" s="45" t="str">
        <f>IF(Base!I586="","",Base!I586)</f>
        <v/>
      </c>
      <c r="D588" s="46" t="str">
        <f>IF(Base!J586="","",Base!J586)</f>
        <v/>
      </c>
      <c r="E588" s="45" t="str">
        <f>IF(Base!H586="","",Base!H586)</f>
        <v/>
      </c>
    </row>
    <row r="589" spans="1:5">
      <c r="A589" s="45" t="str">
        <f>IF(Base!B587="","",Base!B587)</f>
        <v/>
      </c>
      <c r="B589" s="45" t="str">
        <f>IF(Base!F587="","",Base!F587)</f>
        <v/>
      </c>
      <c r="C589" s="45" t="str">
        <f>IF(Base!I587="","",Base!I587)</f>
        <v/>
      </c>
      <c r="D589" s="46" t="str">
        <f>IF(Base!J587="","",Base!J587)</f>
        <v/>
      </c>
      <c r="E589" s="45" t="str">
        <f>IF(Base!H587="","",Base!H587)</f>
        <v/>
      </c>
    </row>
    <row r="590" spans="1:5">
      <c r="A590" s="45" t="str">
        <f>IF(Base!B588="","",Base!B588)</f>
        <v/>
      </c>
      <c r="B590" s="45" t="str">
        <f>IF(Base!F588="","",Base!F588)</f>
        <v/>
      </c>
      <c r="C590" s="45" t="str">
        <f>IF(Base!I588="","",Base!I588)</f>
        <v/>
      </c>
      <c r="D590" s="46" t="str">
        <f>IF(Base!J588="","",Base!J588)</f>
        <v/>
      </c>
      <c r="E590" s="45" t="str">
        <f>IF(Base!H588="","",Base!H588)</f>
        <v/>
      </c>
    </row>
    <row r="591" spans="1:5">
      <c r="A591" s="45" t="str">
        <f>IF(Base!B589="","",Base!B589)</f>
        <v/>
      </c>
      <c r="B591" s="45" t="str">
        <f>IF(Base!F589="","",Base!F589)</f>
        <v/>
      </c>
      <c r="C591" s="45" t="str">
        <f>IF(Base!I589="","",Base!I589)</f>
        <v/>
      </c>
      <c r="D591" s="46" t="str">
        <f>IF(Base!J589="","",Base!J589)</f>
        <v/>
      </c>
      <c r="E591" s="45" t="str">
        <f>IF(Base!H589="","",Base!H589)</f>
        <v/>
      </c>
    </row>
    <row r="592" spans="1:5">
      <c r="A592" s="45" t="str">
        <f>IF(Base!B590="","",Base!B590)</f>
        <v/>
      </c>
      <c r="B592" s="45" t="str">
        <f>IF(Base!F590="","",Base!F590)</f>
        <v/>
      </c>
      <c r="C592" s="45" t="str">
        <f>IF(Base!I590="","",Base!I590)</f>
        <v/>
      </c>
      <c r="D592" s="46" t="str">
        <f>IF(Base!J590="","",Base!J590)</f>
        <v/>
      </c>
      <c r="E592" s="45" t="str">
        <f>IF(Base!H590="","",Base!H590)</f>
        <v/>
      </c>
    </row>
    <row r="593" spans="1:5">
      <c r="A593" s="45" t="str">
        <f>IF(Base!B591="","",Base!B591)</f>
        <v/>
      </c>
      <c r="B593" s="45" t="str">
        <f>IF(Base!F591="","",Base!F591)</f>
        <v/>
      </c>
      <c r="C593" s="45" t="str">
        <f>IF(Base!I591="","",Base!I591)</f>
        <v/>
      </c>
      <c r="D593" s="46" t="str">
        <f>IF(Base!J591="","",Base!J591)</f>
        <v/>
      </c>
      <c r="E593" s="45" t="str">
        <f>IF(Base!H591="","",Base!H591)</f>
        <v/>
      </c>
    </row>
    <row r="594" spans="1:5">
      <c r="A594" s="45" t="str">
        <f>IF(Base!B592="","",Base!B592)</f>
        <v/>
      </c>
      <c r="B594" s="45" t="str">
        <f>IF(Base!F592="","",Base!F592)</f>
        <v/>
      </c>
      <c r="C594" s="45" t="str">
        <f>IF(Base!I592="","",Base!I592)</f>
        <v/>
      </c>
      <c r="D594" s="46" t="str">
        <f>IF(Base!J592="","",Base!J592)</f>
        <v/>
      </c>
      <c r="E594" s="45" t="str">
        <f>IF(Base!H592="","",Base!H592)</f>
        <v/>
      </c>
    </row>
    <row r="595" spans="1:5">
      <c r="A595" s="45" t="str">
        <f>IF(Base!B593="","",Base!B593)</f>
        <v/>
      </c>
      <c r="B595" s="45" t="str">
        <f>IF(Base!F593="","",Base!F593)</f>
        <v/>
      </c>
      <c r="C595" s="45" t="str">
        <f>IF(Base!I593="","",Base!I593)</f>
        <v/>
      </c>
      <c r="D595" s="46" t="str">
        <f>IF(Base!J593="","",Base!J593)</f>
        <v/>
      </c>
      <c r="E595" s="45" t="str">
        <f>IF(Base!H593="","",Base!H593)</f>
        <v/>
      </c>
    </row>
    <row r="596" spans="1:5">
      <c r="A596" s="45" t="str">
        <f>IF(Base!B594="","",Base!B594)</f>
        <v/>
      </c>
      <c r="B596" s="45" t="str">
        <f>IF(Base!F594="","",Base!F594)</f>
        <v/>
      </c>
      <c r="C596" s="45" t="str">
        <f>IF(Base!I594="","",Base!I594)</f>
        <v/>
      </c>
      <c r="D596" s="46" t="str">
        <f>IF(Base!J594="","",Base!J594)</f>
        <v/>
      </c>
      <c r="E596" s="45" t="str">
        <f>IF(Base!H594="","",Base!H594)</f>
        <v/>
      </c>
    </row>
    <row r="597" spans="1:5">
      <c r="A597" s="45" t="str">
        <f>IF(Base!B595="","",Base!B595)</f>
        <v/>
      </c>
      <c r="B597" s="45" t="str">
        <f>IF(Base!F595="","",Base!F595)</f>
        <v/>
      </c>
      <c r="C597" s="45" t="str">
        <f>IF(Base!I595="","",Base!I595)</f>
        <v/>
      </c>
      <c r="D597" s="46" t="str">
        <f>IF(Base!J595="","",Base!J595)</f>
        <v/>
      </c>
      <c r="E597" s="45" t="str">
        <f>IF(Base!H595="","",Base!H595)</f>
        <v/>
      </c>
    </row>
    <row r="598" spans="1:5">
      <c r="A598" s="45" t="str">
        <f>IF(Base!B596="","",Base!B596)</f>
        <v/>
      </c>
      <c r="B598" s="45" t="str">
        <f>IF(Base!F596="","",Base!F596)</f>
        <v/>
      </c>
      <c r="C598" s="45" t="str">
        <f>IF(Base!I596="","",Base!I596)</f>
        <v/>
      </c>
      <c r="D598" s="46" t="str">
        <f>IF(Base!J596="","",Base!J596)</f>
        <v/>
      </c>
      <c r="E598" s="45" t="str">
        <f>IF(Base!H596="","",Base!H596)</f>
        <v/>
      </c>
    </row>
    <row r="599" spans="1:5">
      <c r="A599" s="45" t="str">
        <f>IF(Base!B597="","",Base!B597)</f>
        <v/>
      </c>
      <c r="B599" s="45" t="str">
        <f>IF(Base!F597="","",Base!F597)</f>
        <v/>
      </c>
      <c r="C599" s="45" t="str">
        <f>IF(Base!I597="","",Base!I597)</f>
        <v/>
      </c>
      <c r="D599" s="46" t="str">
        <f>IF(Base!J597="","",Base!J597)</f>
        <v/>
      </c>
      <c r="E599" s="45" t="str">
        <f>IF(Base!H597="","",Base!H597)</f>
        <v/>
      </c>
    </row>
    <row r="600" spans="1:5">
      <c r="A600" s="45" t="str">
        <f>IF(Base!B598="","",Base!B598)</f>
        <v/>
      </c>
      <c r="B600" s="45" t="str">
        <f>IF(Base!F598="","",Base!F598)</f>
        <v/>
      </c>
      <c r="C600" s="45" t="str">
        <f>IF(Base!I598="","",Base!I598)</f>
        <v/>
      </c>
      <c r="D600" s="46" t="str">
        <f>IF(Base!J598="","",Base!J598)</f>
        <v/>
      </c>
      <c r="E600" s="45" t="str">
        <f>IF(Base!H598="","",Base!H598)</f>
        <v/>
      </c>
    </row>
    <row r="601" spans="1:5">
      <c r="A601" s="45" t="str">
        <f>IF(Base!B599="","",Base!B599)</f>
        <v/>
      </c>
      <c r="B601" s="45" t="str">
        <f>IF(Base!F599="","",Base!F599)</f>
        <v/>
      </c>
      <c r="C601" s="45" t="str">
        <f>IF(Base!I599="","",Base!I599)</f>
        <v/>
      </c>
      <c r="D601" s="46" t="str">
        <f>IF(Base!J599="","",Base!J599)</f>
        <v/>
      </c>
      <c r="E601" s="45" t="str">
        <f>IF(Base!H599="","",Base!H599)</f>
        <v/>
      </c>
    </row>
    <row r="602" spans="1:5">
      <c r="A602" s="45" t="str">
        <f>IF(Base!B600="","",Base!B600)</f>
        <v/>
      </c>
      <c r="B602" s="45" t="str">
        <f>IF(Base!F600="","",Base!F600)</f>
        <v/>
      </c>
      <c r="C602" s="45" t="str">
        <f>IF(Base!I600="","",Base!I600)</f>
        <v/>
      </c>
      <c r="D602" s="46" t="str">
        <f>IF(Base!J600="","",Base!J600)</f>
        <v/>
      </c>
      <c r="E602" s="45" t="str">
        <f>IF(Base!H600="","",Base!H600)</f>
        <v/>
      </c>
    </row>
    <row r="603" spans="1:5">
      <c r="A603" s="45" t="str">
        <f>IF(Base!B601="","",Base!B601)</f>
        <v/>
      </c>
      <c r="B603" s="45" t="str">
        <f>IF(Base!F601="","",Base!F601)</f>
        <v/>
      </c>
      <c r="C603" s="45" t="str">
        <f>IF(Base!I601="","",Base!I601)</f>
        <v/>
      </c>
      <c r="D603" s="46" t="str">
        <f>IF(Base!J601="","",Base!J601)</f>
        <v/>
      </c>
      <c r="E603" s="45" t="str">
        <f>IF(Base!H601="","",Base!H601)</f>
        <v/>
      </c>
    </row>
    <row r="604" spans="1:5">
      <c r="A604" s="45" t="str">
        <f>IF(Base!B602="","",Base!B602)</f>
        <v/>
      </c>
      <c r="B604" s="45" t="str">
        <f>IF(Base!F602="","",Base!F602)</f>
        <v/>
      </c>
      <c r="C604" s="45" t="str">
        <f>IF(Base!I602="","",Base!I602)</f>
        <v/>
      </c>
      <c r="D604" s="46" t="str">
        <f>IF(Base!J602="","",Base!J602)</f>
        <v/>
      </c>
      <c r="E604" s="45" t="str">
        <f>IF(Base!H602="","",Base!H602)</f>
        <v/>
      </c>
    </row>
    <row r="605" spans="1:5">
      <c r="A605" s="45" t="str">
        <f>IF(Base!B603="","",Base!B603)</f>
        <v/>
      </c>
      <c r="B605" s="45" t="str">
        <f>IF(Base!F603="","",Base!F603)</f>
        <v/>
      </c>
      <c r="C605" s="45" t="str">
        <f>IF(Base!I603="","",Base!I603)</f>
        <v/>
      </c>
      <c r="D605" s="46" t="str">
        <f>IF(Base!J603="","",Base!J603)</f>
        <v/>
      </c>
      <c r="E605" s="45" t="str">
        <f>IF(Base!H603="","",Base!H603)</f>
        <v/>
      </c>
    </row>
    <row r="606" spans="1:5">
      <c r="A606" s="45" t="str">
        <f>IF(Base!B604="","",Base!B604)</f>
        <v/>
      </c>
      <c r="B606" s="45" t="str">
        <f>IF(Base!F604="","",Base!F604)</f>
        <v/>
      </c>
      <c r="C606" s="45" t="str">
        <f>IF(Base!I604="","",Base!I604)</f>
        <v/>
      </c>
      <c r="D606" s="46" t="str">
        <f>IF(Base!J604="","",Base!J604)</f>
        <v/>
      </c>
      <c r="E606" s="45" t="str">
        <f>IF(Base!H604="","",Base!H604)</f>
        <v/>
      </c>
    </row>
    <row r="607" spans="1:5">
      <c r="A607" s="45" t="str">
        <f>IF(Base!B605="","",Base!B605)</f>
        <v/>
      </c>
      <c r="B607" s="45" t="str">
        <f>IF(Base!F605="","",Base!F605)</f>
        <v/>
      </c>
      <c r="C607" s="45" t="str">
        <f>IF(Base!I605="","",Base!I605)</f>
        <v/>
      </c>
      <c r="D607" s="46" t="str">
        <f>IF(Base!J605="","",Base!J605)</f>
        <v/>
      </c>
      <c r="E607" s="45" t="str">
        <f>IF(Base!H605="","",Base!H605)</f>
        <v/>
      </c>
    </row>
    <row r="608" spans="1:5">
      <c r="A608" s="45" t="str">
        <f>IF(Base!B606="","",Base!B606)</f>
        <v/>
      </c>
      <c r="B608" s="45" t="str">
        <f>IF(Base!F606="","",Base!F606)</f>
        <v/>
      </c>
      <c r="C608" s="45" t="str">
        <f>IF(Base!I606="","",Base!I606)</f>
        <v/>
      </c>
      <c r="D608" s="46" t="str">
        <f>IF(Base!J606="","",Base!J606)</f>
        <v/>
      </c>
      <c r="E608" s="45" t="str">
        <f>IF(Base!H606="","",Base!H606)</f>
        <v/>
      </c>
    </row>
    <row r="609" spans="1:5">
      <c r="A609" s="45" t="str">
        <f>IF(Base!B607="","",Base!B607)</f>
        <v/>
      </c>
      <c r="B609" s="45" t="str">
        <f>IF(Base!F607="","",Base!F607)</f>
        <v/>
      </c>
      <c r="C609" s="45" t="str">
        <f>IF(Base!I607="","",Base!I607)</f>
        <v/>
      </c>
      <c r="D609" s="46" t="str">
        <f>IF(Base!J607="","",Base!J607)</f>
        <v/>
      </c>
      <c r="E609" s="45" t="str">
        <f>IF(Base!H607="","",Base!H607)</f>
        <v/>
      </c>
    </row>
    <row r="610" spans="1:5">
      <c r="A610" s="45" t="str">
        <f>IF(Base!B608="","",Base!B608)</f>
        <v/>
      </c>
      <c r="B610" s="45" t="str">
        <f>IF(Base!F608="","",Base!F608)</f>
        <v/>
      </c>
      <c r="C610" s="45" t="str">
        <f>IF(Base!I608="","",Base!I608)</f>
        <v/>
      </c>
      <c r="D610" s="46" t="str">
        <f>IF(Base!J608="","",Base!J608)</f>
        <v/>
      </c>
      <c r="E610" s="45" t="str">
        <f>IF(Base!H608="","",Base!H608)</f>
        <v/>
      </c>
    </row>
    <row r="611" spans="1:5">
      <c r="A611" s="45" t="str">
        <f>IF(Base!B609="","",Base!B609)</f>
        <v/>
      </c>
      <c r="B611" s="45" t="str">
        <f>IF(Base!F609="","",Base!F609)</f>
        <v/>
      </c>
      <c r="C611" s="45" t="str">
        <f>IF(Base!I609="","",Base!I609)</f>
        <v/>
      </c>
      <c r="D611" s="46" t="str">
        <f>IF(Base!J609="","",Base!J609)</f>
        <v/>
      </c>
      <c r="E611" s="45" t="str">
        <f>IF(Base!H609="","",Base!H609)</f>
        <v/>
      </c>
    </row>
    <row r="612" spans="1:5">
      <c r="A612" s="45" t="str">
        <f>IF(Base!B610="","",Base!B610)</f>
        <v/>
      </c>
      <c r="B612" s="45" t="str">
        <f>IF(Base!F610="","",Base!F610)</f>
        <v/>
      </c>
      <c r="C612" s="45" t="str">
        <f>IF(Base!I610="","",Base!I610)</f>
        <v/>
      </c>
      <c r="D612" s="46" t="str">
        <f>IF(Base!J610="","",Base!J610)</f>
        <v/>
      </c>
      <c r="E612" s="45" t="str">
        <f>IF(Base!H610="","",Base!H610)</f>
        <v/>
      </c>
    </row>
    <row r="613" spans="1:5">
      <c r="A613" s="45" t="str">
        <f>IF(Base!B611="","",Base!B611)</f>
        <v/>
      </c>
      <c r="B613" s="45" t="str">
        <f>IF(Base!F611="","",Base!F611)</f>
        <v/>
      </c>
      <c r="C613" s="45" t="str">
        <f>IF(Base!I611="","",Base!I611)</f>
        <v/>
      </c>
      <c r="D613" s="46" t="str">
        <f>IF(Base!J611="","",Base!J611)</f>
        <v/>
      </c>
      <c r="E613" s="45" t="str">
        <f>IF(Base!H611="","",Base!H611)</f>
        <v/>
      </c>
    </row>
    <row r="614" spans="1:5">
      <c r="A614" s="45" t="str">
        <f>IF(Base!B612="","",Base!B612)</f>
        <v/>
      </c>
      <c r="B614" s="45" t="str">
        <f>IF(Base!F612="","",Base!F612)</f>
        <v/>
      </c>
      <c r="C614" s="45" t="str">
        <f>IF(Base!I612="","",Base!I612)</f>
        <v/>
      </c>
      <c r="D614" s="46" t="str">
        <f>IF(Base!J612="","",Base!J612)</f>
        <v/>
      </c>
      <c r="E614" s="45" t="str">
        <f>IF(Base!H612="","",Base!H612)</f>
        <v/>
      </c>
    </row>
    <row r="615" spans="1:5">
      <c r="A615" s="45" t="str">
        <f>IF(Base!B613="","",Base!B613)</f>
        <v/>
      </c>
      <c r="B615" s="45" t="str">
        <f>IF(Base!F613="","",Base!F613)</f>
        <v/>
      </c>
      <c r="C615" s="45" t="str">
        <f>IF(Base!I613="","",Base!I613)</f>
        <v/>
      </c>
      <c r="D615" s="46" t="str">
        <f>IF(Base!J613="","",Base!J613)</f>
        <v/>
      </c>
      <c r="E615" s="45" t="str">
        <f>IF(Base!H613="","",Base!H613)</f>
        <v/>
      </c>
    </row>
    <row r="616" spans="1:5">
      <c r="A616" s="45" t="str">
        <f>IF(Base!B614="","",Base!B614)</f>
        <v/>
      </c>
      <c r="B616" s="45" t="str">
        <f>IF(Base!F614="","",Base!F614)</f>
        <v/>
      </c>
      <c r="C616" s="45" t="str">
        <f>IF(Base!I614="","",Base!I614)</f>
        <v/>
      </c>
      <c r="D616" s="46" t="str">
        <f>IF(Base!J614="","",Base!J614)</f>
        <v/>
      </c>
      <c r="E616" s="45" t="str">
        <f>IF(Base!H614="","",Base!H614)</f>
        <v/>
      </c>
    </row>
    <row r="617" spans="1:5">
      <c r="A617" s="45" t="str">
        <f>IF(Base!B615="","",Base!B615)</f>
        <v/>
      </c>
      <c r="B617" s="45" t="str">
        <f>IF(Base!F615="","",Base!F615)</f>
        <v/>
      </c>
      <c r="C617" s="45" t="str">
        <f>IF(Base!I615="","",Base!I615)</f>
        <v/>
      </c>
      <c r="D617" s="46" t="str">
        <f>IF(Base!J615="","",Base!J615)</f>
        <v/>
      </c>
      <c r="E617" s="45" t="str">
        <f>IF(Base!H615="","",Base!H615)</f>
        <v/>
      </c>
    </row>
    <row r="618" spans="1:5">
      <c r="A618" s="45" t="str">
        <f>IF(Base!B616="","",Base!B616)</f>
        <v/>
      </c>
      <c r="B618" s="45" t="str">
        <f>IF(Base!F616="","",Base!F616)</f>
        <v/>
      </c>
      <c r="C618" s="45" t="str">
        <f>IF(Base!I616="","",Base!I616)</f>
        <v/>
      </c>
      <c r="D618" s="46" t="str">
        <f>IF(Base!J616="","",Base!J616)</f>
        <v/>
      </c>
      <c r="E618" s="45" t="str">
        <f>IF(Base!H616="","",Base!H616)</f>
        <v/>
      </c>
    </row>
    <row r="619" spans="1:5">
      <c r="A619" s="45" t="str">
        <f>IF(Base!B617="","",Base!B617)</f>
        <v/>
      </c>
      <c r="B619" s="45" t="str">
        <f>IF(Base!F617="","",Base!F617)</f>
        <v/>
      </c>
      <c r="C619" s="45" t="str">
        <f>IF(Base!I617="","",Base!I617)</f>
        <v/>
      </c>
      <c r="D619" s="46" t="str">
        <f>IF(Base!J617="","",Base!J617)</f>
        <v/>
      </c>
      <c r="E619" s="45" t="str">
        <f>IF(Base!H617="","",Base!H617)</f>
        <v/>
      </c>
    </row>
    <row r="620" spans="1:5">
      <c r="A620" s="45" t="str">
        <f>IF(Base!B618="","",Base!B618)</f>
        <v/>
      </c>
      <c r="B620" s="45" t="str">
        <f>IF(Base!F618="","",Base!F618)</f>
        <v/>
      </c>
      <c r="C620" s="45" t="str">
        <f>IF(Base!I618="","",Base!I618)</f>
        <v/>
      </c>
      <c r="D620" s="46" t="str">
        <f>IF(Base!J618="","",Base!J618)</f>
        <v/>
      </c>
      <c r="E620" s="45" t="str">
        <f>IF(Base!H618="","",Base!H618)</f>
        <v/>
      </c>
    </row>
    <row r="621" spans="1:5">
      <c r="A621" s="45" t="str">
        <f>IF(Base!B619="","",Base!B619)</f>
        <v/>
      </c>
      <c r="B621" s="45" t="str">
        <f>IF(Base!F619="","",Base!F619)</f>
        <v/>
      </c>
      <c r="C621" s="45" t="str">
        <f>IF(Base!I619="","",Base!I619)</f>
        <v/>
      </c>
      <c r="D621" s="46" t="str">
        <f>IF(Base!J619="","",Base!J619)</f>
        <v/>
      </c>
      <c r="E621" s="45" t="str">
        <f>IF(Base!H619="","",Base!H619)</f>
        <v/>
      </c>
    </row>
    <row r="622" spans="1:5">
      <c r="A622" s="45" t="str">
        <f>IF(Base!B620="","",Base!B620)</f>
        <v/>
      </c>
      <c r="B622" s="45" t="str">
        <f>IF(Base!F620="","",Base!F620)</f>
        <v/>
      </c>
      <c r="C622" s="45" t="str">
        <f>IF(Base!I620="","",Base!I620)</f>
        <v/>
      </c>
      <c r="D622" s="46" t="str">
        <f>IF(Base!J620="","",Base!J620)</f>
        <v/>
      </c>
      <c r="E622" s="45" t="str">
        <f>IF(Base!H620="","",Base!H620)</f>
        <v/>
      </c>
    </row>
    <row r="623" spans="1:5">
      <c r="A623" s="45" t="str">
        <f>IF(Base!B621="","",Base!B621)</f>
        <v/>
      </c>
      <c r="B623" s="45" t="str">
        <f>IF(Base!F621="","",Base!F621)</f>
        <v/>
      </c>
      <c r="C623" s="45" t="str">
        <f>IF(Base!I621="","",Base!I621)</f>
        <v/>
      </c>
      <c r="D623" s="46" t="str">
        <f>IF(Base!J621="","",Base!J621)</f>
        <v/>
      </c>
      <c r="E623" s="45" t="str">
        <f>IF(Base!H621="","",Base!H621)</f>
        <v/>
      </c>
    </row>
    <row r="624" spans="1:5">
      <c r="A624" s="45" t="str">
        <f>IF(Base!B622="","",Base!B622)</f>
        <v/>
      </c>
      <c r="B624" s="45" t="str">
        <f>IF(Base!F622="","",Base!F622)</f>
        <v/>
      </c>
      <c r="C624" s="45" t="str">
        <f>IF(Base!I622="","",Base!I622)</f>
        <v/>
      </c>
      <c r="D624" s="46" t="str">
        <f>IF(Base!J622="","",Base!J622)</f>
        <v/>
      </c>
      <c r="E624" s="45" t="str">
        <f>IF(Base!H622="","",Base!H622)</f>
        <v/>
      </c>
    </row>
    <row r="625" spans="1:5">
      <c r="A625" s="45" t="str">
        <f>IF(Base!B623="","",Base!B623)</f>
        <v/>
      </c>
      <c r="B625" s="45" t="str">
        <f>IF(Base!F623="","",Base!F623)</f>
        <v/>
      </c>
      <c r="C625" s="45" t="str">
        <f>IF(Base!I623="","",Base!I623)</f>
        <v/>
      </c>
      <c r="D625" s="46" t="str">
        <f>IF(Base!J623="","",Base!J623)</f>
        <v/>
      </c>
      <c r="E625" s="45" t="str">
        <f>IF(Base!H623="","",Base!H623)</f>
        <v/>
      </c>
    </row>
    <row r="626" spans="1:5">
      <c r="A626" s="45" t="str">
        <f>IF(Base!B624="","",Base!B624)</f>
        <v/>
      </c>
      <c r="B626" s="45" t="str">
        <f>IF(Base!F624="","",Base!F624)</f>
        <v/>
      </c>
      <c r="C626" s="45" t="str">
        <f>IF(Base!I624="","",Base!I624)</f>
        <v/>
      </c>
      <c r="D626" s="46" t="str">
        <f>IF(Base!J624="","",Base!J624)</f>
        <v/>
      </c>
      <c r="E626" s="45" t="str">
        <f>IF(Base!H624="","",Base!H624)</f>
        <v/>
      </c>
    </row>
    <row r="627" spans="1:5">
      <c r="A627" s="45" t="str">
        <f>IF(Base!B625="","",Base!B625)</f>
        <v/>
      </c>
      <c r="B627" s="45" t="str">
        <f>IF(Base!F625="","",Base!F625)</f>
        <v/>
      </c>
      <c r="C627" s="45" t="str">
        <f>IF(Base!I625="","",Base!I625)</f>
        <v/>
      </c>
      <c r="D627" s="46" t="str">
        <f>IF(Base!J625="","",Base!J625)</f>
        <v/>
      </c>
      <c r="E627" s="45" t="str">
        <f>IF(Base!H625="","",Base!H625)</f>
        <v/>
      </c>
    </row>
    <row r="628" spans="1:5">
      <c r="A628" s="45" t="str">
        <f>IF(Base!B626="","",Base!B626)</f>
        <v/>
      </c>
      <c r="B628" s="45" t="str">
        <f>IF(Base!F626="","",Base!F626)</f>
        <v/>
      </c>
      <c r="C628" s="45" t="str">
        <f>IF(Base!I626="","",Base!I626)</f>
        <v/>
      </c>
      <c r="D628" s="46" t="str">
        <f>IF(Base!J626="","",Base!J626)</f>
        <v/>
      </c>
      <c r="E628" s="45" t="str">
        <f>IF(Base!H626="","",Base!H626)</f>
        <v/>
      </c>
    </row>
    <row r="629" spans="1:5">
      <c r="A629" s="45" t="str">
        <f>IF(Base!B627="","",Base!B627)</f>
        <v/>
      </c>
      <c r="B629" s="45" t="str">
        <f>IF(Base!F627="","",Base!F627)</f>
        <v/>
      </c>
      <c r="C629" s="45" t="str">
        <f>IF(Base!I627="","",Base!I627)</f>
        <v/>
      </c>
      <c r="D629" s="46" t="str">
        <f>IF(Base!J627="","",Base!J627)</f>
        <v/>
      </c>
      <c r="E629" s="45" t="str">
        <f>IF(Base!H627="","",Base!H627)</f>
        <v/>
      </c>
    </row>
    <row r="630" spans="1:5">
      <c r="A630" s="45" t="str">
        <f>IF(Base!B628="","",Base!B628)</f>
        <v/>
      </c>
      <c r="B630" s="45" t="str">
        <f>IF(Base!F628="","",Base!F628)</f>
        <v/>
      </c>
      <c r="C630" s="45" t="str">
        <f>IF(Base!I628="","",Base!I628)</f>
        <v/>
      </c>
      <c r="D630" s="46" t="str">
        <f>IF(Base!J628="","",Base!J628)</f>
        <v/>
      </c>
      <c r="E630" s="45" t="str">
        <f>IF(Base!H628="","",Base!H628)</f>
        <v/>
      </c>
    </row>
    <row r="631" spans="1:5">
      <c r="A631" s="45" t="str">
        <f>IF(Base!B629="","",Base!B629)</f>
        <v/>
      </c>
      <c r="B631" s="45" t="str">
        <f>IF(Base!F629="","",Base!F629)</f>
        <v/>
      </c>
      <c r="C631" s="45" t="str">
        <f>IF(Base!I629="","",Base!I629)</f>
        <v/>
      </c>
      <c r="D631" s="46" t="str">
        <f>IF(Base!J629="","",Base!J629)</f>
        <v/>
      </c>
      <c r="E631" s="45" t="str">
        <f>IF(Base!H629="","",Base!H629)</f>
        <v/>
      </c>
    </row>
    <row r="632" spans="1:5">
      <c r="A632" s="45" t="str">
        <f>IF(Base!B630="","",Base!B630)</f>
        <v/>
      </c>
      <c r="B632" s="45" t="str">
        <f>IF(Base!F630="","",Base!F630)</f>
        <v/>
      </c>
      <c r="C632" s="45" t="str">
        <f>IF(Base!I630="","",Base!I630)</f>
        <v/>
      </c>
      <c r="D632" s="46" t="str">
        <f>IF(Base!J630="","",Base!J630)</f>
        <v/>
      </c>
      <c r="E632" s="45" t="str">
        <f>IF(Base!H630="","",Base!H630)</f>
        <v/>
      </c>
    </row>
    <row r="633" spans="1:5">
      <c r="A633" s="45" t="str">
        <f>IF(Base!B631="","",Base!B631)</f>
        <v/>
      </c>
      <c r="B633" s="45" t="str">
        <f>IF(Base!F631="","",Base!F631)</f>
        <v/>
      </c>
      <c r="C633" s="45" t="str">
        <f>IF(Base!I631="","",Base!I631)</f>
        <v/>
      </c>
      <c r="D633" s="46" t="str">
        <f>IF(Base!J631="","",Base!J631)</f>
        <v/>
      </c>
      <c r="E633" s="45" t="str">
        <f>IF(Base!H631="","",Base!H631)</f>
        <v/>
      </c>
    </row>
    <row r="634" spans="1:5">
      <c r="A634" s="45" t="str">
        <f>IF(Base!B632="","",Base!B632)</f>
        <v/>
      </c>
      <c r="B634" s="45" t="str">
        <f>IF(Base!F632="","",Base!F632)</f>
        <v/>
      </c>
      <c r="C634" s="45" t="str">
        <f>IF(Base!I632="","",Base!I632)</f>
        <v/>
      </c>
      <c r="D634" s="46" t="str">
        <f>IF(Base!J632="","",Base!J632)</f>
        <v/>
      </c>
      <c r="E634" s="45" t="str">
        <f>IF(Base!H632="","",Base!H632)</f>
        <v/>
      </c>
    </row>
    <row r="635" spans="1:5">
      <c r="A635" s="45" t="str">
        <f>IF(Base!B633="","",Base!B633)</f>
        <v/>
      </c>
      <c r="B635" s="45" t="str">
        <f>IF(Base!F633="","",Base!F633)</f>
        <v/>
      </c>
      <c r="C635" s="45" t="str">
        <f>IF(Base!I633="","",Base!I633)</f>
        <v/>
      </c>
      <c r="D635" s="46" t="str">
        <f>IF(Base!J633="","",Base!J633)</f>
        <v/>
      </c>
      <c r="E635" s="45" t="str">
        <f>IF(Base!H633="","",Base!H633)</f>
        <v/>
      </c>
    </row>
    <row r="636" spans="1:5">
      <c r="A636" s="45" t="str">
        <f>IF(Base!B634="","",Base!B634)</f>
        <v/>
      </c>
      <c r="B636" s="45" t="str">
        <f>IF(Base!F634="","",Base!F634)</f>
        <v/>
      </c>
      <c r="C636" s="45" t="str">
        <f>IF(Base!I634="","",Base!I634)</f>
        <v/>
      </c>
      <c r="D636" s="46" t="str">
        <f>IF(Base!J634="","",Base!J634)</f>
        <v/>
      </c>
      <c r="E636" s="45" t="str">
        <f>IF(Base!H634="","",Base!H634)</f>
        <v/>
      </c>
    </row>
    <row r="637" spans="1:5">
      <c r="A637" s="45" t="str">
        <f>IF(Base!B635="","",Base!B635)</f>
        <v/>
      </c>
      <c r="B637" s="45" t="str">
        <f>IF(Base!F635="","",Base!F635)</f>
        <v/>
      </c>
      <c r="C637" s="45" t="str">
        <f>IF(Base!I635="","",Base!I635)</f>
        <v/>
      </c>
      <c r="D637" s="46" t="str">
        <f>IF(Base!J635="","",Base!J635)</f>
        <v/>
      </c>
      <c r="E637" s="45" t="str">
        <f>IF(Base!H635="","",Base!H635)</f>
        <v/>
      </c>
    </row>
    <row r="638" spans="1:5">
      <c r="A638" s="45" t="str">
        <f>IF(Base!B636="","",Base!B636)</f>
        <v/>
      </c>
      <c r="B638" s="45" t="str">
        <f>IF(Base!F636="","",Base!F636)</f>
        <v/>
      </c>
      <c r="C638" s="45" t="str">
        <f>IF(Base!I636="","",Base!I636)</f>
        <v/>
      </c>
      <c r="D638" s="46" t="str">
        <f>IF(Base!J636="","",Base!J636)</f>
        <v/>
      </c>
      <c r="E638" s="45" t="str">
        <f>IF(Base!H636="","",Base!H636)</f>
        <v/>
      </c>
    </row>
    <row r="639" spans="1:5">
      <c r="A639" s="45" t="str">
        <f>IF(Base!B637="","",Base!B637)</f>
        <v/>
      </c>
      <c r="B639" s="45" t="str">
        <f>IF(Base!F637="","",Base!F637)</f>
        <v/>
      </c>
      <c r="C639" s="45" t="str">
        <f>IF(Base!I637="","",Base!I637)</f>
        <v/>
      </c>
      <c r="D639" s="46" t="str">
        <f>IF(Base!J637="","",Base!J637)</f>
        <v/>
      </c>
      <c r="E639" s="45" t="str">
        <f>IF(Base!H637="","",Base!H637)</f>
        <v/>
      </c>
    </row>
    <row r="640" spans="1:5">
      <c r="A640" s="45" t="str">
        <f>IF(Base!B638="","",Base!B638)</f>
        <v/>
      </c>
      <c r="B640" s="45" t="str">
        <f>IF(Base!F638="","",Base!F638)</f>
        <v/>
      </c>
      <c r="C640" s="45" t="str">
        <f>IF(Base!I638="","",Base!I638)</f>
        <v/>
      </c>
      <c r="D640" s="46" t="str">
        <f>IF(Base!J638="","",Base!J638)</f>
        <v/>
      </c>
      <c r="E640" s="45" t="str">
        <f>IF(Base!H638="","",Base!H638)</f>
        <v/>
      </c>
    </row>
    <row r="641" spans="1:5">
      <c r="A641" s="45" t="str">
        <f>IF(Base!B639="","",Base!B639)</f>
        <v/>
      </c>
      <c r="B641" s="45" t="str">
        <f>IF(Base!F639="","",Base!F639)</f>
        <v/>
      </c>
      <c r="C641" s="45" t="str">
        <f>IF(Base!I639="","",Base!I639)</f>
        <v/>
      </c>
      <c r="D641" s="46" t="str">
        <f>IF(Base!J639="","",Base!J639)</f>
        <v/>
      </c>
      <c r="E641" s="45" t="str">
        <f>IF(Base!H639="","",Base!H639)</f>
        <v/>
      </c>
    </row>
    <row r="642" spans="1:5">
      <c r="A642" s="45" t="str">
        <f>IF(Base!B640="","",Base!B640)</f>
        <v/>
      </c>
      <c r="B642" s="45" t="str">
        <f>IF(Base!F640="","",Base!F640)</f>
        <v/>
      </c>
      <c r="C642" s="45" t="str">
        <f>IF(Base!I640="","",Base!I640)</f>
        <v/>
      </c>
      <c r="D642" s="46" t="str">
        <f>IF(Base!J640="","",Base!J640)</f>
        <v/>
      </c>
      <c r="E642" s="45" t="str">
        <f>IF(Base!H640="","",Base!H640)</f>
        <v/>
      </c>
    </row>
    <row r="643" spans="1:5">
      <c r="A643" s="45" t="str">
        <f>IF(Base!B641="","",Base!B641)</f>
        <v/>
      </c>
      <c r="B643" s="45" t="str">
        <f>IF(Base!F641="","",Base!F641)</f>
        <v/>
      </c>
      <c r="C643" s="45" t="str">
        <f>IF(Base!I641="","",Base!I641)</f>
        <v/>
      </c>
      <c r="D643" s="46" t="str">
        <f>IF(Base!J641="","",Base!J641)</f>
        <v/>
      </c>
      <c r="E643" s="45" t="str">
        <f>IF(Base!H641="","",Base!H641)</f>
        <v/>
      </c>
    </row>
    <row r="644" spans="1:5">
      <c r="A644" s="45" t="str">
        <f>IF(Base!B642="","",Base!B642)</f>
        <v/>
      </c>
      <c r="B644" s="45" t="str">
        <f>IF(Base!F642="","",Base!F642)</f>
        <v/>
      </c>
      <c r="C644" s="45" t="str">
        <f>IF(Base!I642="","",Base!I642)</f>
        <v/>
      </c>
      <c r="D644" s="46" t="str">
        <f>IF(Base!J642="","",Base!J642)</f>
        <v/>
      </c>
      <c r="E644" s="45" t="str">
        <f>IF(Base!H642="","",Base!H642)</f>
        <v/>
      </c>
    </row>
    <row r="645" spans="1:5">
      <c r="A645" s="45" t="str">
        <f>IF(Base!B643="","",Base!B643)</f>
        <v/>
      </c>
      <c r="B645" s="45" t="str">
        <f>IF(Base!F643="","",Base!F643)</f>
        <v/>
      </c>
      <c r="C645" s="45" t="str">
        <f>IF(Base!I643="","",Base!I643)</f>
        <v/>
      </c>
      <c r="D645" s="46" t="str">
        <f>IF(Base!J643="","",Base!J643)</f>
        <v/>
      </c>
      <c r="E645" s="45" t="str">
        <f>IF(Base!H643="","",Base!H643)</f>
        <v/>
      </c>
    </row>
    <row r="646" spans="1:5">
      <c r="A646" s="45" t="str">
        <f>IF(Base!B644="","",Base!B644)</f>
        <v/>
      </c>
      <c r="B646" s="45" t="str">
        <f>IF(Base!F644="","",Base!F644)</f>
        <v/>
      </c>
      <c r="C646" s="45" t="str">
        <f>IF(Base!I644="","",Base!I644)</f>
        <v/>
      </c>
      <c r="D646" s="46" t="str">
        <f>IF(Base!J644="","",Base!J644)</f>
        <v/>
      </c>
      <c r="E646" s="45" t="str">
        <f>IF(Base!H644="","",Base!H644)</f>
        <v/>
      </c>
    </row>
    <row r="647" spans="1:5">
      <c r="A647" s="45" t="str">
        <f>IF(Base!B645="","",Base!B645)</f>
        <v/>
      </c>
      <c r="B647" s="45" t="str">
        <f>IF(Base!F645="","",Base!F645)</f>
        <v/>
      </c>
      <c r="C647" s="45" t="str">
        <f>IF(Base!I645="","",Base!I645)</f>
        <v/>
      </c>
      <c r="D647" s="46" t="str">
        <f>IF(Base!J645="","",Base!J645)</f>
        <v/>
      </c>
      <c r="E647" s="45" t="str">
        <f>IF(Base!H645="","",Base!H645)</f>
        <v/>
      </c>
    </row>
    <row r="648" spans="1:5">
      <c r="A648" s="45" t="str">
        <f>IF(Base!B646="","",Base!B646)</f>
        <v/>
      </c>
      <c r="B648" s="45" t="str">
        <f>IF(Base!F646="","",Base!F646)</f>
        <v/>
      </c>
      <c r="C648" s="45" t="str">
        <f>IF(Base!I646="","",Base!I646)</f>
        <v/>
      </c>
      <c r="D648" s="46" t="str">
        <f>IF(Base!J646="","",Base!J646)</f>
        <v/>
      </c>
      <c r="E648" s="45" t="str">
        <f>IF(Base!H646="","",Base!H646)</f>
        <v/>
      </c>
    </row>
    <row r="649" spans="1:5">
      <c r="A649" s="45" t="str">
        <f>IF(Base!B647="","",Base!B647)</f>
        <v/>
      </c>
      <c r="B649" s="45" t="str">
        <f>IF(Base!F647="","",Base!F647)</f>
        <v/>
      </c>
      <c r="C649" s="45" t="str">
        <f>IF(Base!I647="","",Base!I647)</f>
        <v/>
      </c>
      <c r="D649" s="46" t="str">
        <f>IF(Base!J647="","",Base!J647)</f>
        <v/>
      </c>
      <c r="E649" s="45" t="str">
        <f>IF(Base!H647="","",Base!H647)</f>
        <v/>
      </c>
    </row>
    <row r="650" spans="1:5">
      <c r="A650" s="45" t="str">
        <f>IF(Base!B648="","",Base!B648)</f>
        <v/>
      </c>
      <c r="B650" s="45" t="str">
        <f>IF(Base!F648="","",Base!F648)</f>
        <v/>
      </c>
      <c r="C650" s="45" t="str">
        <f>IF(Base!I648="","",Base!I648)</f>
        <v/>
      </c>
      <c r="D650" s="46" t="str">
        <f>IF(Base!J648="","",Base!J648)</f>
        <v/>
      </c>
      <c r="E650" s="45" t="str">
        <f>IF(Base!H648="","",Base!H648)</f>
        <v/>
      </c>
    </row>
    <row r="651" spans="1:5">
      <c r="A651" s="45" t="str">
        <f>IF(Base!B649="","",Base!B649)</f>
        <v/>
      </c>
      <c r="B651" s="45" t="str">
        <f>IF(Base!F649="","",Base!F649)</f>
        <v/>
      </c>
      <c r="C651" s="45" t="str">
        <f>IF(Base!I649="","",Base!I649)</f>
        <v/>
      </c>
      <c r="D651" s="46" t="str">
        <f>IF(Base!J649="","",Base!J649)</f>
        <v/>
      </c>
      <c r="E651" s="45" t="str">
        <f>IF(Base!H649="","",Base!H649)</f>
        <v/>
      </c>
    </row>
    <row r="652" spans="1:5">
      <c r="A652" s="45" t="str">
        <f>IF(Base!B650="","",Base!B650)</f>
        <v/>
      </c>
      <c r="B652" s="45" t="str">
        <f>IF(Base!F650="","",Base!F650)</f>
        <v/>
      </c>
      <c r="C652" s="45" t="str">
        <f>IF(Base!I650="","",Base!I650)</f>
        <v/>
      </c>
      <c r="D652" s="46" t="str">
        <f>IF(Base!J650="","",Base!J650)</f>
        <v/>
      </c>
      <c r="E652" s="45" t="str">
        <f>IF(Base!H650="","",Base!H650)</f>
        <v/>
      </c>
    </row>
    <row r="653" spans="1:5">
      <c r="A653" s="45" t="str">
        <f>IF(Base!B651="","",Base!B651)</f>
        <v/>
      </c>
      <c r="B653" s="45" t="str">
        <f>IF(Base!F651="","",Base!F651)</f>
        <v/>
      </c>
      <c r="C653" s="45" t="str">
        <f>IF(Base!I651="","",Base!I651)</f>
        <v/>
      </c>
      <c r="D653" s="46" t="str">
        <f>IF(Base!J651="","",Base!J651)</f>
        <v/>
      </c>
      <c r="E653" s="45" t="str">
        <f>IF(Base!H651="","",Base!H651)</f>
        <v/>
      </c>
    </row>
    <row r="654" spans="1:5">
      <c r="A654" s="45" t="str">
        <f>IF(Base!B652="","",Base!B652)</f>
        <v/>
      </c>
      <c r="B654" s="45" t="str">
        <f>IF(Base!F652="","",Base!F652)</f>
        <v/>
      </c>
      <c r="C654" s="45" t="str">
        <f>IF(Base!I652="","",Base!I652)</f>
        <v/>
      </c>
      <c r="D654" s="46" t="str">
        <f>IF(Base!J652="","",Base!J652)</f>
        <v/>
      </c>
      <c r="E654" s="45" t="str">
        <f>IF(Base!H652="","",Base!H652)</f>
        <v/>
      </c>
    </row>
    <row r="655" spans="1:5">
      <c r="A655" s="45" t="str">
        <f>IF(Base!B653="","",Base!B653)</f>
        <v/>
      </c>
      <c r="B655" s="45" t="str">
        <f>IF(Base!F653="","",Base!F653)</f>
        <v/>
      </c>
      <c r="C655" s="45" t="str">
        <f>IF(Base!I653="","",Base!I653)</f>
        <v/>
      </c>
      <c r="D655" s="46" t="str">
        <f>IF(Base!J653="","",Base!J653)</f>
        <v/>
      </c>
      <c r="E655" s="45" t="str">
        <f>IF(Base!H653="","",Base!H653)</f>
        <v/>
      </c>
    </row>
    <row r="656" spans="1:5">
      <c r="A656" s="45" t="str">
        <f>IF(Base!B654="","",Base!B654)</f>
        <v/>
      </c>
      <c r="B656" s="45" t="str">
        <f>IF(Base!F654="","",Base!F654)</f>
        <v/>
      </c>
      <c r="C656" s="45" t="str">
        <f>IF(Base!I654="","",Base!I654)</f>
        <v/>
      </c>
      <c r="D656" s="46" t="str">
        <f>IF(Base!J654="","",Base!J654)</f>
        <v/>
      </c>
      <c r="E656" s="45" t="str">
        <f>IF(Base!H654="","",Base!H654)</f>
        <v/>
      </c>
    </row>
    <row r="657" spans="1:5">
      <c r="A657" s="45" t="str">
        <f>IF(Base!B655="","",Base!B655)</f>
        <v/>
      </c>
      <c r="B657" s="45" t="str">
        <f>IF(Base!F655="","",Base!F655)</f>
        <v/>
      </c>
      <c r="C657" s="45" t="str">
        <f>IF(Base!I655="","",Base!I655)</f>
        <v/>
      </c>
      <c r="D657" s="46" t="str">
        <f>IF(Base!J655="","",Base!J655)</f>
        <v/>
      </c>
      <c r="E657" s="45" t="str">
        <f>IF(Base!H655="","",Base!H655)</f>
        <v/>
      </c>
    </row>
    <row r="658" spans="1:5">
      <c r="A658" s="45" t="str">
        <f>IF(Base!B656="","",Base!B656)</f>
        <v/>
      </c>
      <c r="B658" s="45" t="str">
        <f>IF(Base!F656="","",Base!F656)</f>
        <v/>
      </c>
      <c r="C658" s="45" t="str">
        <f>IF(Base!I656="","",Base!I656)</f>
        <v/>
      </c>
      <c r="D658" s="46" t="str">
        <f>IF(Base!J656="","",Base!J656)</f>
        <v/>
      </c>
      <c r="E658" s="45" t="str">
        <f>IF(Base!H656="","",Base!H656)</f>
        <v/>
      </c>
    </row>
    <row r="659" spans="1:5">
      <c r="A659" s="45" t="str">
        <f>IF(Base!B657="","",Base!B657)</f>
        <v/>
      </c>
      <c r="B659" s="45" t="str">
        <f>IF(Base!F657="","",Base!F657)</f>
        <v/>
      </c>
      <c r="C659" s="45" t="str">
        <f>IF(Base!I657="","",Base!I657)</f>
        <v/>
      </c>
      <c r="D659" s="46" t="str">
        <f>IF(Base!J657="","",Base!J657)</f>
        <v/>
      </c>
      <c r="E659" s="45" t="str">
        <f>IF(Base!H657="","",Base!H657)</f>
        <v/>
      </c>
    </row>
    <row r="660" spans="1:5">
      <c r="A660" s="45" t="str">
        <f>IF(Base!B658="","",Base!B658)</f>
        <v/>
      </c>
      <c r="B660" s="45" t="str">
        <f>IF(Base!F658="","",Base!F658)</f>
        <v/>
      </c>
      <c r="C660" s="45" t="str">
        <f>IF(Base!I658="","",Base!I658)</f>
        <v/>
      </c>
      <c r="D660" s="46" t="str">
        <f>IF(Base!J658="","",Base!J658)</f>
        <v/>
      </c>
      <c r="E660" s="45" t="str">
        <f>IF(Base!H658="","",Base!H658)</f>
        <v/>
      </c>
    </row>
    <row r="661" spans="1:5">
      <c r="A661" s="45" t="str">
        <f>IF(Base!B659="","",Base!B659)</f>
        <v/>
      </c>
      <c r="B661" s="45" t="str">
        <f>IF(Base!F659="","",Base!F659)</f>
        <v/>
      </c>
      <c r="C661" s="45" t="str">
        <f>IF(Base!I659="","",Base!I659)</f>
        <v/>
      </c>
      <c r="D661" s="46" t="str">
        <f>IF(Base!J659="","",Base!J659)</f>
        <v/>
      </c>
      <c r="E661" s="45" t="str">
        <f>IF(Base!H659="","",Base!H659)</f>
        <v/>
      </c>
    </row>
    <row r="662" spans="1:5">
      <c r="A662" s="45" t="str">
        <f>IF(Base!B660="","",Base!B660)</f>
        <v/>
      </c>
      <c r="B662" s="45" t="str">
        <f>IF(Base!F660="","",Base!F660)</f>
        <v/>
      </c>
      <c r="C662" s="45" t="str">
        <f>IF(Base!I660="","",Base!I660)</f>
        <v/>
      </c>
      <c r="D662" s="46" t="str">
        <f>IF(Base!J660="","",Base!J660)</f>
        <v/>
      </c>
      <c r="E662" s="45" t="str">
        <f>IF(Base!H660="","",Base!H660)</f>
        <v/>
      </c>
    </row>
    <row r="663" spans="1:5">
      <c r="A663" s="45" t="str">
        <f>IF(Base!B661="","",Base!B661)</f>
        <v/>
      </c>
      <c r="B663" s="45" t="str">
        <f>IF(Base!F661="","",Base!F661)</f>
        <v/>
      </c>
      <c r="C663" s="45" t="str">
        <f>IF(Base!I661="","",Base!I661)</f>
        <v/>
      </c>
      <c r="D663" s="46" t="str">
        <f>IF(Base!J661="","",Base!J661)</f>
        <v/>
      </c>
      <c r="E663" s="45" t="str">
        <f>IF(Base!H661="","",Base!H661)</f>
        <v/>
      </c>
    </row>
    <row r="664" spans="1:5">
      <c r="A664" s="45" t="str">
        <f>IF(Base!B662="","",Base!B662)</f>
        <v/>
      </c>
      <c r="B664" s="45" t="str">
        <f>IF(Base!F662="","",Base!F662)</f>
        <v/>
      </c>
      <c r="C664" s="45" t="str">
        <f>IF(Base!I662="","",Base!I662)</f>
        <v/>
      </c>
      <c r="D664" s="46" t="str">
        <f>IF(Base!J662="","",Base!J662)</f>
        <v/>
      </c>
      <c r="E664" s="45" t="str">
        <f>IF(Base!H662="","",Base!H662)</f>
        <v/>
      </c>
    </row>
    <row r="665" spans="1:5">
      <c r="A665" s="45" t="str">
        <f>IF(Base!B663="","",Base!B663)</f>
        <v/>
      </c>
      <c r="B665" s="45" t="str">
        <f>IF(Base!F663="","",Base!F663)</f>
        <v/>
      </c>
      <c r="C665" s="45" t="str">
        <f>IF(Base!I663="","",Base!I663)</f>
        <v/>
      </c>
      <c r="D665" s="46" t="str">
        <f>IF(Base!J663="","",Base!J663)</f>
        <v/>
      </c>
      <c r="E665" s="45" t="str">
        <f>IF(Base!H663="","",Base!H663)</f>
        <v/>
      </c>
    </row>
    <row r="666" spans="1:5">
      <c r="A666" s="45" t="str">
        <f>IF(Base!B664="","",Base!B664)</f>
        <v/>
      </c>
      <c r="B666" s="45" t="str">
        <f>IF(Base!F664="","",Base!F664)</f>
        <v/>
      </c>
      <c r="C666" s="45" t="str">
        <f>IF(Base!I664="","",Base!I664)</f>
        <v/>
      </c>
      <c r="D666" s="46" t="str">
        <f>IF(Base!J664="","",Base!J664)</f>
        <v/>
      </c>
      <c r="E666" s="45" t="str">
        <f>IF(Base!H664="","",Base!H664)</f>
        <v/>
      </c>
    </row>
    <row r="667" spans="1:5">
      <c r="A667" s="45" t="str">
        <f>IF(Base!B665="","",Base!B665)</f>
        <v/>
      </c>
      <c r="B667" s="45" t="str">
        <f>IF(Base!F665="","",Base!F665)</f>
        <v/>
      </c>
      <c r="C667" s="45" t="str">
        <f>IF(Base!I665="","",Base!I665)</f>
        <v/>
      </c>
      <c r="D667" s="46" t="str">
        <f>IF(Base!J665="","",Base!J665)</f>
        <v/>
      </c>
      <c r="E667" s="45" t="str">
        <f>IF(Base!H665="","",Base!H665)</f>
        <v/>
      </c>
    </row>
    <row r="668" spans="1:5">
      <c r="A668" s="45" t="str">
        <f>IF(Base!B666="","",Base!B666)</f>
        <v/>
      </c>
      <c r="B668" s="45" t="str">
        <f>IF(Base!F666="","",Base!F666)</f>
        <v/>
      </c>
      <c r="C668" s="45" t="str">
        <f>IF(Base!I666="","",Base!I666)</f>
        <v/>
      </c>
      <c r="D668" s="46" t="str">
        <f>IF(Base!J666="","",Base!J666)</f>
        <v/>
      </c>
      <c r="E668" s="45" t="str">
        <f>IF(Base!H666="","",Base!H666)</f>
        <v/>
      </c>
    </row>
    <row r="669" spans="1:5">
      <c r="A669" s="45" t="str">
        <f>IF(Base!B667="","",Base!B667)</f>
        <v/>
      </c>
      <c r="B669" s="45" t="str">
        <f>IF(Base!F667="","",Base!F667)</f>
        <v/>
      </c>
      <c r="C669" s="45" t="str">
        <f>IF(Base!I667="","",Base!I667)</f>
        <v/>
      </c>
      <c r="D669" s="46" t="str">
        <f>IF(Base!J667="","",Base!J667)</f>
        <v/>
      </c>
      <c r="E669" s="45" t="str">
        <f>IF(Base!H667="","",Base!H667)</f>
        <v/>
      </c>
    </row>
    <row r="670" spans="1:5">
      <c r="A670" s="45" t="str">
        <f>IF(Base!B668="","",Base!B668)</f>
        <v/>
      </c>
      <c r="B670" s="45" t="str">
        <f>IF(Base!F668="","",Base!F668)</f>
        <v/>
      </c>
      <c r="C670" s="45" t="str">
        <f>IF(Base!I668="","",Base!I668)</f>
        <v/>
      </c>
      <c r="D670" s="46" t="str">
        <f>IF(Base!J668="","",Base!J668)</f>
        <v/>
      </c>
      <c r="E670" s="45" t="str">
        <f>IF(Base!H668="","",Base!H668)</f>
        <v/>
      </c>
    </row>
    <row r="671" spans="1:5">
      <c r="A671" s="45" t="str">
        <f>IF(Base!B669="","",Base!B669)</f>
        <v/>
      </c>
      <c r="B671" s="45" t="str">
        <f>IF(Base!F669="","",Base!F669)</f>
        <v/>
      </c>
      <c r="C671" s="45" t="str">
        <f>IF(Base!I669="","",Base!I669)</f>
        <v/>
      </c>
      <c r="D671" s="46" t="str">
        <f>IF(Base!J669="","",Base!J669)</f>
        <v/>
      </c>
      <c r="E671" s="45" t="str">
        <f>IF(Base!H669="","",Base!H669)</f>
        <v/>
      </c>
    </row>
    <row r="672" spans="1:5">
      <c r="A672" s="45" t="str">
        <f>IF(Base!B670="","",Base!B670)</f>
        <v/>
      </c>
      <c r="B672" s="45" t="str">
        <f>IF(Base!F670="","",Base!F670)</f>
        <v/>
      </c>
      <c r="C672" s="45" t="str">
        <f>IF(Base!I670="","",Base!I670)</f>
        <v/>
      </c>
      <c r="D672" s="46" t="str">
        <f>IF(Base!J670="","",Base!J670)</f>
        <v/>
      </c>
      <c r="E672" s="45" t="str">
        <f>IF(Base!H670="","",Base!H670)</f>
        <v/>
      </c>
    </row>
    <row r="673" spans="1:5">
      <c r="A673" s="45" t="str">
        <f>IF(Base!B671="","",Base!B671)</f>
        <v/>
      </c>
      <c r="B673" s="45" t="str">
        <f>IF(Base!F671="","",Base!F671)</f>
        <v/>
      </c>
      <c r="C673" s="45" t="str">
        <f>IF(Base!I671="","",Base!I671)</f>
        <v/>
      </c>
      <c r="D673" s="46" t="str">
        <f>IF(Base!J671="","",Base!J671)</f>
        <v/>
      </c>
      <c r="E673" s="45" t="str">
        <f>IF(Base!H671="","",Base!H671)</f>
        <v/>
      </c>
    </row>
    <row r="674" spans="1:5">
      <c r="A674" s="45" t="str">
        <f>IF(Base!B672="","",Base!B672)</f>
        <v/>
      </c>
      <c r="B674" s="45" t="str">
        <f>IF(Base!F672="","",Base!F672)</f>
        <v/>
      </c>
      <c r="C674" s="45" t="str">
        <f>IF(Base!I672="","",Base!I672)</f>
        <v/>
      </c>
      <c r="D674" s="46" t="str">
        <f>IF(Base!J672="","",Base!J672)</f>
        <v/>
      </c>
      <c r="E674" s="45" t="str">
        <f>IF(Base!H672="","",Base!H672)</f>
        <v/>
      </c>
    </row>
    <row r="675" spans="1:5">
      <c r="A675" s="45" t="str">
        <f>IF(Base!B673="","",Base!B673)</f>
        <v/>
      </c>
      <c r="B675" s="45" t="str">
        <f>IF(Base!F673="","",Base!F673)</f>
        <v/>
      </c>
      <c r="C675" s="45" t="str">
        <f>IF(Base!I673="","",Base!I673)</f>
        <v/>
      </c>
      <c r="D675" s="46" t="str">
        <f>IF(Base!J673="","",Base!J673)</f>
        <v/>
      </c>
      <c r="E675" s="45" t="str">
        <f>IF(Base!H673="","",Base!H673)</f>
        <v/>
      </c>
    </row>
    <row r="676" spans="1:5">
      <c r="A676" s="45" t="str">
        <f>IF(Base!B674="","",Base!B674)</f>
        <v/>
      </c>
      <c r="B676" s="45" t="str">
        <f>IF(Base!F674="","",Base!F674)</f>
        <v/>
      </c>
      <c r="C676" s="45" t="str">
        <f>IF(Base!I674="","",Base!I674)</f>
        <v/>
      </c>
      <c r="D676" s="46" t="str">
        <f>IF(Base!J674="","",Base!J674)</f>
        <v/>
      </c>
      <c r="E676" s="45" t="str">
        <f>IF(Base!H674="","",Base!H674)</f>
        <v/>
      </c>
    </row>
    <row r="677" spans="1:5">
      <c r="A677" s="45" t="str">
        <f>IF(Base!B675="","",Base!B675)</f>
        <v/>
      </c>
      <c r="B677" s="45" t="str">
        <f>IF(Base!F675="","",Base!F675)</f>
        <v/>
      </c>
      <c r="C677" s="45" t="str">
        <f>IF(Base!I675="","",Base!I675)</f>
        <v/>
      </c>
      <c r="D677" s="46" t="str">
        <f>IF(Base!J675="","",Base!J675)</f>
        <v/>
      </c>
      <c r="E677" s="45" t="str">
        <f>IF(Base!H675="","",Base!H675)</f>
        <v/>
      </c>
    </row>
    <row r="678" spans="1:5">
      <c r="A678" s="45" t="str">
        <f>IF(Base!B676="","",Base!B676)</f>
        <v/>
      </c>
      <c r="B678" s="45" t="str">
        <f>IF(Base!F676="","",Base!F676)</f>
        <v/>
      </c>
      <c r="C678" s="45" t="str">
        <f>IF(Base!I676="","",Base!I676)</f>
        <v/>
      </c>
      <c r="D678" s="46" t="str">
        <f>IF(Base!J676="","",Base!J676)</f>
        <v/>
      </c>
      <c r="E678" s="45" t="str">
        <f>IF(Base!H676="","",Base!H676)</f>
        <v/>
      </c>
    </row>
    <row r="679" spans="1:5">
      <c r="A679" s="45" t="str">
        <f>IF(Base!B677="","",Base!B677)</f>
        <v/>
      </c>
      <c r="B679" s="45" t="str">
        <f>IF(Base!F677="","",Base!F677)</f>
        <v/>
      </c>
      <c r="C679" s="45" t="str">
        <f>IF(Base!I677="","",Base!I677)</f>
        <v/>
      </c>
      <c r="D679" s="46" t="str">
        <f>IF(Base!J677="","",Base!J677)</f>
        <v/>
      </c>
      <c r="E679" s="45" t="str">
        <f>IF(Base!H677="","",Base!H677)</f>
        <v/>
      </c>
    </row>
    <row r="680" spans="1:5">
      <c r="A680" s="45" t="str">
        <f>IF(Base!B678="","",Base!B678)</f>
        <v/>
      </c>
      <c r="B680" s="45" t="str">
        <f>IF(Base!F678="","",Base!F678)</f>
        <v/>
      </c>
      <c r="C680" s="45" t="str">
        <f>IF(Base!I678="","",Base!I678)</f>
        <v/>
      </c>
      <c r="D680" s="46" t="str">
        <f>IF(Base!J678="","",Base!J678)</f>
        <v/>
      </c>
      <c r="E680" s="45" t="str">
        <f>IF(Base!H678="","",Base!H678)</f>
        <v/>
      </c>
    </row>
    <row r="681" spans="1:5">
      <c r="A681" s="45" t="str">
        <f>IF(Base!B679="","",Base!B679)</f>
        <v/>
      </c>
      <c r="B681" s="45" t="str">
        <f>IF(Base!F679="","",Base!F679)</f>
        <v/>
      </c>
      <c r="C681" s="45" t="str">
        <f>IF(Base!I679="","",Base!I679)</f>
        <v/>
      </c>
      <c r="D681" s="46" t="str">
        <f>IF(Base!J679="","",Base!J679)</f>
        <v/>
      </c>
      <c r="E681" s="45" t="str">
        <f>IF(Base!H679="","",Base!H679)</f>
        <v/>
      </c>
    </row>
    <row r="682" spans="1:5">
      <c r="A682" s="45" t="str">
        <f>IF(Base!B680="","",Base!B680)</f>
        <v/>
      </c>
      <c r="B682" s="45" t="str">
        <f>IF(Base!F680="","",Base!F680)</f>
        <v/>
      </c>
      <c r="C682" s="45" t="str">
        <f>IF(Base!I680="","",Base!I680)</f>
        <v/>
      </c>
      <c r="D682" s="46" t="str">
        <f>IF(Base!J680="","",Base!J680)</f>
        <v/>
      </c>
      <c r="E682" s="45" t="str">
        <f>IF(Base!H680="","",Base!H680)</f>
        <v/>
      </c>
    </row>
    <row r="683" spans="1:5">
      <c r="A683" s="45" t="str">
        <f>IF(Base!B681="","",Base!B681)</f>
        <v/>
      </c>
      <c r="B683" s="45" t="str">
        <f>IF(Base!F681="","",Base!F681)</f>
        <v/>
      </c>
      <c r="C683" s="45" t="str">
        <f>IF(Base!I681="","",Base!I681)</f>
        <v/>
      </c>
      <c r="D683" s="46" t="str">
        <f>IF(Base!J681="","",Base!J681)</f>
        <v/>
      </c>
      <c r="E683" s="45" t="str">
        <f>IF(Base!H681="","",Base!H681)</f>
        <v/>
      </c>
    </row>
    <row r="684" spans="1:5">
      <c r="A684" s="45" t="str">
        <f>IF(Base!B682="","",Base!B682)</f>
        <v/>
      </c>
      <c r="B684" s="45" t="str">
        <f>IF(Base!F682="","",Base!F682)</f>
        <v/>
      </c>
      <c r="C684" s="45" t="str">
        <f>IF(Base!I682="","",Base!I682)</f>
        <v/>
      </c>
      <c r="D684" s="46" t="str">
        <f>IF(Base!J682="","",Base!J682)</f>
        <v/>
      </c>
      <c r="E684" s="45" t="str">
        <f>IF(Base!H682="","",Base!H682)</f>
        <v/>
      </c>
    </row>
    <row r="685" spans="1:5">
      <c r="A685" s="45" t="str">
        <f>IF(Base!B683="","",Base!B683)</f>
        <v/>
      </c>
      <c r="B685" s="45" t="str">
        <f>IF(Base!F683="","",Base!F683)</f>
        <v/>
      </c>
      <c r="C685" s="45" t="str">
        <f>IF(Base!I683="","",Base!I683)</f>
        <v/>
      </c>
      <c r="D685" s="46" t="str">
        <f>IF(Base!J683="","",Base!J683)</f>
        <v/>
      </c>
      <c r="E685" s="45" t="str">
        <f>IF(Base!H683="","",Base!H683)</f>
        <v/>
      </c>
    </row>
    <row r="686" spans="1:5">
      <c r="A686" s="45" t="str">
        <f>IF(Base!B684="","",Base!B684)</f>
        <v/>
      </c>
      <c r="B686" s="45" t="str">
        <f>IF(Base!F684="","",Base!F684)</f>
        <v/>
      </c>
      <c r="C686" s="45" t="str">
        <f>IF(Base!I684="","",Base!I684)</f>
        <v/>
      </c>
      <c r="D686" s="46" t="str">
        <f>IF(Base!J684="","",Base!J684)</f>
        <v/>
      </c>
      <c r="E686" s="45" t="str">
        <f>IF(Base!H684="","",Base!H684)</f>
        <v/>
      </c>
    </row>
    <row r="687" spans="1:5">
      <c r="A687" s="45" t="str">
        <f>IF(Base!B685="","",Base!B685)</f>
        <v/>
      </c>
      <c r="B687" s="45" t="str">
        <f>IF(Base!F685="","",Base!F685)</f>
        <v/>
      </c>
      <c r="C687" s="45" t="str">
        <f>IF(Base!I685="","",Base!I685)</f>
        <v/>
      </c>
      <c r="D687" s="46" t="str">
        <f>IF(Base!J685="","",Base!J685)</f>
        <v/>
      </c>
      <c r="E687" s="45" t="str">
        <f>IF(Base!H685="","",Base!H685)</f>
        <v/>
      </c>
    </row>
    <row r="688" spans="1:5">
      <c r="A688" s="45" t="str">
        <f>IF(Base!B686="","",Base!B686)</f>
        <v/>
      </c>
      <c r="B688" s="45" t="str">
        <f>IF(Base!F686="","",Base!F686)</f>
        <v/>
      </c>
      <c r="C688" s="45" t="str">
        <f>IF(Base!I686="","",Base!I686)</f>
        <v/>
      </c>
      <c r="D688" s="46" t="str">
        <f>IF(Base!J686="","",Base!J686)</f>
        <v/>
      </c>
      <c r="E688" s="45" t="str">
        <f>IF(Base!H686="","",Base!H686)</f>
        <v/>
      </c>
    </row>
    <row r="689" spans="1:5">
      <c r="A689" s="45" t="str">
        <f>IF(Base!B687="","",Base!B687)</f>
        <v/>
      </c>
      <c r="B689" s="45" t="str">
        <f>IF(Base!F687="","",Base!F687)</f>
        <v/>
      </c>
      <c r="C689" s="45" t="str">
        <f>IF(Base!I687="","",Base!I687)</f>
        <v/>
      </c>
      <c r="D689" s="46" t="str">
        <f>IF(Base!J687="","",Base!J687)</f>
        <v/>
      </c>
      <c r="E689" s="45" t="str">
        <f>IF(Base!H687="","",Base!H687)</f>
        <v/>
      </c>
    </row>
    <row r="690" spans="1:5">
      <c r="A690" s="45" t="str">
        <f>IF(Base!B688="","",Base!B688)</f>
        <v/>
      </c>
      <c r="B690" s="45" t="str">
        <f>IF(Base!F688="","",Base!F688)</f>
        <v/>
      </c>
      <c r="C690" s="45" t="str">
        <f>IF(Base!I688="","",Base!I688)</f>
        <v/>
      </c>
      <c r="D690" s="46" t="str">
        <f>IF(Base!J688="","",Base!J688)</f>
        <v/>
      </c>
      <c r="E690" s="45" t="str">
        <f>IF(Base!H688="","",Base!H688)</f>
        <v/>
      </c>
    </row>
    <row r="691" spans="1:5">
      <c r="A691" s="45" t="str">
        <f>IF(Base!B689="","",Base!B689)</f>
        <v/>
      </c>
      <c r="B691" s="45" t="str">
        <f>IF(Base!F689="","",Base!F689)</f>
        <v/>
      </c>
      <c r="C691" s="45" t="str">
        <f>IF(Base!I689="","",Base!I689)</f>
        <v/>
      </c>
      <c r="D691" s="46" t="str">
        <f>IF(Base!J689="","",Base!J689)</f>
        <v/>
      </c>
      <c r="E691" s="45" t="str">
        <f>IF(Base!H689="","",Base!H689)</f>
        <v/>
      </c>
    </row>
    <row r="692" spans="1:5">
      <c r="A692" s="45" t="str">
        <f>IF(Base!B690="","",Base!B690)</f>
        <v/>
      </c>
      <c r="B692" s="45" t="str">
        <f>IF(Base!F690="","",Base!F690)</f>
        <v/>
      </c>
      <c r="C692" s="45" t="str">
        <f>IF(Base!I690="","",Base!I690)</f>
        <v/>
      </c>
      <c r="D692" s="46" t="str">
        <f>IF(Base!J690="","",Base!J690)</f>
        <v/>
      </c>
      <c r="E692" s="45" t="str">
        <f>IF(Base!H690="","",Base!H690)</f>
        <v/>
      </c>
    </row>
    <row r="693" spans="1:5">
      <c r="A693" s="45" t="str">
        <f>IF(Base!B691="","",Base!B691)</f>
        <v/>
      </c>
      <c r="B693" s="45" t="str">
        <f>IF(Base!F691="","",Base!F691)</f>
        <v/>
      </c>
      <c r="C693" s="45" t="str">
        <f>IF(Base!I691="","",Base!I691)</f>
        <v/>
      </c>
      <c r="D693" s="46" t="str">
        <f>IF(Base!J691="","",Base!J691)</f>
        <v/>
      </c>
      <c r="E693" s="45" t="str">
        <f>IF(Base!H691="","",Base!H691)</f>
        <v/>
      </c>
    </row>
    <row r="694" spans="1:5">
      <c r="A694" s="45" t="str">
        <f>IF(Base!B692="","",Base!B692)</f>
        <v/>
      </c>
      <c r="B694" s="45" t="str">
        <f>IF(Base!F692="","",Base!F692)</f>
        <v/>
      </c>
      <c r="C694" s="45" t="str">
        <f>IF(Base!I692="","",Base!I692)</f>
        <v/>
      </c>
      <c r="D694" s="46" t="str">
        <f>IF(Base!J692="","",Base!J692)</f>
        <v/>
      </c>
      <c r="E694" s="45" t="str">
        <f>IF(Base!H692="","",Base!H692)</f>
        <v/>
      </c>
    </row>
    <row r="695" spans="1:5">
      <c r="A695" s="45" t="str">
        <f>IF(Base!B693="","",Base!B693)</f>
        <v/>
      </c>
      <c r="B695" s="45" t="str">
        <f>IF(Base!F693="","",Base!F693)</f>
        <v/>
      </c>
      <c r="C695" s="45" t="str">
        <f>IF(Base!I693="","",Base!I693)</f>
        <v/>
      </c>
      <c r="D695" s="46" t="str">
        <f>IF(Base!J693="","",Base!J693)</f>
        <v/>
      </c>
      <c r="E695" s="45" t="str">
        <f>IF(Base!H693="","",Base!H693)</f>
        <v/>
      </c>
    </row>
    <row r="696" spans="1:5">
      <c r="A696" s="45" t="str">
        <f>IF(Base!B694="","",Base!B694)</f>
        <v/>
      </c>
      <c r="B696" s="45" t="str">
        <f>IF(Base!F694="","",Base!F694)</f>
        <v/>
      </c>
      <c r="C696" s="45" t="str">
        <f>IF(Base!I694="","",Base!I694)</f>
        <v/>
      </c>
      <c r="D696" s="46" t="str">
        <f>IF(Base!J694="","",Base!J694)</f>
        <v/>
      </c>
      <c r="E696" s="45" t="str">
        <f>IF(Base!H694="","",Base!H694)</f>
        <v/>
      </c>
    </row>
    <row r="697" spans="1:5">
      <c r="A697" s="45" t="str">
        <f>IF(Base!B695="","",Base!B695)</f>
        <v/>
      </c>
      <c r="B697" s="45" t="str">
        <f>IF(Base!F695="","",Base!F695)</f>
        <v/>
      </c>
      <c r="C697" s="45" t="str">
        <f>IF(Base!I695="","",Base!I695)</f>
        <v/>
      </c>
      <c r="D697" s="46" t="str">
        <f>IF(Base!J695="","",Base!J695)</f>
        <v/>
      </c>
      <c r="E697" s="45" t="str">
        <f>IF(Base!H695="","",Base!H695)</f>
        <v/>
      </c>
    </row>
    <row r="698" spans="1:5">
      <c r="A698" s="45" t="str">
        <f>IF(Base!B696="","",Base!B696)</f>
        <v/>
      </c>
      <c r="B698" s="45" t="str">
        <f>IF(Base!F696="","",Base!F696)</f>
        <v/>
      </c>
      <c r="C698" s="45" t="str">
        <f>IF(Base!I696="","",Base!I696)</f>
        <v/>
      </c>
      <c r="D698" s="46" t="str">
        <f>IF(Base!J696="","",Base!J696)</f>
        <v/>
      </c>
      <c r="E698" s="45" t="str">
        <f>IF(Base!H696="","",Base!H696)</f>
        <v/>
      </c>
    </row>
    <row r="699" spans="1:5">
      <c r="A699" s="45" t="str">
        <f>IF(Base!B697="","",Base!B697)</f>
        <v/>
      </c>
      <c r="B699" s="45" t="str">
        <f>IF(Base!F697="","",Base!F697)</f>
        <v/>
      </c>
      <c r="C699" s="45" t="str">
        <f>IF(Base!I697="","",Base!I697)</f>
        <v/>
      </c>
      <c r="D699" s="46" t="str">
        <f>IF(Base!J697="","",Base!J697)</f>
        <v/>
      </c>
      <c r="E699" s="45" t="str">
        <f>IF(Base!H697="","",Base!H697)</f>
        <v/>
      </c>
    </row>
    <row r="700" spans="1:5">
      <c r="A700" s="45" t="str">
        <f>IF(Base!B698="","",Base!B698)</f>
        <v/>
      </c>
      <c r="B700" s="45" t="str">
        <f>IF(Base!F698="","",Base!F698)</f>
        <v/>
      </c>
      <c r="C700" s="45" t="str">
        <f>IF(Base!I698="","",Base!I698)</f>
        <v/>
      </c>
      <c r="D700" s="46" t="str">
        <f>IF(Base!J698="","",Base!J698)</f>
        <v/>
      </c>
      <c r="E700" s="45" t="str">
        <f>IF(Base!H698="","",Base!H698)</f>
        <v/>
      </c>
    </row>
  </sheetData>
  <mergeCells count="9">
    <mergeCell ref="AE9:AF9"/>
    <mergeCell ref="AG9:AG10"/>
    <mergeCell ref="Q9:R9"/>
    <mergeCell ref="S9:T9"/>
    <mergeCell ref="U9:V9"/>
    <mergeCell ref="W9:X9"/>
    <mergeCell ref="Y9:Z9"/>
    <mergeCell ref="AA9:AB9"/>
    <mergeCell ref="AC9:AD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$H$3:$H$6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E19" sqref="E19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12.5703125" customWidth="1"/>
    <col min="6" max="6" width="7.85546875" bestFit="1" customWidth="1"/>
    <col min="7" max="7" width="4" bestFit="1" customWidth="1"/>
    <col min="8" max="8" width="18" bestFit="1" customWidth="1"/>
  </cols>
  <sheetData>
    <row r="1" spans="1:8" s="64" customFormat="1">
      <c r="A1" s="64" t="s">
        <v>7</v>
      </c>
      <c r="B1" s="64" t="s">
        <v>11</v>
      </c>
      <c r="C1" s="64" t="s">
        <v>9</v>
      </c>
      <c r="D1" s="64" t="s">
        <v>10</v>
      </c>
      <c r="E1" s="64" t="s">
        <v>1340</v>
      </c>
      <c r="F1" s="64" t="s">
        <v>1341</v>
      </c>
      <c r="G1" s="64" t="s">
        <v>1342</v>
      </c>
      <c r="H1" s="64" t="s">
        <v>1343</v>
      </c>
    </row>
    <row r="2" spans="1:8" s="80" customFormat="1">
      <c r="A2">
        <v>5080993</v>
      </c>
      <c r="B2" t="s">
        <v>262</v>
      </c>
      <c r="C2" t="s">
        <v>383</v>
      </c>
      <c r="D2" t="s">
        <v>384</v>
      </c>
      <c r="E2" s="69">
        <v>40644</v>
      </c>
      <c r="F2" s="65">
        <v>0.6005787037037037</v>
      </c>
      <c r="G2" t="s">
        <v>1344</v>
      </c>
      <c r="H2" t="s">
        <v>1345</v>
      </c>
    </row>
    <row r="3" spans="1:8" s="80" customFormat="1">
      <c r="A3">
        <v>5080993</v>
      </c>
      <c r="B3" t="s">
        <v>262</v>
      </c>
      <c r="C3" t="s">
        <v>383</v>
      </c>
      <c r="D3" t="s">
        <v>384</v>
      </c>
      <c r="E3" s="69">
        <v>40644</v>
      </c>
      <c r="F3" s="65">
        <v>0.93800925925925915</v>
      </c>
      <c r="G3" t="s">
        <v>1346</v>
      </c>
      <c r="H3" t="s">
        <v>1347</v>
      </c>
    </row>
    <row r="4" spans="1:8" s="80" customFormat="1">
      <c r="A4">
        <v>5080993</v>
      </c>
      <c r="B4" t="s">
        <v>262</v>
      </c>
      <c r="C4" t="s">
        <v>383</v>
      </c>
      <c r="D4" t="s">
        <v>384</v>
      </c>
      <c r="E4" s="69">
        <v>40645</v>
      </c>
      <c r="F4" s="65">
        <v>0.59415509259259258</v>
      </c>
      <c r="G4" t="s">
        <v>1344</v>
      </c>
      <c r="H4" t="s">
        <v>1345</v>
      </c>
    </row>
    <row r="5" spans="1:8" s="80" customFormat="1">
      <c r="A5">
        <v>5080993</v>
      </c>
      <c r="B5" t="s">
        <v>262</v>
      </c>
      <c r="C5" t="s">
        <v>383</v>
      </c>
      <c r="D5" t="s">
        <v>384</v>
      </c>
      <c r="E5" s="69">
        <v>40645</v>
      </c>
      <c r="F5" s="65">
        <v>0.93682870370370364</v>
      </c>
      <c r="G5" t="s">
        <v>1346</v>
      </c>
      <c r="H5" t="s">
        <v>1347</v>
      </c>
    </row>
    <row r="6" spans="1:8" s="80" customFormat="1">
      <c r="A6">
        <v>5080993</v>
      </c>
      <c r="B6" t="s">
        <v>262</v>
      </c>
      <c r="C6" t="s">
        <v>383</v>
      </c>
      <c r="D6" t="s">
        <v>384</v>
      </c>
      <c r="E6" s="69">
        <v>40646</v>
      </c>
      <c r="F6" s="65">
        <v>0.60032407407407407</v>
      </c>
      <c r="G6" t="s">
        <v>1344</v>
      </c>
      <c r="H6" t="s">
        <v>1345</v>
      </c>
    </row>
    <row r="7" spans="1:8" s="80" customFormat="1">
      <c r="A7">
        <v>5080993</v>
      </c>
      <c r="B7" t="s">
        <v>262</v>
      </c>
      <c r="C7" t="s">
        <v>383</v>
      </c>
      <c r="D7" t="s">
        <v>384</v>
      </c>
      <c r="E7" s="69">
        <v>40646</v>
      </c>
      <c r="F7" s="65">
        <v>0.85018518518518515</v>
      </c>
      <c r="G7" t="s">
        <v>1346</v>
      </c>
      <c r="H7" t="s">
        <v>1347</v>
      </c>
    </row>
    <row r="8" spans="1:8" s="80" customFormat="1">
      <c r="A8">
        <v>5080993</v>
      </c>
      <c r="B8" t="s">
        <v>262</v>
      </c>
      <c r="C8" t="s">
        <v>383</v>
      </c>
      <c r="D8" t="s">
        <v>384</v>
      </c>
      <c r="E8" s="69">
        <v>40647</v>
      </c>
      <c r="F8" s="65">
        <v>0.60040509259259256</v>
      </c>
      <c r="G8" t="s">
        <v>1344</v>
      </c>
      <c r="H8" t="s">
        <v>1345</v>
      </c>
    </row>
    <row r="9" spans="1:8" s="80" customFormat="1">
      <c r="A9">
        <v>5080993</v>
      </c>
      <c r="B9" t="s">
        <v>262</v>
      </c>
      <c r="C9" t="s">
        <v>383</v>
      </c>
      <c r="D9" t="s">
        <v>384</v>
      </c>
      <c r="E9" s="69">
        <v>40647</v>
      </c>
      <c r="F9" s="65">
        <v>0.93754629629629627</v>
      </c>
      <c r="G9" t="s">
        <v>1346</v>
      </c>
      <c r="H9" t="s">
        <v>1347</v>
      </c>
    </row>
    <row r="10" spans="1:8" s="80" customFormat="1">
      <c r="A10">
        <v>5080993</v>
      </c>
      <c r="B10" t="s">
        <v>262</v>
      </c>
      <c r="C10" t="s">
        <v>383</v>
      </c>
      <c r="D10" t="s">
        <v>384</v>
      </c>
      <c r="E10" s="69">
        <v>40648</v>
      </c>
      <c r="F10" s="65">
        <v>0.62310185185185185</v>
      </c>
      <c r="G10" t="s">
        <v>1344</v>
      </c>
      <c r="H10" t="s">
        <v>1345</v>
      </c>
    </row>
    <row r="11" spans="1:8" s="80" customFormat="1">
      <c r="A11">
        <v>5080993</v>
      </c>
      <c r="B11" t="s">
        <v>262</v>
      </c>
      <c r="C11" t="s">
        <v>383</v>
      </c>
      <c r="D11" t="s">
        <v>384</v>
      </c>
      <c r="E11" s="69">
        <v>40648</v>
      </c>
      <c r="F11" s="65">
        <v>0.93752314814814808</v>
      </c>
      <c r="G11" t="s">
        <v>1346</v>
      </c>
      <c r="H11" t="s">
        <v>1347</v>
      </c>
    </row>
    <row r="12" spans="1:8" s="80" customFormat="1">
      <c r="A12">
        <v>5080993</v>
      </c>
      <c r="B12" t="s">
        <v>262</v>
      </c>
      <c r="C12" t="s">
        <v>383</v>
      </c>
      <c r="D12" t="s">
        <v>384</v>
      </c>
      <c r="E12" s="69">
        <v>40649</v>
      </c>
      <c r="F12" s="65">
        <v>0.93815972222222221</v>
      </c>
      <c r="G12" t="s">
        <v>1346</v>
      </c>
      <c r="H12" t="s">
        <v>1347</v>
      </c>
    </row>
    <row r="13" spans="1:8" s="80" customFormat="1">
      <c r="A13">
        <v>5080993</v>
      </c>
      <c r="B13" t="s">
        <v>262</v>
      </c>
      <c r="C13" t="s">
        <v>383</v>
      </c>
      <c r="D13" t="s">
        <v>384</v>
      </c>
      <c r="E13" s="69">
        <v>40649</v>
      </c>
      <c r="F13" s="65">
        <v>0.59476851851851853</v>
      </c>
      <c r="G13" t="s">
        <v>1344</v>
      </c>
      <c r="H13" t="s">
        <v>1345</v>
      </c>
    </row>
    <row r="14" spans="1:8" s="80" customFormat="1">
      <c r="A14">
        <v>5267317</v>
      </c>
      <c r="B14" t="s">
        <v>345</v>
      </c>
      <c r="C14" t="s">
        <v>344</v>
      </c>
      <c r="D14" t="s">
        <v>146</v>
      </c>
      <c r="E14" s="69">
        <v>40644</v>
      </c>
      <c r="F14" s="65">
        <v>0.28668981481481481</v>
      </c>
      <c r="G14" t="s">
        <v>1344</v>
      </c>
      <c r="H14" t="s">
        <v>1345</v>
      </c>
    </row>
    <row r="15" spans="1:8" s="80" customFormat="1">
      <c r="A15">
        <v>5267317</v>
      </c>
      <c r="B15" t="s">
        <v>345</v>
      </c>
      <c r="C15" t="s">
        <v>344</v>
      </c>
      <c r="D15" t="s">
        <v>146</v>
      </c>
      <c r="E15" s="69">
        <v>40644</v>
      </c>
      <c r="F15" s="65">
        <v>0.72828703703703701</v>
      </c>
      <c r="G15" t="s">
        <v>1346</v>
      </c>
      <c r="H15" t="s">
        <v>1347</v>
      </c>
    </row>
    <row r="16" spans="1:8" s="80" customFormat="1">
      <c r="A16">
        <v>5267317</v>
      </c>
      <c r="B16" t="s">
        <v>345</v>
      </c>
      <c r="C16" t="s">
        <v>344</v>
      </c>
      <c r="D16" t="s">
        <v>146</v>
      </c>
      <c r="E16" s="69">
        <v>40645</v>
      </c>
      <c r="F16" s="65">
        <v>0.29966435185185186</v>
      </c>
      <c r="G16" t="s">
        <v>1344</v>
      </c>
      <c r="H16" t="s">
        <v>1345</v>
      </c>
    </row>
    <row r="17" spans="1:8" s="80" customFormat="1">
      <c r="A17">
        <v>5267317</v>
      </c>
      <c r="B17" t="s">
        <v>345</v>
      </c>
      <c r="C17" t="s">
        <v>344</v>
      </c>
      <c r="D17" t="s">
        <v>146</v>
      </c>
      <c r="E17" s="69">
        <v>40645</v>
      </c>
      <c r="F17" s="65">
        <v>0.72619212962962953</v>
      </c>
      <c r="G17" t="s">
        <v>1346</v>
      </c>
      <c r="H17" t="s">
        <v>1347</v>
      </c>
    </row>
    <row r="18" spans="1:8" s="80" customFormat="1">
      <c r="A18">
        <v>5267317</v>
      </c>
      <c r="B18" t="s">
        <v>345</v>
      </c>
      <c r="C18" t="s">
        <v>344</v>
      </c>
      <c r="D18" t="s">
        <v>146</v>
      </c>
      <c r="E18" s="69">
        <v>40646</v>
      </c>
      <c r="F18" s="65">
        <v>0.28695601851851854</v>
      </c>
      <c r="G18" t="s">
        <v>1344</v>
      </c>
      <c r="H18" t="s">
        <v>1345</v>
      </c>
    </row>
    <row r="19" spans="1:8" s="80" customFormat="1">
      <c r="A19">
        <v>5267317</v>
      </c>
      <c r="B19" t="s">
        <v>345</v>
      </c>
      <c r="C19" t="s">
        <v>344</v>
      </c>
      <c r="D19" t="s">
        <v>146</v>
      </c>
      <c r="E19" s="69">
        <v>40646</v>
      </c>
      <c r="F19" s="65">
        <v>0.73567129629629635</v>
      </c>
      <c r="G19" t="s">
        <v>1346</v>
      </c>
      <c r="H19" t="s">
        <v>1347</v>
      </c>
    </row>
    <row r="20" spans="1:8" s="80" customFormat="1">
      <c r="A20">
        <v>5267317</v>
      </c>
      <c r="B20" t="s">
        <v>345</v>
      </c>
      <c r="C20" t="s">
        <v>344</v>
      </c>
      <c r="D20" t="s">
        <v>146</v>
      </c>
      <c r="E20" s="69">
        <v>40647</v>
      </c>
      <c r="F20" s="65">
        <v>0.28765046296296298</v>
      </c>
      <c r="G20" t="s">
        <v>1344</v>
      </c>
      <c r="H20" t="s">
        <v>1345</v>
      </c>
    </row>
    <row r="21" spans="1:8" s="80" customFormat="1">
      <c r="A21">
        <v>5267317</v>
      </c>
      <c r="B21" t="s">
        <v>345</v>
      </c>
      <c r="C21" t="s">
        <v>344</v>
      </c>
      <c r="D21" t="s">
        <v>146</v>
      </c>
      <c r="E21" s="69">
        <v>40647</v>
      </c>
      <c r="F21" s="65">
        <v>0.72928240740740735</v>
      </c>
      <c r="G21" t="s">
        <v>1346</v>
      </c>
      <c r="H21" t="s">
        <v>1347</v>
      </c>
    </row>
    <row r="22" spans="1:8" s="80" customFormat="1">
      <c r="A22">
        <v>5267317</v>
      </c>
      <c r="B22" t="s">
        <v>345</v>
      </c>
      <c r="C22" t="s">
        <v>344</v>
      </c>
      <c r="D22" t="s">
        <v>146</v>
      </c>
      <c r="E22" s="69">
        <v>40648</v>
      </c>
      <c r="F22" s="65">
        <v>0.2840625</v>
      </c>
      <c r="G22" t="s">
        <v>1344</v>
      </c>
      <c r="H22" t="s">
        <v>1345</v>
      </c>
    </row>
    <row r="23" spans="1:8" s="80" customFormat="1">
      <c r="A23">
        <v>5267317</v>
      </c>
      <c r="B23" t="s">
        <v>345</v>
      </c>
      <c r="C23" t="s">
        <v>344</v>
      </c>
      <c r="D23" t="s">
        <v>146</v>
      </c>
      <c r="E23" s="69">
        <v>40648</v>
      </c>
      <c r="F23" s="65">
        <v>0.87041666666666673</v>
      </c>
      <c r="G23" t="s">
        <v>1346</v>
      </c>
      <c r="H23" t="s">
        <v>1347</v>
      </c>
    </row>
    <row r="24" spans="1:8" s="80" customFormat="1">
      <c r="A24">
        <v>5267317</v>
      </c>
      <c r="B24" t="s">
        <v>345</v>
      </c>
      <c r="C24" t="s">
        <v>344</v>
      </c>
      <c r="D24" t="s">
        <v>146</v>
      </c>
      <c r="E24" s="69">
        <v>40649</v>
      </c>
      <c r="F24" s="65">
        <v>0.57298611111111108</v>
      </c>
      <c r="G24" t="s">
        <v>1346</v>
      </c>
      <c r="H24" t="s">
        <v>1347</v>
      </c>
    </row>
    <row r="25" spans="1:8" s="80" customFormat="1">
      <c r="A25">
        <v>5267317</v>
      </c>
      <c r="B25" t="s">
        <v>345</v>
      </c>
      <c r="C25" t="s">
        <v>344</v>
      </c>
      <c r="D25" t="s">
        <v>146</v>
      </c>
      <c r="E25" s="69">
        <v>40649</v>
      </c>
      <c r="F25" s="65">
        <v>0.30790509259259258</v>
      </c>
      <c r="G25" t="s">
        <v>1344</v>
      </c>
      <c r="H25" t="s">
        <v>1345</v>
      </c>
    </row>
    <row r="26" spans="1:8" s="80" customFormat="1">
      <c r="A26">
        <v>5989878</v>
      </c>
      <c r="B26" t="s">
        <v>389</v>
      </c>
      <c r="C26" t="s">
        <v>383</v>
      </c>
      <c r="D26" t="s">
        <v>388</v>
      </c>
      <c r="E26" s="69">
        <v>40644</v>
      </c>
      <c r="F26" s="65">
        <v>0.60752314814814812</v>
      </c>
      <c r="G26" t="s">
        <v>1344</v>
      </c>
      <c r="H26" t="s">
        <v>1345</v>
      </c>
    </row>
    <row r="27" spans="1:8" s="80" customFormat="1">
      <c r="A27">
        <v>5989878</v>
      </c>
      <c r="B27" t="s">
        <v>389</v>
      </c>
      <c r="C27" t="s">
        <v>383</v>
      </c>
      <c r="D27" t="s">
        <v>388</v>
      </c>
      <c r="E27" s="69">
        <v>40644</v>
      </c>
      <c r="F27" s="65">
        <v>0.94047453703703709</v>
      </c>
      <c r="G27" t="s">
        <v>1346</v>
      </c>
      <c r="H27" t="s">
        <v>1347</v>
      </c>
    </row>
    <row r="28" spans="1:8" s="80" customFormat="1">
      <c r="A28">
        <v>5989878</v>
      </c>
      <c r="B28" t="s">
        <v>389</v>
      </c>
      <c r="C28" t="s">
        <v>383</v>
      </c>
      <c r="D28" t="s">
        <v>388</v>
      </c>
      <c r="E28" s="69">
        <v>40645</v>
      </c>
      <c r="F28" s="65">
        <v>0.60767361111111107</v>
      </c>
      <c r="G28" t="s">
        <v>1344</v>
      </c>
      <c r="H28" t="s">
        <v>1345</v>
      </c>
    </row>
    <row r="29" spans="1:8" s="80" customFormat="1">
      <c r="A29">
        <v>5989878</v>
      </c>
      <c r="B29" t="s">
        <v>389</v>
      </c>
      <c r="C29" t="s">
        <v>383</v>
      </c>
      <c r="D29" t="s">
        <v>388</v>
      </c>
      <c r="E29" s="69">
        <v>40645</v>
      </c>
      <c r="F29" s="65">
        <v>0.94491898148148146</v>
      </c>
      <c r="G29" t="s">
        <v>1346</v>
      </c>
      <c r="H29" t="s">
        <v>1347</v>
      </c>
    </row>
    <row r="30" spans="1:8" s="80" customFormat="1">
      <c r="A30">
        <v>5989878</v>
      </c>
      <c r="B30" t="s">
        <v>389</v>
      </c>
      <c r="C30" t="s">
        <v>383</v>
      </c>
      <c r="D30" t="s">
        <v>388</v>
      </c>
      <c r="E30" s="69">
        <v>40646</v>
      </c>
      <c r="F30" s="65">
        <v>0.609837962962963</v>
      </c>
      <c r="G30" t="s">
        <v>1344</v>
      </c>
      <c r="H30" t="s">
        <v>1345</v>
      </c>
    </row>
    <row r="31" spans="1:8" s="80" customFormat="1">
      <c r="A31">
        <v>5989878</v>
      </c>
      <c r="B31" t="s">
        <v>389</v>
      </c>
      <c r="C31" t="s">
        <v>383</v>
      </c>
      <c r="D31" t="s">
        <v>388</v>
      </c>
      <c r="E31" s="69">
        <v>40646</v>
      </c>
      <c r="F31" s="65">
        <v>0.94079861111111107</v>
      </c>
      <c r="G31" t="s">
        <v>1346</v>
      </c>
      <c r="H31" t="s">
        <v>1347</v>
      </c>
    </row>
    <row r="32" spans="1:8" s="80" customFormat="1">
      <c r="A32">
        <v>5989878</v>
      </c>
      <c r="B32" t="s">
        <v>389</v>
      </c>
      <c r="C32" t="s">
        <v>383</v>
      </c>
      <c r="D32" t="s">
        <v>388</v>
      </c>
      <c r="E32" s="69">
        <v>40647</v>
      </c>
      <c r="F32" s="65">
        <v>0.29910879629629633</v>
      </c>
      <c r="G32" t="s">
        <v>1344</v>
      </c>
      <c r="H32" t="s">
        <v>1345</v>
      </c>
    </row>
    <row r="33" spans="1:8" s="80" customFormat="1">
      <c r="A33">
        <v>5989878</v>
      </c>
      <c r="B33" t="s">
        <v>389</v>
      </c>
      <c r="C33" t="s">
        <v>383</v>
      </c>
      <c r="D33" t="s">
        <v>388</v>
      </c>
      <c r="E33" s="69">
        <v>40647</v>
      </c>
      <c r="F33" s="65">
        <v>0.63003472222222223</v>
      </c>
      <c r="G33" t="s">
        <v>1346</v>
      </c>
      <c r="H33" t="s">
        <v>1347</v>
      </c>
    </row>
    <row r="34" spans="1:8" s="80" customFormat="1">
      <c r="A34">
        <v>5989878</v>
      </c>
      <c r="B34" t="s">
        <v>389</v>
      </c>
      <c r="C34" t="s">
        <v>383</v>
      </c>
      <c r="D34" t="s">
        <v>388</v>
      </c>
      <c r="E34" s="69">
        <v>40648</v>
      </c>
      <c r="F34" s="65">
        <v>0.60766203703703703</v>
      </c>
      <c r="G34" t="s">
        <v>1344</v>
      </c>
      <c r="H34" t="s">
        <v>1345</v>
      </c>
    </row>
    <row r="35" spans="1:8" s="80" customFormat="1">
      <c r="A35">
        <v>5989878</v>
      </c>
      <c r="B35" t="s">
        <v>389</v>
      </c>
      <c r="C35" t="s">
        <v>383</v>
      </c>
      <c r="D35" t="s">
        <v>388</v>
      </c>
      <c r="E35" s="69">
        <v>40648</v>
      </c>
      <c r="F35" s="65">
        <v>0.93927083333333339</v>
      </c>
      <c r="G35" t="s">
        <v>1346</v>
      </c>
      <c r="H35" t="s">
        <v>1347</v>
      </c>
    </row>
    <row r="36" spans="1:8" s="80" customFormat="1">
      <c r="A36">
        <v>5989878</v>
      </c>
      <c r="B36" t="s">
        <v>389</v>
      </c>
      <c r="C36" t="s">
        <v>383</v>
      </c>
      <c r="D36" t="s">
        <v>388</v>
      </c>
      <c r="E36" s="69">
        <v>40649</v>
      </c>
      <c r="F36" s="65">
        <v>0.81225694444444441</v>
      </c>
      <c r="G36" t="s">
        <v>1346</v>
      </c>
      <c r="H36" t="s">
        <v>1347</v>
      </c>
    </row>
    <row r="37" spans="1:8" s="80" customFormat="1">
      <c r="A37">
        <v>5989878</v>
      </c>
      <c r="B37" t="s">
        <v>389</v>
      </c>
      <c r="C37" t="s">
        <v>383</v>
      </c>
      <c r="D37" t="s">
        <v>388</v>
      </c>
      <c r="E37" s="69">
        <v>40649</v>
      </c>
      <c r="F37" s="65">
        <v>0.49086805555555557</v>
      </c>
      <c r="G37" t="s">
        <v>1344</v>
      </c>
      <c r="H37" t="s">
        <v>1345</v>
      </c>
    </row>
    <row r="38" spans="1:8" s="80" customFormat="1">
      <c r="A38">
        <v>6528911</v>
      </c>
      <c r="B38" t="s">
        <v>262</v>
      </c>
      <c r="C38" t="s">
        <v>812</v>
      </c>
      <c r="D38" t="s">
        <v>28</v>
      </c>
      <c r="E38" s="69">
        <v>40644</v>
      </c>
      <c r="F38" s="65">
        <v>0.29260416666666667</v>
      </c>
      <c r="G38" t="s">
        <v>1344</v>
      </c>
      <c r="H38" t="s">
        <v>1345</v>
      </c>
    </row>
    <row r="39" spans="1:8" s="80" customFormat="1">
      <c r="A39">
        <v>6528911</v>
      </c>
      <c r="B39" t="s">
        <v>262</v>
      </c>
      <c r="C39" t="s">
        <v>812</v>
      </c>
      <c r="D39" t="s">
        <v>28</v>
      </c>
      <c r="E39" s="69">
        <v>40644</v>
      </c>
      <c r="F39" s="65">
        <v>0.63222222222222224</v>
      </c>
      <c r="G39" t="s">
        <v>1346</v>
      </c>
      <c r="H39" t="s">
        <v>1347</v>
      </c>
    </row>
    <row r="40" spans="1:8" s="80" customFormat="1">
      <c r="A40">
        <v>6528911</v>
      </c>
      <c r="B40" t="s">
        <v>262</v>
      </c>
      <c r="C40" t="s">
        <v>812</v>
      </c>
      <c r="D40" t="s">
        <v>28</v>
      </c>
      <c r="E40" s="69">
        <v>40645</v>
      </c>
      <c r="F40" s="65">
        <v>0.29247685185185185</v>
      </c>
      <c r="G40" t="s">
        <v>1344</v>
      </c>
      <c r="H40" t="s">
        <v>1345</v>
      </c>
    </row>
    <row r="41" spans="1:8" s="80" customFormat="1">
      <c r="A41">
        <v>6528911</v>
      </c>
      <c r="B41" t="s">
        <v>262</v>
      </c>
      <c r="C41" t="s">
        <v>812</v>
      </c>
      <c r="D41" t="s">
        <v>28</v>
      </c>
      <c r="E41" s="69">
        <v>40645</v>
      </c>
      <c r="F41" s="65">
        <v>0.63972222222222219</v>
      </c>
      <c r="G41" t="s">
        <v>1346</v>
      </c>
      <c r="H41" t="s">
        <v>1347</v>
      </c>
    </row>
    <row r="42" spans="1:8" s="80" customFormat="1">
      <c r="A42">
        <v>6528911</v>
      </c>
      <c r="B42" t="s">
        <v>262</v>
      </c>
      <c r="C42" t="s">
        <v>812</v>
      </c>
      <c r="D42" t="s">
        <v>28</v>
      </c>
      <c r="E42" s="69">
        <v>40646</v>
      </c>
      <c r="F42" s="65">
        <v>0.29304398148148147</v>
      </c>
      <c r="G42" t="s">
        <v>1344</v>
      </c>
      <c r="H42" t="s">
        <v>1345</v>
      </c>
    </row>
    <row r="43" spans="1:8" s="80" customFormat="1">
      <c r="A43">
        <v>6528911</v>
      </c>
      <c r="B43" t="s">
        <v>262</v>
      </c>
      <c r="C43" t="s">
        <v>812</v>
      </c>
      <c r="D43" t="s">
        <v>28</v>
      </c>
      <c r="E43" s="69">
        <v>40646</v>
      </c>
      <c r="F43" s="65">
        <v>0.62829861111111118</v>
      </c>
      <c r="G43" t="s">
        <v>1346</v>
      </c>
      <c r="H43" t="s">
        <v>1347</v>
      </c>
    </row>
    <row r="44" spans="1:8" s="80" customFormat="1">
      <c r="A44">
        <v>6528911</v>
      </c>
      <c r="B44" t="s">
        <v>262</v>
      </c>
      <c r="C44" t="s">
        <v>812</v>
      </c>
      <c r="D44" t="s">
        <v>28</v>
      </c>
      <c r="E44" s="69">
        <v>40647</v>
      </c>
      <c r="F44" s="65">
        <v>0.29281249999999998</v>
      </c>
      <c r="G44" t="s">
        <v>1344</v>
      </c>
      <c r="H44" t="s">
        <v>1345</v>
      </c>
    </row>
    <row r="45" spans="1:8" s="80" customFormat="1">
      <c r="A45">
        <v>6528911</v>
      </c>
      <c r="B45" t="s">
        <v>262</v>
      </c>
      <c r="C45" t="s">
        <v>812</v>
      </c>
      <c r="D45" t="s">
        <v>28</v>
      </c>
      <c r="E45" s="69">
        <v>40647</v>
      </c>
      <c r="F45" s="65">
        <v>0.63708333333333333</v>
      </c>
      <c r="G45" t="s">
        <v>1346</v>
      </c>
      <c r="H45" t="s">
        <v>1347</v>
      </c>
    </row>
    <row r="46" spans="1:8" s="80" customFormat="1">
      <c r="A46">
        <v>6528911</v>
      </c>
      <c r="B46" t="s">
        <v>262</v>
      </c>
      <c r="C46" t="s">
        <v>812</v>
      </c>
      <c r="D46" t="s">
        <v>28</v>
      </c>
      <c r="E46" s="69">
        <v>40648</v>
      </c>
      <c r="F46" s="65">
        <v>0.29392361111111109</v>
      </c>
      <c r="G46" t="s">
        <v>1344</v>
      </c>
      <c r="H46" t="s">
        <v>1345</v>
      </c>
    </row>
    <row r="47" spans="1:8" s="80" customFormat="1">
      <c r="A47">
        <v>6528911</v>
      </c>
      <c r="B47" t="s">
        <v>262</v>
      </c>
      <c r="C47" t="s">
        <v>812</v>
      </c>
      <c r="D47" t="s">
        <v>28</v>
      </c>
      <c r="E47" s="69">
        <v>40648</v>
      </c>
      <c r="F47" s="65">
        <v>0.64274305555555555</v>
      </c>
      <c r="G47" t="s">
        <v>1346</v>
      </c>
      <c r="H47" t="s">
        <v>1347</v>
      </c>
    </row>
    <row r="48" spans="1:8" s="80" customFormat="1">
      <c r="A48">
        <v>6528911</v>
      </c>
      <c r="B48" t="s">
        <v>262</v>
      </c>
      <c r="C48" t="s">
        <v>812</v>
      </c>
      <c r="D48" t="s">
        <v>28</v>
      </c>
      <c r="E48" s="69">
        <v>40649</v>
      </c>
      <c r="F48" s="65">
        <v>0.63292824074074072</v>
      </c>
      <c r="G48" t="s">
        <v>1346</v>
      </c>
      <c r="H48" t="s">
        <v>1347</v>
      </c>
    </row>
    <row r="49" spans="1:8" s="80" customFormat="1">
      <c r="A49">
        <v>6528911</v>
      </c>
      <c r="B49" t="s">
        <v>262</v>
      </c>
      <c r="C49" t="s">
        <v>812</v>
      </c>
      <c r="D49" t="s">
        <v>28</v>
      </c>
      <c r="E49" s="69">
        <v>40649</v>
      </c>
      <c r="F49" s="65">
        <v>0.29335648148148147</v>
      </c>
      <c r="G49" t="s">
        <v>1344</v>
      </c>
      <c r="H49" t="s">
        <v>1345</v>
      </c>
    </row>
    <row r="50" spans="1:8" s="80" customFormat="1">
      <c r="A50">
        <v>7481602</v>
      </c>
      <c r="B50" t="s">
        <v>707</v>
      </c>
      <c r="C50" t="s">
        <v>693</v>
      </c>
      <c r="D50" t="s">
        <v>706</v>
      </c>
      <c r="E50" s="69">
        <v>40644</v>
      </c>
      <c r="F50" s="65">
        <v>0.60835648148148147</v>
      </c>
      <c r="G50" t="s">
        <v>1344</v>
      </c>
      <c r="H50" t="s">
        <v>1345</v>
      </c>
    </row>
    <row r="51" spans="1:8" s="80" customFormat="1">
      <c r="A51">
        <v>7481602</v>
      </c>
      <c r="B51" t="s">
        <v>707</v>
      </c>
      <c r="C51" t="s">
        <v>693</v>
      </c>
      <c r="D51" t="s">
        <v>706</v>
      </c>
      <c r="E51" s="69">
        <v>40644</v>
      </c>
      <c r="F51" s="65">
        <v>0.94307870370370372</v>
      </c>
      <c r="G51" t="s">
        <v>1346</v>
      </c>
      <c r="H51" t="s">
        <v>1347</v>
      </c>
    </row>
    <row r="52" spans="1:8" s="80" customFormat="1">
      <c r="A52">
        <v>7481602</v>
      </c>
      <c r="B52" t="s">
        <v>707</v>
      </c>
      <c r="C52" t="s">
        <v>693</v>
      </c>
      <c r="D52" t="s">
        <v>706</v>
      </c>
      <c r="E52" s="69">
        <v>40645</v>
      </c>
      <c r="F52" s="65">
        <v>0.60817129629629629</v>
      </c>
      <c r="G52" t="s">
        <v>1344</v>
      </c>
      <c r="H52" t="s">
        <v>1345</v>
      </c>
    </row>
    <row r="53" spans="1:8" s="80" customFormat="1">
      <c r="A53">
        <v>7481602</v>
      </c>
      <c r="B53" t="s">
        <v>707</v>
      </c>
      <c r="C53" t="s">
        <v>693</v>
      </c>
      <c r="D53" t="s">
        <v>706</v>
      </c>
      <c r="E53" s="69">
        <v>40645</v>
      </c>
      <c r="F53" s="65">
        <v>0.9443287037037037</v>
      </c>
      <c r="G53" t="s">
        <v>1346</v>
      </c>
      <c r="H53" t="s">
        <v>1347</v>
      </c>
    </row>
    <row r="54" spans="1:8" s="80" customFormat="1">
      <c r="A54">
        <v>7481602</v>
      </c>
      <c r="B54" t="s">
        <v>707</v>
      </c>
      <c r="C54" t="s">
        <v>693</v>
      </c>
      <c r="D54" t="s">
        <v>706</v>
      </c>
      <c r="E54" s="69">
        <v>40646</v>
      </c>
      <c r="F54" s="65">
        <v>0.60945601851851849</v>
      </c>
      <c r="G54" t="s">
        <v>1344</v>
      </c>
      <c r="H54" t="s">
        <v>1345</v>
      </c>
    </row>
    <row r="55" spans="1:8" s="80" customFormat="1">
      <c r="A55">
        <v>7481602</v>
      </c>
      <c r="B55" t="s">
        <v>707</v>
      </c>
      <c r="C55" t="s">
        <v>693</v>
      </c>
      <c r="D55" t="s">
        <v>706</v>
      </c>
      <c r="E55" s="69">
        <v>40646</v>
      </c>
      <c r="F55" s="65">
        <v>0.94033564814814818</v>
      </c>
      <c r="G55" t="s">
        <v>1346</v>
      </c>
      <c r="H55" t="s">
        <v>1347</v>
      </c>
    </row>
    <row r="56" spans="1:8" s="80" customFormat="1">
      <c r="A56">
        <v>7481602</v>
      </c>
      <c r="B56" t="s">
        <v>707</v>
      </c>
      <c r="C56" t="s">
        <v>693</v>
      </c>
      <c r="D56" t="s">
        <v>706</v>
      </c>
      <c r="E56" s="69">
        <v>40647</v>
      </c>
      <c r="F56" s="65">
        <v>0.61252314814814812</v>
      </c>
      <c r="G56" t="s">
        <v>1344</v>
      </c>
      <c r="H56" t="s">
        <v>1345</v>
      </c>
    </row>
    <row r="57" spans="1:8" s="80" customFormat="1">
      <c r="A57">
        <v>7481602</v>
      </c>
      <c r="B57" t="s">
        <v>707</v>
      </c>
      <c r="C57" t="s">
        <v>693</v>
      </c>
      <c r="D57" t="s">
        <v>706</v>
      </c>
      <c r="E57" s="69">
        <v>40647</v>
      </c>
      <c r="F57" s="65">
        <v>0.94390046296296293</v>
      </c>
      <c r="G57" t="s">
        <v>1346</v>
      </c>
      <c r="H57" t="s">
        <v>1347</v>
      </c>
    </row>
    <row r="58" spans="1:8" s="80" customFormat="1">
      <c r="A58">
        <v>7481602</v>
      </c>
      <c r="B58" t="s">
        <v>707</v>
      </c>
      <c r="C58" t="s">
        <v>693</v>
      </c>
      <c r="D58" t="s">
        <v>706</v>
      </c>
      <c r="E58" s="69">
        <v>40648</v>
      </c>
      <c r="F58" s="65">
        <v>0.61799768518518516</v>
      </c>
      <c r="G58" t="s">
        <v>1344</v>
      </c>
      <c r="H58" t="s">
        <v>1345</v>
      </c>
    </row>
    <row r="59" spans="1:8" s="80" customFormat="1">
      <c r="A59">
        <v>7481602</v>
      </c>
      <c r="B59" t="s">
        <v>707</v>
      </c>
      <c r="C59" t="s">
        <v>693</v>
      </c>
      <c r="D59" t="s">
        <v>706</v>
      </c>
      <c r="E59" s="69">
        <v>40648</v>
      </c>
      <c r="F59" s="65">
        <v>0.9437037037037036</v>
      </c>
      <c r="G59" t="s">
        <v>1346</v>
      </c>
      <c r="H59" t="s">
        <v>1347</v>
      </c>
    </row>
    <row r="60" spans="1:8" s="80" customFormat="1">
      <c r="A60">
        <v>7481602</v>
      </c>
      <c r="B60" t="s">
        <v>707</v>
      </c>
      <c r="C60" t="s">
        <v>693</v>
      </c>
      <c r="D60" t="s">
        <v>706</v>
      </c>
      <c r="E60" s="69">
        <v>40649</v>
      </c>
      <c r="F60" s="65">
        <v>0.72829861111111116</v>
      </c>
      <c r="G60" t="s">
        <v>1346</v>
      </c>
      <c r="H60" t="s">
        <v>1347</v>
      </c>
    </row>
    <row r="61" spans="1:8" s="80" customFormat="1">
      <c r="A61">
        <v>7481602</v>
      </c>
      <c r="B61" t="s">
        <v>707</v>
      </c>
      <c r="C61" t="s">
        <v>693</v>
      </c>
      <c r="D61" t="s">
        <v>706</v>
      </c>
      <c r="E61" s="69">
        <v>40649</v>
      </c>
      <c r="F61" s="65">
        <v>0.42921296296296302</v>
      </c>
      <c r="G61" t="s">
        <v>1344</v>
      </c>
      <c r="H61" t="s">
        <v>1345</v>
      </c>
    </row>
    <row r="62" spans="1:8" s="80" customFormat="1">
      <c r="A62">
        <v>7721223</v>
      </c>
      <c r="B62" t="s">
        <v>845</v>
      </c>
      <c r="C62" t="s">
        <v>844</v>
      </c>
      <c r="D62" t="s">
        <v>754</v>
      </c>
      <c r="E62" s="69">
        <v>40644</v>
      </c>
      <c r="F62" s="65">
        <v>0.91929398148148145</v>
      </c>
      <c r="G62" t="s">
        <v>1344</v>
      </c>
      <c r="H62" t="s">
        <v>1345</v>
      </c>
    </row>
    <row r="63" spans="1:8" s="80" customFormat="1">
      <c r="A63">
        <v>7721223</v>
      </c>
      <c r="B63" t="s">
        <v>845</v>
      </c>
      <c r="C63" t="s">
        <v>844</v>
      </c>
      <c r="D63" t="s">
        <v>754</v>
      </c>
      <c r="E63" s="69">
        <v>40645</v>
      </c>
      <c r="F63" s="65">
        <v>0.31740740740740742</v>
      </c>
      <c r="G63" t="s">
        <v>1346</v>
      </c>
      <c r="H63" t="s">
        <v>1347</v>
      </c>
    </row>
    <row r="64" spans="1:8" s="80" customFormat="1">
      <c r="A64">
        <v>7721223</v>
      </c>
      <c r="B64" t="s">
        <v>845</v>
      </c>
      <c r="C64" t="s">
        <v>844</v>
      </c>
      <c r="D64" t="s">
        <v>754</v>
      </c>
      <c r="E64" s="69">
        <v>40645</v>
      </c>
      <c r="F64" s="65">
        <v>0.91819444444444442</v>
      </c>
      <c r="G64" t="s">
        <v>1344</v>
      </c>
      <c r="H64" t="s">
        <v>1345</v>
      </c>
    </row>
    <row r="65" spans="1:8" s="80" customFormat="1">
      <c r="A65">
        <v>7721223</v>
      </c>
      <c r="B65" t="s">
        <v>845</v>
      </c>
      <c r="C65" t="s">
        <v>844</v>
      </c>
      <c r="D65" t="s">
        <v>754</v>
      </c>
      <c r="E65" s="69">
        <v>40646</v>
      </c>
      <c r="F65" s="65">
        <v>0.31697916666666665</v>
      </c>
      <c r="G65" t="s">
        <v>1346</v>
      </c>
      <c r="H65" t="s">
        <v>1347</v>
      </c>
    </row>
    <row r="66" spans="1:8" s="80" customFormat="1">
      <c r="A66">
        <v>7721223</v>
      </c>
      <c r="B66" t="s">
        <v>845</v>
      </c>
      <c r="C66" t="s">
        <v>844</v>
      </c>
      <c r="D66" t="s">
        <v>754</v>
      </c>
      <c r="E66" s="69">
        <v>40646</v>
      </c>
      <c r="F66" s="65">
        <v>0.91810185185185178</v>
      </c>
      <c r="G66" t="s">
        <v>1344</v>
      </c>
      <c r="H66" t="s">
        <v>1345</v>
      </c>
    </row>
    <row r="67" spans="1:8" s="80" customFormat="1">
      <c r="A67">
        <v>7721223</v>
      </c>
      <c r="B67" t="s">
        <v>845</v>
      </c>
      <c r="C67" t="s">
        <v>844</v>
      </c>
      <c r="D67" t="s">
        <v>754</v>
      </c>
      <c r="E67" s="69">
        <v>40647</v>
      </c>
      <c r="F67" s="65">
        <v>0.32002314814814814</v>
      </c>
      <c r="G67" t="s">
        <v>1346</v>
      </c>
      <c r="H67" t="s">
        <v>1347</v>
      </c>
    </row>
    <row r="68" spans="1:8" s="80" customFormat="1">
      <c r="A68">
        <v>7721223</v>
      </c>
      <c r="B68" t="s">
        <v>845</v>
      </c>
      <c r="C68" t="s">
        <v>844</v>
      </c>
      <c r="D68" t="s">
        <v>754</v>
      </c>
      <c r="E68" s="69">
        <v>40647</v>
      </c>
      <c r="F68" s="65">
        <v>0.91947916666666663</v>
      </c>
      <c r="G68" t="s">
        <v>1344</v>
      </c>
      <c r="H68" t="s">
        <v>1345</v>
      </c>
    </row>
    <row r="69" spans="1:8" s="80" customFormat="1">
      <c r="A69">
        <v>7721223</v>
      </c>
      <c r="B69" t="s">
        <v>845</v>
      </c>
      <c r="C69" t="s">
        <v>844</v>
      </c>
      <c r="D69" t="s">
        <v>754</v>
      </c>
      <c r="E69" s="69">
        <v>40648</v>
      </c>
      <c r="F69" s="65">
        <v>0.92180555555555566</v>
      </c>
      <c r="G69" t="s">
        <v>1344</v>
      </c>
      <c r="H69" t="s">
        <v>1345</v>
      </c>
    </row>
    <row r="70" spans="1:8" s="80" customFormat="1">
      <c r="A70">
        <v>7721223</v>
      </c>
      <c r="B70" t="s">
        <v>845</v>
      </c>
      <c r="C70" t="s">
        <v>844</v>
      </c>
      <c r="D70" t="s">
        <v>754</v>
      </c>
      <c r="E70" s="69">
        <v>40648</v>
      </c>
      <c r="F70" s="65">
        <v>0.31730324074074073</v>
      </c>
      <c r="G70" t="s">
        <v>1346</v>
      </c>
      <c r="H70" t="s">
        <v>1347</v>
      </c>
    </row>
    <row r="71" spans="1:8" s="80" customFormat="1">
      <c r="A71">
        <v>7721223</v>
      </c>
      <c r="B71" t="s">
        <v>845</v>
      </c>
      <c r="C71" t="s">
        <v>844</v>
      </c>
      <c r="D71" t="s">
        <v>754</v>
      </c>
      <c r="E71" s="69">
        <v>40649</v>
      </c>
      <c r="F71" s="65">
        <v>0.31568287037037041</v>
      </c>
      <c r="G71" t="s">
        <v>1346</v>
      </c>
      <c r="H71" t="s">
        <v>1347</v>
      </c>
    </row>
    <row r="72" spans="1:8" s="80" customFormat="1">
      <c r="A72">
        <v>7760886</v>
      </c>
      <c r="B72" t="s">
        <v>60</v>
      </c>
      <c r="C72" t="s">
        <v>58</v>
      </c>
      <c r="D72" t="s">
        <v>59</v>
      </c>
      <c r="E72" s="69">
        <v>40644</v>
      </c>
      <c r="F72" s="65">
        <v>0.30967592592592591</v>
      </c>
      <c r="G72" t="s">
        <v>1344</v>
      </c>
      <c r="H72" t="s">
        <v>1345</v>
      </c>
    </row>
    <row r="73" spans="1:8" s="80" customFormat="1">
      <c r="A73">
        <v>7760886</v>
      </c>
      <c r="B73" t="s">
        <v>60</v>
      </c>
      <c r="C73" t="s">
        <v>58</v>
      </c>
      <c r="D73" t="s">
        <v>59</v>
      </c>
      <c r="E73" s="69">
        <v>40644</v>
      </c>
      <c r="F73" s="65">
        <v>0.81153935185185189</v>
      </c>
      <c r="G73" t="s">
        <v>1346</v>
      </c>
      <c r="H73" t="s">
        <v>1347</v>
      </c>
    </row>
    <row r="74" spans="1:8" s="80" customFormat="1">
      <c r="A74">
        <v>7760886</v>
      </c>
      <c r="B74" t="s">
        <v>60</v>
      </c>
      <c r="C74" t="s">
        <v>58</v>
      </c>
      <c r="D74" t="s">
        <v>59</v>
      </c>
      <c r="E74" s="69">
        <v>40645</v>
      </c>
      <c r="F74" s="65">
        <v>0.31056712962962962</v>
      </c>
      <c r="G74" t="s">
        <v>1344</v>
      </c>
      <c r="H74" t="s">
        <v>1345</v>
      </c>
    </row>
    <row r="75" spans="1:8" s="80" customFormat="1">
      <c r="A75">
        <v>7760886</v>
      </c>
      <c r="B75" t="s">
        <v>60</v>
      </c>
      <c r="C75" t="s">
        <v>58</v>
      </c>
      <c r="D75" t="s">
        <v>59</v>
      </c>
      <c r="E75" s="69">
        <v>40645</v>
      </c>
      <c r="F75" s="65">
        <v>0.8143287037037038</v>
      </c>
      <c r="G75" t="s">
        <v>1346</v>
      </c>
      <c r="H75" t="s">
        <v>1347</v>
      </c>
    </row>
    <row r="76" spans="1:8" s="80" customFormat="1">
      <c r="A76">
        <v>7760886</v>
      </c>
      <c r="B76" t="s">
        <v>60</v>
      </c>
      <c r="C76" t="s">
        <v>58</v>
      </c>
      <c r="D76" t="s">
        <v>59</v>
      </c>
      <c r="E76" s="69">
        <v>40646</v>
      </c>
      <c r="F76" s="65">
        <v>0.30584490740740738</v>
      </c>
      <c r="G76" t="s">
        <v>1344</v>
      </c>
      <c r="H76" t="s">
        <v>1345</v>
      </c>
    </row>
    <row r="77" spans="1:8" s="80" customFormat="1">
      <c r="A77">
        <v>7760886</v>
      </c>
      <c r="B77" t="s">
        <v>60</v>
      </c>
      <c r="C77" t="s">
        <v>58</v>
      </c>
      <c r="D77" t="s">
        <v>59</v>
      </c>
      <c r="E77" s="69">
        <v>40646</v>
      </c>
      <c r="F77" s="65">
        <v>0.80843750000000003</v>
      </c>
      <c r="G77" t="s">
        <v>1346</v>
      </c>
      <c r="H77" t="s">
        <v>1347</v>
      </c>
    </row>
    <row r="78" spans="1:8" s="80" customFormat="1">
      <c r="A78">
        <v>7760886</v>
      </c>
      <c r="B78" t="s">
        <v>60</v>
      </c>
      <c r="C78" t="s">
        <v>58</v>
      </c>
      <c r="D78" t="s">
        <v>59</v>
      </c>
      <c r="E78" s="69">
        <v>40647</v>
      </c>
      <c r="F78" s="65">
        <v>0.30701388888888886</v>
      </c>
      <c r="G78" t="s">
        <v>1344</v>
      </c>
      <c r="H78" t="s">
        <v>1345</v>
      </c>
    </row>
    <row r="79" spans="1:8" s="80" customFormat="1">
      <c r="A79">
        <v>7760886</v>
      </c>
      <c r="B79" t="s">
        <v>60</v>
      </c>
      <c r="C79" t="s">
        <v>58</v>
      </c>
      <c r="D79" t="s">
        <v>59</v>
      </c>
      <c r="E79" s="69">
        <v>40647</v>
      </c>
      <c r="F79" s="65">
        <v>0.81135416666666671</v>
      </c>
      <c r="G79" t="s">
        <v>1346</v>
      </c>
      <c r="H79" t="s">
        <v>1347</v>
      </c>
    </row>
    <row r="80" spans="1:8" s="80" customFormat="1">
      <c r="A80">
        <v>7760886</v>
      </c>
      <c r="B80" t="s">
        <v>60</v>
      </c>
      <c r="C80" t="s">
        <v>58</v>
      </c>
      <c r="D80" t="s">
        <v>59</v>
      </c>
      <c r="E80" s="69">
        <v>40648</v>
      </c>
      <c r="F80" s="65">
        <v>0.81001157407407398</v>
      </c>
      <c r="G80" t="s">
        <v>1346</v>
      </c>
      <c r="H80" t="s">
        <v>1347</v>
      </c>
    </row>
    <row r="81" spans="1:8" s="80" customFormat="1">
      <c r="A81">
        <v>7760886</v>
      </c>
      <c r="B81" t="s">
        <v>60</v>
      </c>
      <c r="C81" t="s">
        <v>58</v>
      </c>
      <c r="D81" t="s">
        <v>59</v>
      </c>
      <c r="E81" s="69">
        <v>40648</v>
      </c>
      <c r="F81" s="65">
        <v>0.30303240740740739</v>
      </c>
      <c r="G81" t="s">
        <v>1344</v>
      </c>
      <c r="H81" t="s">
        <v>1345</v>
      </c>
    </row>
    <row r="82" spans="1:8" s="80" customFormat="1">
      <c r="A82">
        <v>7815607</v>
      </c>
      <c r="B82" t="s">
        <v>296</v>
      </c>
      <c r="C82" t="s">
        <v>294</v>
      </c>
      <c r="D82" t="s">
        <v>295</v>
      </c>
      <c r="E82" s="69">
        <v>40644</v>
      </c>
      <c r="F82" s="65">
        <v>0.28010416666666665</v>
      </c>
      <c r="G82" t="s">
        <v>1344</v>
      </c>
      <c r="H82" t="s">
        <v>1345</v>
      </c>
    </row>
    <row r="83" spans="1:8" s="80" customFormat="1">
      <c r="A83">
        <v>7815607</v>
      </c>
      <c r="B83" t="s">
        <v>296</v>
      </c>
      <c r="C83" t="s">
        <v>294</v>
      </c>
      <c r="D83" t="s">
        <v>295</v>
      </c>
      <c r="E83" s="69">
        <v>40644</v>
      </c>
      <c r="F83" s="65">
        <v>0.63031249999999994</v>
      </c>
      <c r="G83" t="s">
        <v>1346</v>
      </c>
      <c r="H83" t="s">
        <v>1347</v>
      </c>
    </row>
    <row r="84" spans="1:8" s="80" customFormat="1">
      <c r="A84">
        <v>7815607</v>
      </c>
      <c r="B84" t="s">
        <v>296</v>
      </c>
      <c r="C84" t="s">
        <v>294</v>
      </c>
      <c r="D84" t="s">
        <v>295</v>
      </c>
      <c r="E84" s="69">
        <v>40645</v>
      </c>
      <c r="F84" s="65">
        <v>0.28938657407407409</v>
      </c>
      <c r="G84" t="s">
        <v>1344</v>
      </c>
      <c r="H84" t="s">
        <v>1345</v>
      </c>
    </row>
    <row r="85" spans="1:8" s="80" customFormat="1">
      <c r="A85">
        <v>7815607</v>
      </c>
      <c r="B85" t="s">
        <v>296</v>
      </c>
      <c r="C85" t="s">
        <v>294</v>
      </c>
      <c r="D85" t="s">
        <v>295</v>
      </c>
      <c r="E85" s="69">
        <v>40645</v>
      </c>
      <c r="F85" s="65">
        <v>0.63261574074074078</v>
      </c>
      <c r="G85" t="s">
        <v>1346</v>
      </c>
      <c r="H85" t="s">
        <v>1347</v>
      </c>
    </row>
    <row r="86" spans="1:8" s="80" customFormat="1">
      <c r="A86">
        <v>7815607</v>
      </c>
      <c r="B86" t="s">
        <v>296</v>
      </c>
      <c r="C86" t="s">
        <v>294</v>
      </c>
      <c r="D86" t="s">
        <v>295</v>
      </c>
      <c r="E86" s="69">
        <v>40646</v>
      </c>
      <c r="F86" s="65">
        <v>0.27717592592592594</v>
      </c>
      <c r="G86" t="s">
        <v>1344</v>
      </c>
      <c r="H86" t="s">
        <v>1345</v>
      </c>
    </row>
    <row r="87" spans="1:8" s="80" customFormat="1">
      <c r="A87">
        <v>7815607</v>
      </c>
      <c r="B87" t="s">
        <v>296</v>
      </c>
      <c r="C87" t="s">
        <v>294</v>
      </c>
      <c r="D87" t="s">
        <v>295</v>
      </c>
      <c r="E87" s="69">
        <v>40646</v>
      </c>
      <c r="F87" s="65">
        <v>0.63570601851851849</v>
      </c>
      <c r="G87" t="s">
        <v>1346</v>
      </c>
      <c r="H87" t="s">
        <v>1347</v>
      </c>
    </row>
    <row r="88" spans="1:8" s="80" customFormat="1">
      <c r="A88">
        <v>7815607</v>
      </c>
      <c r="B88" t="s">
        <v>296</v>
      </c>
      <c r="C88" t="s">
        <v>294</v>
      </c>
      <c r="D88" t="s">
        <v>295</v>
      </c>
      <c r="E88" s="69">
        <v>40647</v>
      </c>
      <c r="F88" s="65">
        <v>0.27717592592592594</v>
      </c>
      <c r="G88" t="s">
        <v>1344</v>
      </c>
      <c r="H88" t="s">
        <v>1345</v>
      </c>
    </row>
    <row r="89" spans="1:8" s="80" customFormat="1">
      <c r="A89">
        <v>7815607</v>
      </c>
      <c r="B89" t="s">
        <v>296</v>
      </c>
      <c r="C89" t="s">
        <v>294</v>
      </c>
      <c r="D89" t="s">
        <v>295</v>
      </c>
      <c r="E89" s="69">
        <v>40647</v>
      </c>
      <c r="F89" s="65">
        <v>0.63596064814814812</v>
      </c>
      <c r="G89" t="s">
        <v>1346</v>
      </c>
      <c r="H89" t="s">
        <v>1347</v>
      </c>
    </row>
    <row r="90" spans="1:8" s="80" customFormat="1">
      <c r="A90">
        <v>7815607</v>
      </c>
      <c r="B90" t="s">
        <v>296</v>
      </c>
      <c r="C90" t="s">
        <v>294</v>
      </c>
      <c r="D90" t="s">
        <v>295</v>
      </c>
      <c r="E90" s="69">
        <v>40648</v>
      </c>
      <c r="F90" s="65">
        <v>0.63589120370370367</v>
      </c>
      <c r="G90" t="s">
        <v>1346</v>
      </c>
      <c r="H90" t="s">
        <v>1347</v>
      </c>
    </row>
    <row r="91" spans="1:8" s="80" customFormat="1">
      <c r="A91">
        <v>7815607</v>
      </c>
      <c r="B91" t="s">
        <v>296</v>
      </c>
      <c r="C91" t="s">
        <v>294</v>
      </c>
      <c r="D91" t="s">
        <v>295</v>
      </c>
      <c r="E91" s="69">
        <v>40648</v>
      </c>
      <c r="F91" s="65">
        <v>0.28449074074074071</v>
      </c>
      <c r="G91" t="s">
        <v>1344</v>
      </c>
      <c r="H91" t="s">
        <v>1345</v>
      </c>
    </row>
    <row r="92" spans="1:8" s="80" customFormat="1">
      <c r="A92">
        <v>7815607</v>
      </c>
      <c r="B92" t="s">
        <v>296</v>
      </c>
      <c r="C92" t="s">
        <v>294</v>
      </c>
      <c r="D92" t="s">
        <v>295</v>
      </c>
      <c r="E92" s="69">
        <v>40649</v>
      </c>
      <c r="F92" s="65">
        <v>0.60362268518518525</v>
      </c>
      <c r="G92" t="s">
        <v>1344</v>
      </c>
      <c r="H92" t="s">
        <v>1345</v>
      </c>
    </row>
    <row r="93" spans="1:8" s="80" customFormat="1">
      <c r="A93">
        <v>7815607</v>
      </c>
      <c r="B93" t="s">
        <v>296</v>
      </c>
      <c r="C93" t="s">
        <v>294</v>
      </c>
      <c r="D93" t="s">
        <v>295</v>
      </c>
      <c r="E93" s="69">
        <v>40649</v>
      </c>
      <c r="F93" s="65">
        <v>0.93822916666666656</v>
      </c>
      <c r="G93" t="s">
        <v>1346</v>
      </c>
      <c r="H93" t="s">
        <v>1347</v>
      </c>
    </row>
    <row r="94" spans="1:8" s="80" customFormat="1">
      <c r="A94">
        <v>7816535</v>
      </c>
      <c r="B94" t="s">
        <v>262</v>
      </c>
      <c r="C94" t="s">
        <v>260</v>
      </c>
      <c r="D94" t="s">
        <v>261</v>
      </c>
      <c r="E94" s="69">
        <v>40644</v>
      </c>
      <c r="F94" s="65">
        <v>0.30810185185185185</v>
      </c>
      <c r="G94" t="s">
        <v>1344</v>
      </c>
      <c r="H94" t="s">
        <v>1345</v>
      </c>
    </row>
    <row r="95" spans="1:8" s="80" customFormat="1">
      <c r="A95">
        <v>7816535</v>
      </c>
      <c r="B95" t="s">
        <v>262</v>
      </c>
      <c r="C95" t="s">
        <v>260</v>
      </c>
      <c r="D95" t="s">
        <v>261</v>
      </c>
      <c r="E95" s="69">
        <v>40644</v>
      </c>
      <c r="F95" s="65">
        <v>0.62540509259259258</v>
      </c>
      <c r="G95" t="s">
        <v>1346</v>
      </c>
      <c r="H95" t="s">
        <v>1347</v>
      </c>
    </row>
    <row r="96" spans="1:8" s="80" customFormat="1">
      <c r="A96">
        <v>7816535</v>
      </c>
      <c r="B96" t="s">
        <v>262</v>
      </c>
      <c r="C96" t="s">
        <v>260</v>
      </c>
      <c r="D96" t="s">
        <v>261</v>
      </c>
      <c r="E96" s="69">
        <v>40646</v>
      </c>
      <c r="F96" s="65">
        <v>0.30520833333333336</v>
      </c>
      <c r="G96" t="s">
        <v>1344</v>
      </c>
      <c r="H96" t="s">
        <v>1345</v>
      </c>
    </row>
    <row r="97" spans="1:8" s="80" customFormat="1">
      <c r="A97">
        <v>7816535</v>
      </c>
      <c r="B97" t="s">
        <v>262</v>
      </c>
      <c r="C97" t="s">
        <v>260</v>
      </c>
      <c r="D97" t="s">
        <v>261</v>
      </c>
      <c r="E97" s="69">
        <v>40646</v>
      </c>
      <c r="F97" s="65">
        <v>0.62967592592592592</v>
      </c>
      <c r="G97" t="s">
        <v>1346</v>
      </c>
      <c r="H97" t="s">
        <v>1347</v>
      </c>
    </row>
    <row r="98" spans="1:8" s="80" customFormat="1">
      <c r="A98">
        <v>7816535</v>
      </c>
      <c r="B98" t="s">
        <v>262</v>
      </c>
      <c r="C98" t="s">
        <v>260</v>
      </c>
      <c r="D98" t="s">
        <v>261</v>
      </c>
      <c r="E98" s="69">
        <v>40647</v>
      </c>
      <c r="F98" s="65">
        <v>0.30486111111111108</v>
      </c>
      <c r="G98" t="s">
        <v>1344</v>
      </c>
      <c r="H98" t="s">
        <v>1345</v>
      </c>
    </row>
    <row r="99" spans="1:8" s="80" customFormat="1">
      <c r="A99">
        <v>7816535</v>
      </c>
      <c r="B99" t="s">
        <v>262</v>
      </c>
      <c r="C99" t="s">
        <v>260</v>
      </c>
      <c r="D99" t="s">
        <v>261</v>
      </c>
      <c r="E99" s="69">
        <v>40647</v>
      </c>
      <c r="F99" s="65">
        <v>0.62870370370370365</v>
      </c>
      <c r="G99" t="s">
        <v>1346</v>
      </c>
      <c r="H99" t="s">
        <v>1347</v>
      </c>
    </row>
    <row r="100" spans="1:8" s="80" customFormat="1">
      <c r="A100">
        <v>7816535</v>
      </c>
      <c r="B100" t="s">
        <v>262</v>
      </c>
      <c r="C100" t="s">
        <v>260</v>
      </c>
      <c r="D100" t="s">
        <v>261</v>
      </c>
      <c r="E100" s="69">
        <v>40648</v>
      </c>
      <c r="F100" s="65">
        <v>0.62864583333333335</v>
      </c>
      <c r="G100" t="s">
        <v>1346</v>
      </c>
      <c r="H100" t="s">
        <v>1347</v>
      </c>
    </row>
    <row r="101" spans="1:8" s="80" customFormat="1">
      <c r="A101">
        <v>7816535</v>
      </c>
      <c r="B101" t="s">
        <v>262</v>
      </c>
      <c r="C101" t="s">
        <v>260</v>
      </c>
      <c r="D101" t="s">
        <v>261</v>
      </c>
      <c r="E101" s="69">
        <v>40648</v>
      </c>
      <c r="F101" s="65">
        <v>0.31010416666666668</v>
      </c>
      <c r="G101" t="s">
        <v>1344</v>
      </c>
      <c r="H101" t="s">
        <v>1345</v>
      </c>
    </row>
    <row r="102" spans="1:8" s="80" customFormat="1">
      <c r="A102">
        <v>7816535</v>
      </c>
      <c r="B102" t="s">
        <v>262</v>
      </c>
      <c r="C102" t="s">
        <v>260</v>
      </c>
      <c r="D102" t="s">
        <v>261</v>
      </c>
      <c r="E102" s="69">
        <v>40649</v>
      </c>
      <c r="F102" s="65">
        <v>0.30591435185185184</v>
      </c>
      <c r="G102" t="s">
        <v>1344</v>
      </c>
      <c r="H102" t="s">
        <v>1345</v>
      </c>
    </row>
    <row r="103" spans="1:8" s="80" customFormat="1">
      <c r="A103">
        <v>7816535</v>
      </c>
      <c r="B103" t="s">
        <v>262</v>
      </c>
      <c r="C103" t="s">
        <v>260</v>
      </c>
      <c r="D103" t="s">
        <v>261</v>
      </c>
      <c r="E103" s="69">
        <v>40649</v>
      </c>
      <c r="F103" s="65">
        <v>0.62888888888888894</v>
      </c>
      <c r="G103" t="s">
        <v>1346</v>
      </c>
      <c r="H103" t="s">
        <v>1347</v>
      </c>
    </row>
    <row r="104" spans="1:8" s="80" customFormat="1">
      <c r="A104">
        <v>7816805</v>
      </c>
      <c r="B104" t="s">
        <v>1214</v>
      </c>
      <c r="C104" t="s">
        <v>575</v>
      </c>
      <c r="D104" t="s">
        <v>419</v>
      </c>
      <c r="E104" s="69">
        <v>40644</v>
      </c>
      <c r="F104" s="65">
        <v>0.91631944444444446</v>
      </c>
      <c r="G104" t="s">
        <v>1344</v>
      </c>
      <c r="H104" t="s">
        <v>1345</v>
      </c>
    </row>
    <row r="105" spans="1:8" s="80" customFormat="1">
      <c r="A105">
        <v>7816805</v>
      </c>
      <c r="B105" t="s">
        <v>1214</v>
      </c>
      <c r="C105" t="s">
        <v>575</v>
      </c>
      <c r="D105" t="s">
        <v>419</v>
      </c>
      <c r="E105" s="69">
        <v>40645</v>
      </c>
      <c r="F105" s="65">
        <v>0.32431712962962961</v>
      </c>
      <c r="G105" t="s">
        <v>1346</v>
      </c>
      <c r="H105" t="s">
        <v>1347</v>
      </c>
    </row>
    <row r="106" spans="1:8" s="80" customFormat="1">
      <c r="A106">
        <v>7816805</v>
      </c>
      <c r="B106" t="s">
        <v>1214</v>
      </c>
      <c r="C106" t="s">
        <v>575</v>
      </c>
      <c r="D106" t="s">
        <v>419</v>
      </c>
      <c r="E106" s="69">
        <v>40645</v>
      </c>
      <c r="F106" s="65">
        <v>0.91430555555555559</v>
      </c>
      <c r="G106" t="s">
        <v>1344</v>
      </c>
      <c r="H106" t="s">
        <v>1345</v>
      </c>
    </row>
    <row r="107" spans="1:8" s="80" customFormat="1">
      <c r="A107">
        <v>7816805</v>
      </c>
      <c r="B107" t="s">
        <v>1214</v>
      </c>
      <c r="C107" t="s">
        <v>575</v>
      </c>
      <c r="D107" t="s">
        <v>419</v>
      </c>
      <c r="E107" s="69">
        <v>40646</v>
      </c>
      <c r="F107" s="65">
        <v>0.32171296296296298</v>
      </c>
      <c r="G107" t="s">
        <v>1346</v>
      </c>
      <c r="H107" t="s">
        <v>1347</v>
      </c>
    </row>
    <row r="108" spans="1:8" s="80" customFormat="1">
      <c r="A108">
        <v>7816805</v>
      </c>
      <c r="B108" t="s">
        <v>1214</v>
      </c>
      <c r="C108" t="s">
        <v>575</v>
      </c>
      <c r="D108" t="s">
        <v>419</v>
      </c>
      <c r="E108" s="69">
        <v>40646</v>
      </c>
      <c r="F108" s="65">
        <v>0.91396990740740736</v>
      </c>
      <c r="G108" t="s">
        <v>1344</v>
      </c>
      <c r="H108" t="s">
        <v>1345</v>
      </c>
    </row>
    <row r="109" spans="1:8" s="80" customFormat="1">
      <c r="A109">
        <v>7816805</v>
      </c>
      <c r="B109" t="s">
        <v>1214</v>
      </c>
      <c r="C109" t="s">
        <v>575</v>
      </c>
      <c r="D109" t="s">
        <v>419</v>
      </c>
      <c r="E109" s="69">
        <v>40647</v>
      </c>
      <c r="F109" s="65">
        <v>0.32314814814814813</v>
      </c>
      <c r="G109" t="s">
        <v>1346</v>
      </c>
      <c r="H109" t="s">
        <v>1347</v>
      </c>
    </row>
    <row r="110" spans="1:8" s="80" customFormat="1">
      <c r="A110">
        <v>7816805</v>
      </c>
      <c r="B110" t="s">
        <v>1214</v>
      </c>
      <c r="C110" t="s">
        <v>575</v>
      </c>
      <c r="D110" t="s">
        <v>419</v>
      </c>
      <c r="E110" s="69">
        <v>40647</v>
      </c>
      <c r="F110" s="65">
        <v>0.91577546296296297</v>
      </c>
      <c r="G110" t="s">
        <v>1344</v>
      </c>
      <c r="H110" t="s">
        <v>1345</v>
      </c>
    </row>
    <row r="111" spans="1:8" s="80" customFormat="1">
      <c r="A111">
        <v>7816805</v>
      </c>
      <c r="B111" t="s">
        <v>1214</v>
      </c>
      <c r="C111" t="s">
        <v>575</v>
      </c>
      <c r="D111" t="s">
        <v>419</v>
      </c>
      <c r="E111" s="69">
        <v>40648</v>
      </c>
      <c r="F111" s="65">
        <v>0.91442129629629632</v>
      </c>
      <c r="G111" t="s">
        <v>1344</v>
      </c>
      <c r="H111" t="s">
        <v>1345</v>
      </c>
    </row>
    <row r="112" spans="1:8" s="80" customFormat="1">
      <c r="A112">
        <v>7816805</v>
      </c>
      <c r="B112" t="s">
        <v>1214</v>
      </c>
      <c r="C112" t="s">
        <v>575</v>
      </c>
      <c r="D112" t="s">
        <v>419</v>
      </c>
      <c r="E112" s="69">
        <v>40648</v>
      </c>
      <c r="F112" s="65">
        <v>0.32246527777777778</v>
      </c>
      <c r="G112" t="s">
        <v>1346</v>
      </c>
      <c r="H112" t="s">
        <v>1347</v>
      </c>
    </row>
    <row r="113" spans="1:8" s="80" customFormat="1">
      <c r="A113">
        <v>7816805</v>
      </c>
      <c r="B113" t="s">
        <v>1214</v>
      </c>
      <c r="C113" t="s">
        <v>575</v>
      </c>
      <c r="D113" t="s">
        <v>419</v>
      </c>
      <c r="E113" s="69">
        <v>40649</v>
      </c>
      <c r="F113" s="65">
        <v>0.32394675925925925</v>
      </c>
      <c r="G113" t="s">
        <v>1346</v>
      </c>
      <c r="H113" t="s">
        <v>1347</v>
      </c>
    </row>
    <row r="114" spans="1:8" s="80" customFormat="1">
      <c r="A114">
        <v>7913597</v>
      </c>
      <c r="B114" t="s">
        <v>855</v>
      </c>
      <c r="C114" t="s">
        <v>586</v>
      </c>
      <c r="D114" t="s">
        <v>854</v>
      </c>
      <c r="E114" s="69">
        <v>40644</v>
      </c>
      <c r="F114" s="65">
        <v>0.29050925925925924</v>
      </c>
      <c r="G114" t="s">
        <v>1344</v>
      </c>
      <c r="H114" t="s">
        <v>1345</v>
      </c>
    </row>
    <row r="115" spans="1:8" s="80" customFormat="1">
      <c r="A115">
        <v>7913597</v>
      </c>
      <c r="B115" t="s">
        <v>855</v>
      </c>
      <c r="C115" t="s">
        <v>586</v>
      </c>
      <c r="D115" t="s">
        <v>854</v>
      </c>
      <c r="E115" s="69">
        <v>40644</v>
      </c>
      <c r="F115" s="65">
        <v>0.63399305555555552</v>
      </c>
      <c r="G115" t="s">
        <v>1346</v>
      </c>
      <c r="H115" t="s">
        <v>1347</v>
      </c>
    </row>
    <row r="116" spans="1:8" s="80" customFormat="1">
      <c r="A116">
        <v>7913597</v>
      </c>
      <c r="B116" t="s">
        <v>855</v>
      </c>
      <c r="C116" t="s">
        <v>586</v>
      </c>
      <c r="D116" t="s">
        <v>854</v>
      </c>
      <c r="E116" s="69">
        <v>40645</v>
      </c>
      <c r="F116" s="65">
        <v>0.29032407407407407</v>
      </c>
      <c r="G116" t="s">
        <v>1344</v>
      </c>
      <c r="H116" t="s">
        <v>1345</v>
      </c>
    </row>
    <row r="117" spans="1:8" s="80" customFormat="1">
      <c r="A117">
        <v>7913597</v>
      </c>
      <c r="B117" t="s">
        <v>855</v>
      </c>
      <c r="C117" t="s">
        <v>586</v>
      </c>
      <c r="D117" t="s">
        <v>854</v>
      </c>
      <c r="E117" s="69">
        <v>40645</v>
      </c>
      <c r="F117" s="65">
        <v>0.70780092592592592</v>
      </c>
      <c r="G117" t="s">
        <v>1346</v>
      </c>
      <c r="H117" t="s">
        <v>1347</v>
      </c>
    </row>
    <row r="118" spans="1:8" s="80" customFormat="1">
      <c r="A118">
        <v>7913597</v>
      </c>
      <c r="B118" t="s">
        <v>855</v>
      </c>
      <c r="C118" t="s">
        <v>586</v>
      </c>
      <c r="D118" t="s">
        <v>854</v>
      </c>
      <c r="E118" s="69">
        <v>40646</v>
      </c>
      <c r="F118" s="65">
        <v>0.28899305555555554</v>
      </c>
      <c r="G118" t="s">
        <v>1344</v>
      </c>
      <c r="H118" t="s">
        <v>1345</v>
      </c>
    </row>
    <row r="119" spans="1:8" s="80" customFormat="1">
      <c r="A119">
        <v>7913597</v>
      </c>
      <c r="B119" t="s">
        <v>855</v>
      </c>
      <c r="C119" t="s">
        <v>586</v>
      </c>
      <c r="D119" t="s">
        <v>854</v>
      </c>
      <c r="E119" s="69">
        <v>40646</v>
      </c>
      <c r="F119" s="65">
        <v>0.68293981481481481</v>
      </c>
      <c r="G119" t="s">
        <v>1346</v>
      </c>
      <c r="H119" t="s">
        <v>1347</v>
      </c>
    </row>
    <row r="120" spans="1:8" s="80" customFormat="1">
      <c r="A120">
        <v>7913597</v>
      </c>
      <c r="B120" t="s">
        <v>855</v>
      </c>
      <c r="C120" t="s">
        <v>586</v>
      </c>
      <c r="D120" t="s">
        <v>854</v>
      </c>
      <c r="E120" s="69">
        <v>40647</v>
      </c>
      <c r="F120" s="65">
        <v>0.29623842592592592</v>
      </c>
      <c r="G120" t="s">
        <v>1344</v>
      </c>
      <c r="H120" t="s">
        <v>1345</v>
      </c>
    </row>
    <row r="121" spans="1:8" s="80" customFormat="1">
      <c r="A121">
        <v>7913597</v>
      </c>
      <c r="B121" t="s">
        <v>855</v>
      </c>
      <c r="C121" t="s">
        <v>586</v>
      </c>
      <c r="D121" t="s">
        <v>854</v>
      </c>
      <c r="E121" s="69">
        <v>40647</v>
      </c>
      <c r="F121" s="65">
        <v>0.63590277777777782</v>
      </c>
      <c r="G121" t="s">
        <v>1346</v>
      </c>
      <c r="H121" t="s">
        <v>1347</v>
      </c>
    </row>
    <row r="122" spans="1:8" s="80" customFormat="1">
      <c r="A122">
        <v>7913597</v>
      </c>
      <c r="B122" t="s">
        <v>855</v>
      </c>
      <c r="C122" t="s">
        <v>586</v>
      </c>
      <c r="D122" t="s">
        <v>854</v>
      </c>
      <c r="E122" s="69">
        <v>40648</v>
      </c>
      <c r="F122" s="65">
        <v>0.6366087962962963</v>
      </c>
      <c r="G122" t="s">
        <v>1346</v>
      </c>
      <c r="H122" t="s">
        <v>1347</v>
      </c>
    </row>
    <row r="123" spans="1:8" s="80" customFormat="1">
      <c r="A123">
        <v>7913597</v>
      </c>
      <c r="B123" t="s">
        <v>855</v>
      </c>
      <c r="C123" t="s">
        <v>586</v>
      </c>
      <c r="D123" t="s">
        <v>854</v>
      </c>
      <c r="E123" s="69">
        <v>40648</v>
      </c>
      <c r="F123" s="65">
        <v>0.29631944444444441</v>
      </c>
      <c r="G123" t="s">
        <v>1344</v>
      </c>
      <c r="H123" t="s">
        <v>1345</v>
      </c>
    </row>
    <row r="124" spans="1:8" s="80" customFormat="1">
      <c r="A124">
        <v>7913597</v>
      </c>
      <c r="B124" t="s">
        <v>855</v>
      </c>
      <c r="C124" t="s">
        <v>586</v>
      </c>
      <c r="D124" t="s">
        <v>854</v>
      </c>
      <c r="E124" s="69">
        <v>40649</v>
      </c>
      <c r="F124" s="65">
        <v>0.29158564814814814</v>
      </c>
      <c r="G124" t="s">
        <v>1344</v>
      </c>
      <c r="H124" t="s">
        <v>1345</v>
      </c>
    </row>
    <row r="125" spans="1:8" s="80" customFormat="1">
      <c r="A125">
        <v>7913597</v>
      </c>
      <c r="B125" t="s">
        <v>855</v>
      </c>
      <c r="C125" t="s">
        <v>586</v>
      </c>
      <c r="D125" t="s">
        <v>854</v>
      </c>
      <c r="E125" s="69">
        <v>40649</v>
      </c>
      <c r="F125" s="65">
        <v>0.63445601851851852</v>
      </c>
      <c r="G125" t="s">
        <v>1346</v>
      </c>
      <c r="H125" t="s">
        <v>1347</v>
      </c>
    </row>
    <row r="126" spans="1:8" s="80" customFormat="1">
      <c r="A126">
        <v>7913597</v>
      </c>
      <c r="B126" t="s">
        <v>855</v>
      </c>
      <c r="C126" t="s">
        <v>586</v>
      </c>
      <c r="D126" t="s">
        <v>854</v>
      </c>
      <c r="E126" s="69">
        <v>40650</v>
      </c>
      <c r="F126" s="65">
        <v>0.93552083333333336</v>
      </c>
      <c r="G126" t="s">
        <v>1344</v>
      </c>
      <c r="H126" t="s">
        <v>1345</v>
      </c>
    </row>
    <row r="127" spans="1:8" s="80" customFormat="1">
      <c r="A127">
        <v>7916907</v>
      </c>
      <c r="B127" t="s">
        <v>940</v>
      </c>
      <c r="C127" t="s">
        <v>534</v>
      </c>
      <c r="D127" t="s">
        <v>313</v>
      </c>
      <c r="E127" s="69">
        <v>40644</v>
      </c>
      <c r="F127" s="65">
        <v>0.33585648148148151</v>
      </c>
      <c r="G127" t="s">
        <v>1346</v>
      </c>
      <c r="H127" t="s">
        <v>1347</v>
      </c>
    </row>
    <row r="128" spans="1:8" s="80" customFormat="1">
      <c r="A128">
        <v>7916907</v>
      </c>
      <c r="B128" t="s">
        <v>940</v>
      </c>
      <c r="C128" t="s">
        <v>534</v>
      </c>
      <c r="D128" t="s">
        <v>313</v>
      </c>
      <c r="E128" s="69">
        <v>40645</v>
      </c>
      <c r="F128" s="65">
        <v>0.30225694444444445</v>
      </c>
      <c r="G128" t="s">
        <v>1344</v>
      </c>
      <c r="H128" t="s">
        <v>1345</v>
      </c>
    </row>
    <row r="129" spans="1:8" s="80" customFormat="1">
      <c r="A129">
        <v>7916907</v>
      </c>
      <c r="B129" t="s">
        <v>940</v>
      </c>
      <c r="C129" t="s">
        <v>534</v>
      </c>
      <c r="D129" t="s">
        <v>313</v>
      </c>
      <c r="E129" s="69">
        <v>40645</v>
      </c>
      <c r="F129" s="65">
        <v>0.77986111111111101</v>
      </c>
      <c r="G129" t="s">
        <v>1346</v>
      </c>
      <c r="H129" t="s">
        <v>1347</v>
      </c>
    </row>
    <row r="130" spans="1:8" s="80" customFormat="1">
      <c r="A130">
        <v>7916907</v>
      </c>
      <c r="B130" t="s">
        <v>940</v>
      </c>
      <c r="C130" t="s">
        <v>534</v>
      </c>
      <c r="D130" t="s">
        <v>313</v>
      </c>
      <c r="E130" s="69">
        <v>40646</v>
      </c>
      <c r="F130" s="65">
        <v>0.30361111111111111</v>
      </c>
      <c r="G130" t="s">
        <v>1344</v>
      </c>
      <c r="H130" t="s">
        <v>1345</v>
      </c>
    </row>
    <row r="131" spans="1:8" s="80" customFormat="1">
      <c r="A131">
        <v>7916907</v>
      </c>
      <c r="B131" t="s">
        <v>940</v>
      </c>
      <c r="C131" t="s">
        <v>534</v>
      </c>
      <c r="D131" t="s">
        <v>313</v>
      </c>
      <c r="E131" s="69">
        <v>40646</v>
      </c>
      <c r="F131" s="65">
        <v>0.78331018518518514</v>
      </c>
      <c r="G131" t="s">
        <v>1346</v>
      </c>
      <c r="H131" t="s">
        <v>1347</v>
      </c>
    </row>
    <row r="132" spans="1:8" s="80" customFormat="1">
      <c r="A132">
        <v>7916907</v>
      </c>
      <c r="B132" t="s">
        <v>940</v>
      </c>
      <c r="C132" t="s">
        <v>534</v>
      </c>
      <c r="D132" t="s">
        <v>313</v>
      </c>
      <c r="E132" s="69">
        <v>40647</v>
      </c>
      <c r="F132" s="65">
        <v>0.34700231481481486</v>
      </c>
      <c r="G132" t="s">
        <v>1344</v>
      </c>
      <c r="H132" t="s">
        <v>1345</v>
      </c>
    </row>
    <row r="133" spans="1:8" s="80" customFormat="1">
      <c r="A133">
        <v>7916907</v>
      </c>
      <c r="B133" t="s">
        <v>940</v>
      </c>
      <c r="C133" t="s">
        <v>534</v>
      </c>
      <c r="D133" t="s">
        <v>313</v>
      </c>
      <c r="E133" s="69">
        <v>40647</v>
      </c>
      <c r="F133" s="65">
        <v>0.77961805555555552</v>
      </c>
      <c r="G133" t="s">
        <v>1346</v>
      </c>
      <c r="H133" t="s">
        <v>1347</v>
      </c>
    </row>
    <row r="134" spans="1:8" s="80" customFormat="1">
      <c r="A134">
        <v>7916907</v>
      </c>
      <c r="B134" t="s">
        <v>940</v>
      </c>
      <c r="C134" t="s">
        <v>534</v>
      </c>
      <c r="D134" t="s">
        <v>313</v>
      </c>
      <c r="E134" s="69">
        <v>40648</v>
      </c>
      <c r="F134" s="65">
        <v>0.30442129629629627</v>
      </c>
      <c r="G134" t="s">
        <v>1344</v>
      </c>
      <c r="H134" t="s">
        <v>1345</v>
      </c>
    </row>
    <row r="135" spans="1:8" s="80" customFormat="1">
      <c r="A135">
        <v>7916907</v>
      </c>
      <c r="B135" t="s">
        <v>940</v>
      </c>
      <c r="C135" t="s">
        <v>534</v>
      </c>
      <c r="D135" t="s">
        <v>313</v>
      </c>
      <c r="E135" s="69">
        <v>40648</v>
      </c>
      <c r="F135" s="65">
        <v>0.75537037037037036</v>
      </c>
      <c r="G135" t="s">
        <v>1346</v>
      </c>
      <c r="H135" t="s">
        <v>1347</v>
      </c>
    </row>
    <row r="136" spans="1:8" s="80" customFormat="1">
      <c r="A136">
        <v>7916907</v>
      </c>
      <c r="B136" t="s">
        <v>940</v>
      </c>
      <c r="C136" t="s">
        <v>534</v>
      </c>
      <c r="D136" t="s">
        <v>313</v>
      </c>
      <c r="E136" s="69">
        <v>40650</v>
      </c>
      <c r="F136" s="65">
        <v>0.99990740740740736</v>
      </c>
      <c r="G136" t="s">
        <v>1344</v>
      </c>
      <c r="H136" t="s">
        <v>1345</v>
      </c>
    </row>
    <row r="137" spans="1:8" s="80" customFormat="1">
      <c r="A137">
        <v>7944613</v>
      </c>
      <c r="B137" t="s">
        <v>314</v>
      </c>
      <c r="C137" t="s">
        <v>183</v>
      </c>
      <c r="D137" t="s">
        <v>313</v>
      </c>
      <c r="E137" s="69">
        <v>40644</v>
      </c>
      <c r="F137" s="65">
        <v>0.29501157407407408</v>
      </c>
      <c r="G137" t="s">
        <v>1344</v>
      </c>
      <c r="H137" t="s">
        <v>1345</v>
      </c>
    </row>
    <row r="138" spans="1:8" s="80" customFormat="1">
      <c r="A138">
        <v>7944613</v>
      </c>
      <c r="B138" t="s">
        <v>314</v>
      </c>
      <c r="C138" t="s">
        <v>183</v>
      </c>
      <c r="D138" t="s">
        <v>313</v>
      </c>
      <c r="E138" s="69">
        <v>40644</v>
      </c>
      <c r="F138" s="65">
        <v>0.62804398148148144</v>
      </c>
      <c r="G138" t="s">
        <v>1346</v>
      </c>
      <c r="H138" t="s">
        <v>1347</v>
      </c>
    </row>
    <row r="139" spans="1:8" s="80" customFormat="1">
      <c r="A139">
        <v>7944613</v>
      </c>
      <c r="B139" t="s">
        <v>314</v>
      </c>
      <c r="C139" t="s">
        <v>183</v>
      </c>
      <c r="D139" t="s">
        <v>313</v>
      </c>
      <c r="E139" s="69">
        <v>40645</v>
      </c>
      <c r="F139" s="65">
        <v>0.29583333333333334</v>
      </c>
      <c r="G139" t="s">
        <v>1344</v>
      </c>
      <c r="H139" t="s">
        <v>1345</v>
      </c>
    </row>
    <row r="140" spans="1:8" s="80" customFormat="1">
      <c r="A140">
        <v>7944613</v>
      </c>
      <c r="B140" t="s">
        <v>314</v>
      </c>
      <c r="C140" t="s">
        <v>183</v>
      </c>
      <c r="D140" t="s">
        <v>313</v>
      </c>
      <c r="E140" s="69">
        <v>40645</v>
      </c>
      <c r="F140" s="65">
        <v>0.62975694444444441</v>
      </c>
      <c r="G140" t="s">
        <v>1346</v>
      </c>
      <c r="H140" t="s">
        <v>1347</v>
      </c>
    </row>
    <row r="141" spans="1:8" s="80" customFormat="1">
      <c r="A141">
        <v>7944613</v>
      </c>
      <c r="B141" t="s">
        <v>314</v>
      </c>
      <c r="C141" t="s">
        <v>183</v>
      </c>
      <c r="D141" t="s">
        <v>313</v>
      </c>
      <c r="E141" s="69">
        <v>40646</v>
      </c>
      <c r="F141" s="65">
        <v>0.29552083333333334</v>
      </c>
      <c r="G141" t="s">
        <v>1344</v>
      </c>
      <c r="H141" t="s">
        <v>1345</v>
      </c>
    </row>
    <row r="142" spans="1:8" s="80" customFormat="1">
      <c r="A142">
        <v>7944613</v>
      </c>
      <c r="B142" t="s">
        <v>314</v>
      </c>
      <c r="C142" t="s">
        <v>183</v>
      </c>
      <c r="D142" t="s">
        <v>313</v>
      </c>
      <c r="E142" s="69">
        <v>40646</v>
      </c>
      <c r="F142" s="65">
        <v>0.62912037037037039</v>
      </c>
      <c r="G142" t="s">
        <v>1346</v>
      </c>
      <c r="H142" t="s">
        <v>1347</v>
      </c>
    </row>
    <row r="143" spans="1:8" s="80" customFormat="1">
      <c r="A143">
        <v>7944613</v>
      </c>
      <c r="B143" t="s">
        <v>314</v>
      </c>
      <c r="C143" t="s">
        <v>183</v>
      </c>
      <c r="D143" t="s">
        <v>313</v>
      </c>
      <c r="E143" s="69">
        <v>40647</v>
      </c>
      <c r="F143" s="65">
        <v>0.29440972222222223</v>
      </c>
      <c r="G143" t="s">
        <v>1344</v>
      </c>
      <c r="H143" t="s">
        <v>1345</v>
      </c>
    </row>
    <row r="144" spans="1:8" s="80" customFormat="1">
      <c r="A144">
        <v>7944613</v>
      </c>
      <c r="B144" t="s">
        <v>314</v>
      </c>
      <c r="C144" t="s">
        <v>183</v>
      </c>
      <c r="D144" t="s">
        <v>313</v>
      </c>
      <c r="E144" s="69">
        <v>40647</v>
      </c>
      <c r="F144" s="65">
        <v>0.62755787037037036</v>
      </c>
      <c r="G144" t="s">
        <v>1346</v>
      </c>
      <c r="H144" t="s">
        <v>1347</v>
      </c>
    </row>
    <row r="145" spans="1:8" s="80" customFormat="1">
      <c r="A145">
        <v>7944613</v>
      </c>
      <c r="B145" t="s">
        <v>314</v>
      </c>
      <c r="C145" t="s">
        <v>183</v>
      </c>
      <c r="D145" t="s">
        <v>313</v>
      </c>
      <c r="E145" s="69">
        <v>40648</v>
      </c>
      <c r="F145" s="65">
        <v>0.63104166666666661</v>
      </c>
      <c r="G145" t="s">
        <v>1346</v>
      </c>
      <c r="H145" t="s">
        <v>1347</v>
      </c>
    </row>
    <row r="146" spans="1:8" s="80" customFormat="1">
      <c r="A146">
        <v>7944613</v>
      </c>
      <c r="B146" t="s">
        <v>314</v>
      </c>
      <c r="C146" t="s">
        <v>183</v>
      </c>
      <c r="D146" t="s">
        <v>313</v>
      </c>
      <c r="E146" s="69">
        <v>40648</v>
      </c>
      <c r="F146" s="65">
        <v>0.29479166666666667</v>
      </c>
      <c r="G146" t="s">
        <v>1344</v>
      </c>
      <c r="H146" t="s">
        <v>1345</v>
      </c>
    </row>
    <row r="147" spans="1:8" s="80" customFormat="1">
      <c r="A147">
        <v>7944613</v>
      </c>
      <c r="B147" t="s">
        <v>314</v>
      </c>
      <c r="C147" t="s">
        <v>183</v>
      </c>
      <c r="D147" t="s">
        <v>313</v>
      </c>
      <c r="E147" s="69">
        <v>40649</v>
      </c>
      <c r="F147" s="65">
        <v>0.29418981481481482</v>
      </c>
      <c r="G147" t="s">
        <v>1344</v>
      </c>
      <c r="H147" t="s">
        <v>1345</v>
      </c>
    </row>
    <row r="148" spans="1:8" s="80" customFormat="1">
      <c r="A148">
        <v>7944613</v>
      </c>
      <c r="B148" t="s">
        <v>314</v>
      </c>
      <c r="C148" t="s">
        <v>183</v>
      </c>
      <c r="D148" t="s">
        <v>313</v>
      </c>
      <c r="E148" s="69">
        <v>40649</v>
      </c>
      <c r="F148" s="65">
        <v>0.62605324074074076</v>
      </c>
      <c r="G148" t="s">
        <v>1346</v>
      </c>
      <c r="H148" t="s">
        <v>1347</v>
      </c>
    </row>
    <row r="149" spans="1:8" s="80" customFormat="1">
      <c r="A149">
        <v>8245727</v>
      </c>
      <c r="B149" t="s">
        <v>125</v>
      </c>
      <c r="C149" t="s">
        <v>967</v>
      </c>
      <c r="D149" t="s">
        <v>294</v>
      </c>
      <c r="E149" s="69">
        <v>40644</v>
      </c>
      <c r="F149" s="65">
        <v>0.29496527777777776</v>
      </c>
      <c r="G149" t="s">
        <v>1344</v>
      </c>
      <c r="H149" t="s">
        <v>1345</v>
      </c>
    </row>
    <row r="150" spans="1:8" s="80" customFormat="1">
      <c r="A150">
        <v>8245727</v>
      </c>
      <c r="B150" t="s">
        <v>125</v>
      </c>
      <c r="C150" t="s">
        <v>967</v>
      </c>
      <c r="D150" t="s">
        <v>294</v>
      </c>
      <c r="E150" s="69">
        <v>40644</v>
      </c>
      <c r="F150" s="65">
        <v>0.63892361111111107</v>
      </c>
      <c r="G150" t="s">
        <v>1346</v>
      </c>
      <c r="H150" t="s">
        <v>1347</v>
      </c>
    </row>
    <row r="151" spans="1:8" s="80" customFormat="1">
      <c r="A151">
        <v>8245727</v>
      </c>
      <c r="B151" t="s">
        <v>125</v>
      </c>
      <c r="C151" t="s">
        <v>967</v>
      </c>
      <c r="D151" t="s">
        <v>294</v>
      </c>
      <c r="E151" s="69">
        <v>40645</v>
      </c>
      <c r="F151" s="65">
        <v>0.29468749999999999</v>
      </c>
      <c r="G151" t="s">
        <v>1344</v>
      </c>
      <c r="H151" t="s">
        <v>1345</v>
      </c>
    </row>
    <row r="152" spans="1:8" s="80" customFormat="1">
      <c r="A152">
        <v>8245727</v>
      </c>
      <c r="B152" t="s">
        <v>125</v>
      </c>
      <c r="C152" t="s">
        <v>967</v>
      </c>
      <c r="D152" t="s">
        <v>294</v>
      </c>
      <c r="E152" s="69">
        <v>40645</v>
      </c>
      <c r="F152" s="65">
        <v>0.63606481481481481</v>
      </c>
      <c r="G152" t="s">
        <v>1346</v>
      </c>
      <c r="H152" t="s">
        <v>1347</v>
      </c>
    </row>
    <row r="153" spans="1:8" s="80" customFormat="1">
      <c r="A153">
        <v>8245727</v>
      </c>
      <c r="B153" t="s">
        <v>125</v>
      </c>
      <c r="C153" t="s">
        <v>967</v>
      </c>
      <c r="D153" t="s">
        <v>294</v>
      </c>
      <c r="E153" s="69">
        <v>40646</v>
      </c>
      <c r="F153" s="65">
        <v>0.29421296296296295</v>
      </c>
      <c r="G153" t="s">
        <v>1344</v>
      </c>
      <c r="H153" t="s">
        <v>1345</v>
      </c>
    </row>
    <row r="154" spans="1:8" s="80" customFormat="1">
      <c r="A154">
        <v>8245727</v>
      </c>
      <c r="B154" t="s">
        <v>125</v>
      </c>
      <c r="C154" t="s">
        <v>967</v>
      </c>
      <c r="D154" t="s">
        <v>294</v>
      </c>
      <c r="E154" s="69">
        <v>40646</v>
      </c>
      <c r="F154" s="65">
        <v>0.65966435185185179</v>
      </c>
      <c r="G154" t="s">
        <v>1346</v>
      </c>
      <c r="H154" t="s">
        <v>1347</v>
      </c>
    </row>
    <row r="155" spans="1:8" s="80" customFormat="1">
      <c r="A155">
        <v>8245727</v>
      </c>
      <c r="B155" t="s">
        <v>125</v>
      </c>
      <c r="C155" t="s">
        <v>967</v>
      </c>
      <c r="D155" t="s">
        <v>294</v>
      </c>
      <c r="E155" s="69">
        <v>40647</v>
      </c>
      <c r="F155" s="65">
        <v>0.29366898148148152</v>
      </c>
      <c r="G155" t="s">
        <v>1344</v>
      </c>
      <c r="H155" t="s">
        <v>1345</v>
      </c>
    </row>
    <row r="156" spans="1:8" s="80" customFormat="1">
      <c r="A156">
        <v>8245727</v>
      </c>
      <c r="B156" t="s">
        <v>125</v>
      </c>
      <c r="C156" t="s">
        <v>967</v>
      </c>
      <c r="D156" t="s">
        <v>294</v>
      </c>
      <c r="E156" s="69">
        <v>40647</v>
      </c>
      <c r="F156" s="65">
        <v>0.63605324074074077</v>
      </c>
      <c r="G156" t="s">
        <v>1346</v>
      </c>
      <c r="H156" t="s">
        <v>1347</v>
      </c>
    </row>
    <row r="157" spans="1:8" s="80" customFormat="1">
      <c r="A157">
        <v>8245727</v>
      </c>
      <c r="B157" t="s">
        <v>125</v>
      </c>
      <c r="C157" t="s">
        <v>967</v>
      </c>
      <c r="D157" t="s">
        <v>294</v>
      </c>
      <c r="E157" s="69">
        <v>40648</v>
      </c>
      <c r="F157" s="65">
        <v>0.63863425925925921</v>
      </c>
      <c r="G157" t="s">
        <v>1346</v>
      </c>
      <c r="H157" t="s">
        <v>1347</v>
      </c>
    </row>
    <row r="158" spans="1:8" s="80" customFormat="1">
      <c r="A158">
        <v>8245727</v>
      </c>
      <c r="B158" t="s">
        <v>125</v>
      </c>
      <c r="C158" t="s">
        <v>967</v>
      </c>
      <c r="D158" t="s">
        <v>294</v>
      </c>
      <c r="E158" s="69">
        <v>40648</v>
      </c>
      <c r="F158" s="65">
        <v>0.29487268518518517</v>
      </c>
      <c r="G158" t="s">
        <v>1344</v>
      </c>
      <c r="H158" t="s">
        <v>1345</v>
      </c>
    </row>
    <row r="159" spans="1:8" s="80" customFormat="1">
      <c r="A159">
        <v>8245727</v>
      </c>
      <c r="B159" t="s">
        <v>125</v>
      </c>
      <c r="C159" t="s">
        <v>967</v>
      </c>
      <c r="D159" t="s">
        <v>294</v>
      </c>
      <c r="E159" s="69">
        <v>40649</v>
      </c>
      <c r="F159" s="65">
        <v>0.29378472222222224</v>
      </c>
      <c r="G159" t="s">
        <v>1344</v>
      </c>
      <c r="H159" t="s">
        <v>1345</v>
      </c>
    </row>
    <row r="160" spans="1:8" s="80" customFormat="1">
      <c r="A160">
        <v>8245727</v>
      </c>
      <c r="B160" t="s">
        <v>125</v>
      </c>
      <c r="C160" t="s">
        <v>967</v>
      </c>
      <c r="D160" t="s">
        <v>294</v>
      </c>
      <c r="E160" s="69">
        <v>40649</v>
      </c>
      <c r="F160" s="65">
        <v>0.65144675925925932</v>
      </c>
      <c r="G160" t="s">
        <v>1346</v>
      </c>
      <c r="H160" t="s">
        <v>1347</v>
      </c>
    </row>
    <row r="161" spans="1:8" s="80" customFormat="1">
      <c r="A161">
        <v>8245727</v>
      </c>
      <c r="B161" t="s">
        <v>125</v>
      </c>
      <c r="C161" t="s">
        <v>967</v>
      </c>
      <c r="D161" t="s">
        <v>294</v>
      </c>
      <c r="E161" s="69">
        <v>40650</v>
      </c>
      <c r="F161" s="65">
        <v>0.99206018518518524</v>
      </c>
      <c r="G161" t="s">
        <v>1344</v>
      </c>
      <c r="H161" t="s">
        <v>1345</v>
      </c>
    </row>
    <row r="162" spans="1:8" s="80" customFormat="1">
      <c r="A162">
        <v>8283277</v>
      </c>
      <c r="B162" t="s">
        <v>107</v>
      </c>
      <c r="C162" t="s">
        <v>94</v>
      </c>
      <c r="D162" t="s">
        <v>106</v>
      </c>
      <c r="E162" s="69">
        <v>40644</v>
      </c>
      <c r="F162" s="65">
        <v>0.29282407407407407</v>
      </c>
      <c r="G162" t="s">
        <v>1344</v>
      </c>
      <c r="H162" t="s">
        <v>1345</v>
      </c>
    </row>
    <row r="163" spans="1:8" s="80" customFormat="1">
      <c r="A163">
        <v>8283277</v>
      </c>
      <c r="B163" t="s">
        <v>107</v>
      </c>
      <c r="C163" t="s">
        <v>94</v>
      </c>
      <c r="D163" t="s">
        <v>106</v>
      </c>
      <c r="E163" s="69">
        <v>40644</v>
      </c>
      <c r="F163" s="65">
        <v>0.63289351851851849</v>
      </c>
      <c r="G163" t="s">
        <v>1346</v>
      </c>
      <c r="H163" t="s">
        <v>1347</v>
      </c>
    </row>
    <row r="164" spans="1:8" s="80" customFormat="1">
      <c r="A164">
        <v>8283277</v>
      </c>
      <c r="B164" t="s">
        <v>107</v>
      </c>
      <c r="C164" t="s">
        <v>94</v>
      </c>
      <c r="D164" t="s">
        <v>106</v>
      </c>
      <c r="E164" s="69">
        <v>40645</v>
      </c>
      <c r="F164" s="65">
        <v>0.29243055555555558</v>
      </c>
      <c r="G164" t="s">
        <v>1344</v>
      </c>
      <c r="H164" t="s">
        <v>1345</v>
      </c>
    </row>
    <row r="165" spans="1:8" s="80" customFormat="1">
      <c r="A165">
        <v>8283277</v>
      </c>
      <c r="B165" t="s">
        <v>107</v>
      </c>
      <c r="C165" t="s">
        <v>94</v>
      </c>
      <c r="D165" t="s">
        <v>106</v>
      </c>
      <c r="E165" s="69">
        <v>40645</v>
      </c>
      <c r="F165" s="65">
        <v>0.72296296296296303</v>
      </c>
      <c r="G165" t="s">
        <v>1346</v>
      </c>
      <c r="H165" t="s">
        <v>1347</v>
      </c>
    </row>
    <row r="166" spans="1:8" s="80" customFormat="1">
      <c r="A166">
        <v>8283277</v>
      </c>
      <c r="B166" t="s">
        <v>107</v>
      </c>
      <c r="C166" t="s">
        <v>94</v>
      </c>
      <c r="D166" t="s">
        <v>106</v>
      </c>
      <c r="E166" s="69">
        <v>40646</v>
      </c>
      <c r="F166" s="65">
        <v>0.30400462962962965</v>
      </c>
      <c r="G166" t="s">
        <v>1344</v>
      </c>
      <c r="H166" t="s">
        <v>1345</v>
      </c>
    </row>
    <row r="167" spans="1:8" s="80" customFormat="1">
      <c r="A167">
        <v>8283277</v>
      </c>
      <c r="B167" t="s">
        <v>107</v>
      </c>
      <c r="C167" t="s">
        <v>94</v>
      </c>
      <c r="D167" t="s">
        <v>106</v>
      </c>
      <c r="E167" s="69">
        <v>40646</v>
      </c>
      <c r="F167" s="65">
        <v>0.73630787037037038</v>
      </c>
      <c r="G167" t="s">
        <v>1346</v>
      </c>
      <c r="H167" t="s">
        <v>1347</v>
      </c>
    </row>
    <row r="168" spans="1:8" s="80" customFormat="1">
      <c r="A168">
        <v>8283277</v>
      </c>
      <c r="B168" t="s">
        <v>107</v>
      </c>
      <c r="C168" t="s">
        <v>94</v>
      </c>
      <c r="D168" t="s">
        <v>106</v>
      </c>
      <c r="E168" s="69">
        <v>40647</v>
      </c>
      <c r="F168" s="65">
        <v>0.30226851851851849</v>
      </c>
      <c r="G168" t="s">
        <v>1344</v>
      </c>
      <c r="H168" t="s">
        <v>1345</v>
      </c>
    </row>
    <row r="169" spans="1:8" s="80" customFormat="1">
      <c r="A169">
        <v>8283277</v>
      </c>
      <c r="B169" t="s">
        <v>107</v>
      </c>
      <c r="C169" t="s">
        <v>94</v>
      </c>
      <c r="D169" t="s">
        <v>106</v>
      </c>
      <c r="E169" s="69">
        <v>40647</v>
      </c>
      <c r="F169" s="65">
        <v>0.73649305555555555</v>
      </c>
      <c r="G169" t="s">
        <v>1346</v>
      </c>
      <c r="H169" t="s">
        <v>1347</v>
      </c>
    </row>
    <row r="170" spans="1:8" s="80" customFormat="1">
      <c r="A170">
        <v>8283277</v>
      </c>
      <c r="B170" t="s">
        <v>107</v>
      </c>
      <c r="C170" t="s">
        <v>94</v>
      </c>
      <c r="D170" t="s">
        <v>106</v>
      </c>
      <c r="E170" s="69">
        <v>40648</v>
      </c>
      <c r="F170" s="65">
        <v>0.29395833333333332</v>
      </c>
      <c r="G170" t="s">
        <v>1344</v>
      </c>
      <c r="H170" t="s">
        <v>1345</v>
      </c>
    </row>
    <row r="171" spans="1:8" s="80" customFormat="1">
      <c r="A171">
        <v>8283277</v>
      </c>
      <c r="B171" t="s">
        <v>107</v>
      </c>
      <c r="C171" t="s">
        <v>94</v>
      </c>
      <c r="D171" t="s">
        <v>106</v>
      </c>
      <c r="E171" s="69">
        <v>40648</v>
      </c>
      <c r="F171" s="65">
        <v>0.72584490740740737</v>
      </c>
      <c r="G171" t="s">
        <v>1346</v>
      </c>
      <c r="H171" t="s">
        <v>1347</v>
      </c>
    </row>
    <row r="172" spans="1:8" s="80" customFormat="1">
      <c r="A172">
        <v>8283277</v>
      </c>
      <c r="B172" t="s">
        <v>107</v>
      </c>
      <c r="C172" t="s">
        <v>94</v>
      </c>
      <c r="D172" t="s">
        <v>106</v>
      </c>
      <c r="E172" s="69">
        <v>40649</v>
      </c>
      <c r="F172" s="65">
        <v>0.63160879629629629</v>
      </c>
      <c r="G172" t="s">
        <v>1346</v>
      </c>
      <c r="H172" t="s">
        <v>1347</v>
      </c>
    </row>
    <row r="173" spans="1:8" s="80" customFormat="1">
      <c r="A173">
        <v>8283277</v>
      </c>
      <c r="B173" t="s">
        <v>107</v>
      </c>
      <c r="C173" t="s">
        <v>94</v>
      </c>
      <c r="D173" t="s">
        <v>106</v>
      </c>
      <c r="E173" s="69">
        <v>40649</v>
      </c>
      <c r="F173" s="65">
        <v>0.29325231481481479</v>
      </c>
      <c r="G173" t="s">
        <v>1344</v>
      </c>
      <c r="H173" t="s">
        <v>1345</v>
      </c>
    </row>
    <row r="174" spans="1:8" s="80" customFormat="1">
      <c r="A174">
        <v>8454836</v>
      </c>
      <c r="B174" t="s">
        <v>207</v>
      </c>
      <c r="C174" t="s">
        <v>206</v>
      </c>
      <c r="D174" t="s">
        <v>154</v>
      </c>
      <c r="E174" s="69">
        <v>40644</v>
      </c>
      <c r="F174" s="65">
        <v>0.60760416666666661</v>
      </c>
      <c r="G174" t="s">
        <v>1344</v>
      </c>
      <c r="H174" t="s">
        <v>1345</v>
      </c>
    </row>
    <row r="175" spans="1:8" s="80" customFormat="1">
      <c r="A175">
        <v>8454836</v>
      </c>
      <c r="B175" t="s">
        <v>207</v>
      </c>
      <c r="C175" t="s">
        <v>206</v>
      </c>
      <c r="D175" t="s">
        <v>154</v>
      </c>
      <c r="E175" s="69">
        <v>40644</v>
      </c>
      <c r="F175" s="65">
        <v>0.94693287037037033</v>
      </c>
      <c r="G175" t="s">
        <v>1346</v>
      </c>
      <c r="H175" t="s">
        <v>1347</v>
      </c>
    </row>
    <row r="176" spans="1:8" s="80" customFormat="1">
      <c r="A176">
        <v>8454836</v>
      </c>
      <c r="B176" t="s">
        <v>207</v>
      </c>
      <c r="C176" t="s">
        <v>206</v>
      </c>
      <c r="D176" t="s">
        <v>154</v>
      </c>
      <c r="E176" s="69">
        <v>40645</v>
      </c>
      <c r="F176" s="65">
        <v>0.60501157407407413</v>
      </c>
      <c r="G176" t="s">
        <v>1344</v>
      </c>
      <c r="H176" t="s">
        <v>1345</v>
      </c>
    </row>
    <row r="177" spans="1:8" s="80" customFormat="1">
      <c r="A177">
        <v>8454836</v>
      </c>
      <c r="B177" t="s">
        <v>207</v>
      </c>
      <c r="C177" t="s">
        <v>206</v>
      </c>
      <c r="D177" t="s">
        <v>154</v>
      </c>
      <c r="E177" s="69">
        <v>40645</v>
      </c>
      <c r="F177" s="65">
        <v>0.94596064814814806</v>
      </c>
      <c r="G177" t="s">
        <v>1346</v>
      </c>
      <c r="H177" t="s">
        <v>1347</v>
      </c>
    </row>
    <row r="178" spans="1:8" s="80" customFormat="1">
      <c r="A178">
        <v>8454836</v>
      </c>
      <c r="B178" t="s">
        <v>207</v>
      </c>
      <c r="C178" t="s">
        <v>206</v>
      </c>
      <c r="D178" t="s">
        <v>154</v>
      </c>
      <c r="E178" s="69">
        <v>40646</v>
      </c>
      <c r="F178" s="65">
        <v>0.60697916666666674</v>
      </c>
      <c r="G178" t="s">
        <v>1344</v>
      </c>
      <c r="H178" t="s">
        <v>1345</v>
      </c>
    </row>
    <row r="179" spans="1:8" s="80" customFormat="1">
      <c r="A179">
        <v>8454836</v>
      </c>
      <c r="B179" t="s">
        <v>207</v>
      </c>
      <c r="C179" t="s">
        <v>206</v>
      </c>
      <c r="D179" t="s">
        <v>154</v>
      </c>
      <c r="E179" s="69">
        <v>40646</v>
      </c>
      <c r="F179" s="65">
        <v>0.94532407407407415</v>
      </c>
      <c r="G179" t="s">
        <v>1346</v>
      </c>
      <c r="H179" t="s">
        <v>1347</v>
      </c>
    </row>
    <row r="180" spans="1:8" s="80" customFormat="1">
      <c r="A180">
        <v>8454836</v>
      </c>
      <c r="B180" t="s">
        <v>207</v>
      </c>
      <c r="C180" t="s">
        <v>206</v>
      </c>
      <c r="D180" t="s">
        <v>154</v>
      </c>
      <c r="E180" s="69">
        <v>40647</v>
      </c>
      <c r="F180" s="65">
        <v>0.6069444444444444</v>
      </c>
      <c r="G180" t="s">
        <v>1344</v>
      </c>
      <c r="H180" t="s">
        <v>1345</v>
      </c>
    </row>
    <row r="181" spans="1:8" s="80" customFormat="1">
      <c r="A181">
        <v>8454836</v>
      </c>
      <c r="B181" t="s">
        <v>207</v>
      </c>
      <c r="C181" t="s">
        <v>206</v>
      </c>
      <c r="D181" t="s">
        <v>154</v>
      </c>
      <c r="E181" s="69">
        <v>40647</v>
      </c>
      <c r="F181" s="65">
        <v>0.94960648148148152</v>
      </c>
      <c r="G181" t="s">
        <v>1346</v>
      </c>
      <c r="H181" t="s">
        <v>1347</v>
      </c>
    </row>
    <row r="182" spans="1:8" s="80" customFormat="1">
      <c r="A182">
        <v>8454836</v>
      </c>
      <c r="B182" t="s">
        <v>207</v>
      </c>
      <c r="C182" t="s">
        <v>206</v>
      </c>
      <c r="D182" t="s">
        <v>154</v>
      </c>
      <c r="E182" s="69">
        <v>40648</v>
      </c>
      <c r="F182" s="65">
        <v>0.94833333333333336</v>
      </c>
      <c r="G182" t="s">
        <v>1346</v>
      </c>
      <c r="H182" t="s">
        <v>1347</v>
      </c>
    </row>
    <row r="183" spans="1:8" s="80" customFormat="1">
      <c r="A183">
        <v>8454836</v>
      </c>
      <c r="B183" t="s">
        <v>207</v>
      </c>
      <c r="C183" t="s">
        <v>206</v>
      </c>
      <c r="D183" t="s">
        <v>154</v>
      </c>
      <c r="E183" s="69">
        <v>40648</v>
      </c>
      <c r="F183" s="65">
        <v>0.6065625</v>
      </c>
      <c r="G183" t="s">
        <v>1344</v>
      </c>
      <c r="H183" t="s">
        <v>1345</v>
      </c>
    </row>
    <row r="184" spans="1:8" s="80" customFormat="1">
      <c r="A184">
        <v>8454836</v>
      </c>
      <c r="B184" t="s">
        <v>207</v>
      </c>
      <c r="C184" t="s">
        <v>206</v>
      </c>
      <c r="D184" t="s">
        <v>154</v>
      </c>
      <c r="E184" s="69">
        <v>40649</v>
      </c>
      <c r="F184" s="65">
        <v>0.61266203703703703</v>
      </c>
      <c r="G184" t="s">
        <v>1344</v>
      </c>
      <c r="H184" t="s">
        <v>1345</v>
      </c>
    </row>
    <row r="185" spans="1:8" s="80" customFormat="1">
      <c r="A185">
        <v>8454836</v>
      </c>
      <c r="B185" t="s">
        <v>207</v>
      </c>
      <c r="C185" t="s">
        <v>206</v>
      </c>
      <c r="D185" t="s">
        <v>154</v>
      </c>
      <c r="E185" s="69">
        <v>40649</v>
      </c>
      <c r="F185" s="65">
        <v>0.95027777777777767</v>
      </c>
      <c r="G185" t="s">
        <v>1346</v>
      </c>
      <c r="H185" t="s">
        <v>1347</v>
      </c>
    </row>
    <row r="186" spans="1:8" s="80" customFormat="1">
      <c r="A186">
        <v>8465592</v>
      </c>
      <c r="B186" t="s">
        <v>237</v>
      </c>
      <c r="C186" t="s">
        <v>235</v>
      </c>
      <c r="D186" t="s">
        <v>236</v>
      </c>
      <c r="E186" s="69">
        <v>40644</v>
      </c>
      <c r="F186" s="65">
        <v>0.3216087962962963</v>
      </c>
      <c r="G186" t="s">
        <v>1346</v>
      </c>
      <c r="H186" t="s">
        <v>1347</v>
      </c>
    </row>
    <row r="187" spans="1:8" s="80" customFormat="1">
      <c r="A187">
        <v>8465592</v>
      </c>
      <c r="B187" t="s">
        <v>237</v>
      </c>
      <c r="C187" t="s">
        <v>235</v>
      </c>
      <c r="D187" t="s">
        <v>236</v>
      </c>
      <c r="E187" s="69">
        <v>40644</v>
      </c>
      <c r="F187" s="65">
        <v>0.92025462962962967</v>
      </c>
      <c r="G187" t="s">
        <v>1344</v>
      </c>
      <c r="H187" t="s">
        <v>1345</v>
      </c>
    </row>
    <row r="188" spans="1:8" s="80" customFormat="1">
      <c r="A188">
        <v>8465592</v>
      </c>
      <c r="B188" t="s">
        <v>237</v>
      </c>
      <c r="C188" t="s">
        <v>235</v>
      </c>
      <c r="D188" t="s">
        <v>236</v>
      </c>
      <c r="E188" s="69">
        <v>40645</v>
      </c>
      <c r="F188" s="65">
        <v>0.32262731481481483</v>
      </c>
      <c r="G188" t="s">
        <v>1346</v>
      </c>
      <c r="H188" t="s">
        <v>1347</v>
      </c>
    </row>
    <row r="189" spans="1:8" s="80" customFormat="1">
      <c r="A189">
        <v>8465592</v>
      </c>
      <c r="B189" t="s">
        <v>237</v>
      </c>
      <c r="C189" t="s">
        <v>235</v>
      </c>
      <c r="D189" t="s">
        <v>236</v>
      </c>
      <c r="E189" s="69">
        <v>40645</v>
      </c>
      <c r="F189" s="65">
        <v>0.91833333333333333</v>
      </c>
      <c r="G189" t="s">
        <v>1344</v>
      </c>
      <c r="H189" t="s">
        <v>1345</v>
      </c>
    </row>
    <row r="190" spans="1:8" s="80" customFormat="1">
      <c r="A190">
        <v>8465592</v>
      </c>
      <c r="B190" t="s">
        <v>237</v>
      </c>
      <c r="C190" t="s">
        <v>235</v>
      </c>
      <c r="D190" t="s">
        <v>236</v>
      </c>
      <c r="E190" s="69">
        <v>40646</v>
      </c>
      <c r="F190" s="65">
        <v>0.32026620370370368</v>
      </c>
      <c r="G190" t="s">
        <v>1346</v>
      </c>
      <c r="H190" t="s">
        <v>1347</v>
      </c>
    </row>
    <row r="191" spans="1:8" s="80" customFormat="1">
      <c r="A191">
        <v>8465592</v>
      </c>
      <c r="B191" t="s">
        <v>237</v>
      </c>
      <c r="C191" t="s">
        <v>235</v>
      </c>
      <c r="D191" t="s">
        <v>236</v>
      </c>
      <c r="E191" s="69">
        <v>40646</v>
      </c>
      <c r="F191" s="65">
        <v>0.92464120370370362</v>
      </c>
      <c r="G191" t="s">
        <v>1344</v>
      </c>
      <c r="H191" t="s">
        <v>1345</v>
      </c>
    </row>
    <row r="192" spans="1:8" s="80" customFormat="1">
      <c r="A192">
        <v>8465592</v>
      </c>
      <c r="B192" t="s">
        <v>237</v>
      </c>
      <c r="C192" t="s">
        <v>235</v>
      </c>
      <c r="D192" t="s">
        <v>236</v>
      </c>
      <c r="E192" s="69">
        <v>40647</v>
      </c>
      <c r="F192" s="65">
        <v>0.32255787037037037</v>
      </c>
      <c r="G192" t="s">
        <v>1346</v>
      </c>
      <c r="H192" t="s">
        <v>1347</v>
      </c>
    </row>
    <row r="193" spans="1:8" s="80" customFormat="1">
      <c r="A193">
        <v>8465592</v>
      </c>
      <c r="B193" t="s">
        <v>237</v>
      </c>
      <c r="C193" t="s">
        <v>235</v>
      </c>
      <c r="D193" t="s">
        <v>236</v>
      </c>
      <c r="E193" s="69">
        <v>40647</v>
      </c>
      <c r="F193" s="65">
        <v>0.91953703703703704</v>
      </c>
      <c r="G193" t="s">
        <v>1344</v>
      </c>
      <c r="H193" t="s">
        <v>1345</v>
      </c>
    </row>
    <row r="194" spans="1:8" s="80" customFormat="1">
      <c r="A194">
        <v>8465592</v>
      </c>
      <c r="B194" t="s">
        <v>237</v>
      </c>
      <c r="C194" t="s">
        <v>235</v>
      </c>
      <c r="D194" t="s">
        <v>236</v>
      </c>
      <c r="E194" s="69">
        <v>40648</v>
      </c>
      <c r="F194" s="65">
        <v>0.919988425925926</v>
      </c>
      <c r="G194" t="s">
        <v>1344</v>
      </c>
      <c r="H194" t="s">
        <v>1345</v>
      </c>
    </row>
    <row r="195" spans="1:8" s="80" customFormat="1">
      <c r="A195">
        <v>8465592</v>
      </c>
      <c r="B195" t="s">
        <v>237</v>
      </c>
      <c r="C195" t="s">
        <v>235</v>
      </c>
      <c r="D195" t="s">
        <v>236</v>
      </c>
      <c r="E195" s="69">
        <v>40648</v>
      </c>
      <c r="F195" s="65">
        <v>0.32449074074074075</v>
      </c>
      <c r="G195" t="s">
        <v>1346</v>
      </c>
      <c r="H195" t="s">
        <v>1347</v>
      </c>
    </row>
    <row r="196" spans="1:8" s="80" customFormat="1">
      <c r="A196">
        <v>8465592</v>
      </c>
      <c r="B196" t="s">
        <v>237</v>
      </c>
      <c r="C196" t="s">
        <v>235</v>
      </c>
      <c r="D196" t="s">
        <v>236</v>
      </c>
      <c r="E196" s="69">
        <v>40649</v>
      </c>
      <c r="F196" s="65">
        <v>0.32495370370370369</v>
      </c>
      <c r="G196" t="s">
        <v>1346</v>
      </c>
      <c r="H196" t="s">
        <v>1347</v>
      </c>
    </row>
    <row r="197" spans="1:8" s="80" customFormat="1">
      <c r="A197">
        <v>8618882</v>
      </c>
      <c r="B197" t="s">
        <v>994</v>
      </c>
      <c r="C197" t="s">
        <v>613</v>
      </c>
      <c r="D197" t="s">
        <v>870</v>
      </c>
      <c r="E197" s="69">
        <v>40644</v>
      </c>
      <c r="F197" s="65">
        <v>0.61591435185185184</v>
      </c>
      <c r="G197" t="s">
        <v>1344</v>
      </c>
      <c r="H197" t="s">
        <v>1345</v>
      </c>
    </row>
    <row r="198" spans="1:8" s="80" customFormat="1">
      <c r="A198">
        <v>8618882</v>
      </c>
      <c r="B198" t="s">
        <v>994</v>
      </c>
      <c r="C198" t="s">
        <v>613</v>
      </c>
      <c r="D198" t="s">
        <v>870</v>
      </c>
      <c r="E198" s="69">
        <v>40644</v>
      </c>
      <c r="F198" s="65">
        <v>0.94337962962962962</v>
      </c>
      <c r="G198" t="s">
        <v>1346</v>
      </c>
      <c r="H198" t="s">
        <v>1347</v>
      </c>
    </row>
    <row r="199" spans="1:8" s="80" customFormat="1">
      <c r="A199">
        <v>8618882</v>
      </c>
      <c r="B199" t="s">
        <v>994</v>
      </c>
      <c r="C199" t="s">
        <v>613</v>
      </c>
      <c r="D199" t="s">
        <v>870</v>
      </c>
      <c r="E199" s="69">
        <v>40645</v>
      </c>
      <c r="F199" s="65">
        <v>0.61721064814814819</v>
      </c>
      <c r="G199" t="s">
        <v>1344</v>
      </c>
      <c r="H199" t="s">
        <v>1345</v>
      </c>
    </row>
    <row r="200" spans="1:8" s="80" customFormat="1">
      <c r="A200">
        <v>8618882</v>
      </c>
      <c r="B200" t="s">
        <v>994</v>
      </c>
      <c r="C200" t="s">
        <v>613</v>
      </c>
      <c r="D200" t="s">
        <v>870</v>
      </c>
      <c r="E200" s="69">
        <v>40645</v>
      </c>
      <c r="F200" s="65">
        <v>0.94120370370370365</v>
      </c>
      <c r="G200" t="s">
        <v>1346</v>
      </c>
      <c r="H200" t="s">
        <v>1347</v>
      </c>
    </row>
    <row r="201" spans="1:8" s="80" customFormat="1">
      <c r="A201">
        <v>8618882</v>
      </c>
      <c r="B201" t="s">
        <v>994</v>
      </c>
      <c r="C201" t="s">
        <v>613</v>
      </c>
      <c r="D201" t="s">
        <v>870</v>
      </c>
      <c r="E201" s="69">
        <v>40646</v>
      </c>
      <c r="F201" s="65">
        <v>0.61971064814814814</v>
      </c>
      <c r="G201" t="s">
        <v>1344</v>
      </c>
      <c r="H201" t="s">
        <v>1345</v>
      </c>
    </row>
    <row r="202" spans="1:8" s="80" customFormat="1">
      <c r="A202">
        <v>8618882</v>
      </c>
      <c r="B202" t="s">
        <v>994</v>
      </c>
      <c r="C202" t="s">
        <v>613</v>
      </c>
      <c r="D202" t="s">
        <v>870</v>
      </c>
      <c r="E202" s="69">
        <v>40646</v>
      </c>
      <c r="F202" s="65">
        <v>0.9325</v>
      </c>
      <c r="G202" t="s">
        <v>1346</v>
      </c>
      <c r="H202" t="s">
        <v>1347</v>
      </c>
    </row>
    <row r="203" spans="1:8" s="80" customFormat="1">
      <c r="A203">
        <v>8618882</v>
      </c>
      <c r="B203" t="s">
        <v>994</v>
      </c>
      <c r="C203" t="s">
        <v>613</v>
      </c>
      <c r="D203" t="s">
        <v>870</v>
      </c>
      <c r="E203" s="69">
        <v>40647</v>
      </c>
      <c r="F203" s="65">
        <v>0.6187731481481481</v>
      </c>
      <c r="G203" t="s">
        <v>1344</v>
      </c>
      <c r="H203" t="s">
        <v>1345</v>
      </c>
    </row>
    <row r="204" spans="1:8" s="80" customFormat="1">
      <c r="A204">
        <v>8618882</v>
      </c>
      <c r="B204" t="s">
        <v>994</v>
      </c>
      <c r="C204" t="s">
        <v>613</v>
      </c>
      <c r="D204" t="s">
        <v>870</v>
      </c>
      <c r="E204" s="69">
        <v>40647</v>
      </c>
      <c r="F204" s="65">
        <v>0.94478009259259255</v>
      </c>
      <c r="G204" t="s">
        <v>1346</v>
      </c>
      <c r="H204" t="s">
        <v>1347</v>
      </c>
    </row>
    <row r="205" spans="1:8" s="80" customFormat="1">
      <c r="A205">
        <v>8618882</v>
      </c>
      <c r="B205" t="s">
        <v>994</v>
      </c>
      <c r="C205" t="s">
        <v>613</v>
      </c>
      <c r="D205" t="s">
        <v>870</v>
      </c>
      <c r="E205" s="69">
        <v>40648</v>
      </c>
      <c r="F205" s="65">
        <v>0.61697916666666663</v>
      </c>
      <c r="G205" t="s">
        <v>1344</v>
      </c>
      <c r="H205" t="s">
        <v>1345</v>
      </c>
    </row>
    <row r="206" spans="1:8" s="80" customFormat="1">
      <c r="A206">
        <v>8618882</v>
      </c>
      <c r="B206" t="s">
        <v>994</v>
      </c>
      <c r="C206" t="s">
        <v>613</v>
      </c>
      <c r="D206" t="s">
        <v>870</v>
      </c>
      <c r="E206" s="69">
        <v>40648</v>
      </c>
      <c r="F206" s="65">
        <v>0.94469907407407405</v>
      </c>
      <c r="G206" t="s">
        <v>1346</v>
      </c>
      <c r="H206" t="s">
        <v>1347</v>
      </c>
    </row>
    <row r="207" spans="1:8" s="80" customFormat="1">
      <c r="A207">
        <v>8618882</v>
      </c>
      <c r="B207" t="s">
        <v>994</v>
      </c>
      <c r="C207" t="s">
        <v>613</v>
      </c>
      <c r="D207" t="s">
        <v>870</v>
      </c>
      <c r="E207" s="69">
        <v>40649</v>
      </c>
      <c r="F207" s="65">
        <v>0.93184027777777778</v>
      </c>
      <c r="G207" t="s">
        <v>1346</v>
      </c>
      <c r="H207" t="s">
        <v>1347</v>
      </c>
    </row>
    <row r="208" spans="1:8" s="80" customFormat="1">
      <c r="A208">
        <v>8618882</v>
      </c>
      <c r="B208" t="s">
        <v>994</v>
      </c>
      <c r="C208" t="s">
        <v>613</v>
      </c>
      <c r="D208" t="s">
        <v>870</v>
      </c>
      <c r="E208" s="69">
        <v>40649</v>
      </c>
      <c r="F208" s="65">
        <v>0.61782407407407403</v>
      </c>
      <c r="G208" t="s">
        <v>1344</v>
      </c>
      <c r="H208" t="s">
        <v>1345</v>
      </c>
    </row>
    <row r="209" spans="1:8" s="80" customFormat="1">
      <c r="A209">
        <v>8809784</v>
      </c>
      <c r="B209" t="s">
        <v>45</v>
      </c>
      <c r="C209" t="s">
        <v>43</v>
      </c>
      <c r="D209" t="s">
        <v>44</v>
      </c>
      <c r="E209" s="69">
        <v>40644</v>
      </c>
      <c r="F209" s="65">
        <v>0.60596064814814821</v>
      </c>
      <c r="G209" t="s">
        <v>1344</v>
      </c>
      <c r="H209" t="s">
        <v>1345</v>
      </c>
    </row>
    <row r="210" spans="1:8" s="80" customFormat="1">
      <c r="A210">
        <v>8809784</v>
      </c>
      <c r="B210" t="s">
        <v>45</v>
      </c>
      <c r="C210" t="s">
        <v>43</v>
      </c>
      <c r="D210" t="s">
        <v>44</v>
      </c>
      <c r="E210" s="69">
        <v>40644</v>
      </c>
      <c r="F210" s="65">
        <v>0.94728009259259249</v>
      </c>
      <c r="G210" t="s">
        <v>1346</v>
      </c>
      <c r="H210" t="s">
        <v>1347</v>
      </c>
    </row>
    <row r="211" spans="1:8" s="80" customFormat="1">
      <c r="A211">
        <v>8809784</v>
      </c>
      <c r="B211" t="s">
        <v>45</v>
      </c>
      <c r="C211" t="s">
        <v>43</v>
      </c>
      <c r="D211" t="s">
        <v>44</v>
      </c>
      <c r="E211" s="69">
        <v>40645</v>
      </c>
      <c r="F211" s="65">
        <v>0.60394675925925922</v>
      </c>
      <c r="G211" t="s">
        <v>1344</v>
      </c>
      <c r="H211" t="s">
        <v>1345</v>
      </c>
    </row>
    <row r="212" spans="1:8" s="80" customFormat="1">
      <c r="A212">
        <v>8809784</v>
      </c>
      <c r="B212" t="s">
        <v>45</v>
      </c>
      <c r="C212" t="s">
        <v>43</v>
      </c>
      <c r="D212" t="s">
        <v>44</v>
      </c>
      <c r="E212" s="69">
        <v>40645</v>
      </c>
      <c r="F212" s="65">
        <v>0.94634259259259268</v>
      </c>
      <c r="G212" t="s">
        <v>1346</v>
      </c>
      <c r="H212" t="s">
        <v>1347</v>
      </c>
    </row>
    <row r="213" spans="1:8" s="80" customFormat="1">
      <c r="A213">
        <v>8809784</v>
      </c>
      <c r="B213" t="s">
        <v>45</v>
      </c>
      <c r="C213" t="s">
        <v>43</v>
      </c>
      <c r="D213" t="s">
        <v>44</v>
      </c>
      <c r="E213" s="69">
        <v>40646</v>
      </c>
      <c r="F213" s="65">
        <v>0.60642361111111109</v>
      </c>
      <c r="G213" t="s">
        <v>1344</v>
      </c>
      <c r="H213" t="s">
        <v>1345</v>
      </c>
    </row>
    <row r="214" spans="1:8" s="80" customFormat="1">
      <c r="A214">
        <v>8809784</v>
      </c>
      <c r="B214" t="s">
        <v>45</v>
      </c>
      <c r="C214" t="s">
        <v>43</v>
      </c>
      <c r="D214" t="s">
        <v>44</v>
      </c>
      <c r="E214" s="69">
        <v>40646</v>
      </c>
      <c r="F214" s="65">
        <v>0.94893518518518516</v>
      </c>
      <c r="G214" t="s">
        <v>1346</v>
      </c>
      <c r="H214" t="s">
        <v>1347</v>
      </c>
    </row>
    <row r="215" spans="1:8" s="80" customFormat="1">
      <c r="A215">
        <v>8809784</v>
      </c>
      <c r="B215" t="s">
        <v>45</v>
      </c>
      <c r="C215" t="s">
        <v>43</v>
      </c>
      <c r="D215" t="s">
        <v>44</v>
      </c>
      <c r="E215" s="69">
        <v>40647</v>
      </c>
      <c r="F215" s="65">
        <v>0.60425925925925927</v>
      </c>
      <c r="G215" t="s">
        <v>1344</v>
      </c>
      <c r="H215" t="s">
        <v>1345</v>
      </c>
    </row>
    <row r="216" spans="1:8" s="80" customFormat="1">
      <c r="A216">
        <v>8809784</v>
      </c>
      <c r="B216" t="s">
        <v>45</v>
      </c>
      <c r="C216" t="s">
        <v>43</v>
      </c>
      <c r="D216" t="s">
        <v>44</v>
      </c>
      <c r="E216" s="69">
        <v>40647</v>
      </c>
      <c r="F216" s="65">
        <v>0.94881944444444455</v>
      </c>
      <c r="G216" t="s">
        <v>1346</v>
      </c>
      <c r="H216" t="s">
        <v>1347</v>
      </c>
    </row>
    <row r="217" spans="1:8" s="80" customFormat="1">
      <c r="A217">
        <v>8809784</v>
      </c>
      <c r="B217" t="s">
        <v>45</v>
      </c>
      <c r="C217" t="s">
        <v>43</v>
      </c>
      <c r="D217" t="s">
        <v>44</v>
      </c>
      <c r="E217" s="69">
        <v>40648</v>
      </c>
      <c r="F217" s="65">
        <v>0.60730324074074071</v>
      </c>
      <c r="G217" t="s">
        <v>1344</v>
      </c>
      <c r="H217" t="s">
        <v>1345</v>
      </c>
    </row>
    <row r="218" spans="1:8" s="80" customFormat="1">
      <c r="A218">
        <v>8809784</v>
      </c>
      <c r="B218" t="s">
        <v>45</v>
      </c>
      <c r="C218" t="s">
        <v>43</v>
      </c>
      <c r="D218" t="s">
        <v>44</v>
      </c>
      <c r="E218" s="69">
        <v>40648</v>
      </c>
      <c r="F218" s="65">
        <v>0.9477430555555556</v>
      </c>
      <c r="G218" t="s">
        <v>1346</v>
      </c>
      <c r="H218" t="s">
        <v>1347</v>
      </c>
    </row>
    <row r="219" spans="1:8" s="80" customFormat="1">
      <c r="A219">
        <v>8809784</v>
      </c>
      <c r="B219" t="s">
        <v>45</v>
      </c>
      <c r="C219" t="s">
        <v>43</v>
      </c>
      <c r="D219" t="s">
        <v>44</v>
      </c>
      <c r="E219" s="69">
        <v>40649</v>
      </c>
      <c r="F219" s="65">
        <v>0.95038194444444446</v>
      </c>
      <c r="G219" t="s">
        <v>1346</v>
      </c>
      <c r="H219" t="s">
        <v>1347</v>
      </c>
    </row>
    <row r="220" spans="1:8" s="80" customFormat="1">
      <c r="A220">
        <v>8809784</v>
      </c>
      <c r="B220" t="s">
        <v>45</v>
      </c>
      <c r="C220" t="s">
        <v>43</v>
      </c>
      <c r="D220" t="s">
        <v>44</v>
      </c>
      <c r="E220" s="69">
        <v>40649</v>
      </c>
      <c r="F220" s="65">
        <v>0.60342592592592592</v>
      </c>
      <c r="G220" t="s">
        <v>1344</v>
      </c>
      <c r="H220" t="s">
        <v>1345</v>
      </c>
    </row>
    <row r="221" spans="1:8" s="80" customFormat="1">
      <c r="A221">
        <v>9068490</v>
      </c>
      <c r="B221" t="s">
        <v>462</v>
      </c>
      <c r="C221" t="s">
        <v>87</v>
      </c>
      <c r="D221" t="s">
        <v>461</v>
      </c>
      <c r="E221" s="69">
        <v>40644</v>
      </c>
      <c r="F221" s="65">
        <v>0.29636574074074074</v>
      </c>
      <c r="G221" t="s">
        <v>1344</v>
      </c>
      <c r="H221" t="s">
        <v>1345</v>
      </c>
    </row>
    <row r="222" spans="1:8" s="80" customFormat="1">
      <c r="A222">
        <v>9068490</v>
      </c>
      <c r="B222" t="s">
        <v>462</v>
      </c>
      <c r="C222" t="s">
        <v>87</v>
      </c>
      <c r="D222" t="s">
        <v>461</v>
      </c>
      <c r="E222" s="69">
        <v>40644</v>
      </c>
      <c r="F222" s="65">
        <v>0.62843749999999998</v>
      </c>
      <c r="G222" t="s">
        <v>1346</v>
      </c>
      <c r="H222" t="s">
        <v>1347</v>
      </c>
    </row>
    <row r="223" spans="1:8" s="80" customFormat="1">
      <c r="A223">
        <v>9068490</v>
      </c>
      <c r="B223" t="s">
        <v>462</v>
      </c>
      <c r="C223" t="s">
        <v>87</v>
      </c>
      <c r="D223" t="s">
        <v>461</v>
      </c>
      <c r="E223" s="69">
        <v>40645</v>
      </c>
      <c r="F223" s="65">
        <v>0.29531250000000003</v>
      </c>
      <c r="G223" t="s">
        <v>1344</v>
      </c>
      <c r="H223" t="s">
        <v>1345</v>
      </c>
    </row>
    <row r="224" spans="1:8" s="80" customFormat="1">
      <c r="A224">
        <v>9068490</v>
      </c>
      <c r="B224" t="s">
        <v>462</v>
      </c>
      <c r="C224" t="s">
        <v>87</v>
      </c>
      <c r="D224" t="s">
        <v>461</v>
      </c>
      <c r="E224" s="69">
        <v>40645</v>
      </c>
      <c r="F224" s="65">
        <v>0.62665509259259256</v>
      </c>
      <c r="G224" t="s">
        <v>1346</v>
      </c>
      <c r="H224" t="s">
        <v>1347</v>
      </c>
    </row>
    <row r="225" spans="1:8" s="80" customFormat="1">
      <c r="A225">
        <v>9068490</v>
      </c>
      <c r="B225" t="s">
        <v>462</v>
      </c>
      <c r="C225" t="s">
        <v>87</v>
      </c>
      <c r="D225" t="s">
        <v>461</v>
      </c>
      <c r="E225" s="69">
        <v>40646</v>
      </c>
      <c r="F225" s="65">
        <v>0.29517361111111112</v>
      </c>
      <c r="G225" t="s">
        <v>1344</v>
      </c>
      <c r="H225" t="s">
        <v>1345</v>
      </c>
    </row>
    <row r="226" spans="1:8" s="80" customFormat="1">
      <c r="A226">
        <v>9068490</v>
      </c>
      <c r="B226" t="s">
        <v>462</v>
      </c>
      <c r="C226" t="s">
        <v>87</v>
      </c>
      <c r="D226" t="s">
        <v>461</v>
      </c>
      <c r="E226" s="69">
        <v>40646</v>
      </c>
      <c r="F226" s="65">
        <v>0.63958333333333328</v>
      </c>
      <c r="G226" t="s">
        <v>1346</v>
      </c>
      <c r="H226" t="s">
        <v>1347</v>
      </c>
    </row>
    <row r="227" spans="1:8" s="80" customFormat="1">
      <c r="A227">
        <v>9068490</v>
      </c>
      <c r="B227" t="s">
        <v>462</v>
      </c>
      <c r="C227" t="s">
        <v>87</v>
      </c>
      <c r="D227" t="s">
        <v>461</v>
      </c>
      <c r="E227" s="69">
        <v>40647</v>
      </c>
      <c r="F227" s="65">
        <v>0.29456018518518517</v>
      </c>
      <c r="G227" t="s">
        <v>1344</v>
      </c>
      <c r="H227" t="s">
        <v>1345</v>
      </c>
    </row>
    <row r="228" spans="1:8" s="80" customFormat="1">
      <c r="A228">
        <v>9068490</v>
      </c>
      <c r="B228" t="s">
        <v>462</v>
      </c>
      <c r="C228" t="s">
        <v>87</v>
      </c>
      <c r="D228" t="s">
        <v>461</v>
      </c>
      <c r="E228" s="69">
        <v>40647</v>
      </c>
      <c r="F228" s="65">
        <v>0.63179398148148147</v>
      </c>
      <c r="G228" t="s">
        <v>1346</v>
      </c>
      <c r="H228" t="s">
        <v>1347</v>
      </c>
    </row>
    <row r="229" spans="1:8" s="80" customFormat="1">
      <c r="A229">
        <v>9068490</v>
      </c>
      <c r="B229" t="s">
        <v>462</v>
      </c>
      <c r="C229" t="s">
        <v>87</v>
      </c>
      <c r="D229" t="s">
        <v>461</v>
      </c>
      <c r="E229" s="69">
        <v>40648</v>
      </c>
      <c r="F229" s="65">
        <v>0.63097222222222216</v>
      </c>
      <c r="G229" t="s">
        <v>1346</v>
      </c>
      <c r="H229" t="s">
        <v>1347</v>
      </c>
    </row>
    <row r="230" spans="1:8" s="80" customFormat="1">
      <c r="A230">
        <v>9068490</v>
      </c>
      <c r="B230" t="s">
        <v>462</v>
      </c>
      <c r="C230" t="s">
        <v>87</v>
      </c>
      <c r="D230" t="s">
        <v>461</v>
      </c>
      <c r="E230" s="69">
        <v>40648</v>
      </c>
      <c r="F230" s="65">
        <v>0.29552083333333334</v>
      </c>
      <c r="G230" t="s">
        <v>1344</v>
      </c>
      <c r="H230" t="s">
        <v>1345</v>
      </c>
    </row>
    <row r="231" spans="1:8" s="80" customFormat="1">
      <c r="A231">
        <v>9068490</v>
      </c>
      <c r="B231" t="s">
        <v>462</v>
      </c>
      <c r="C231" t="s">
        <v>87</v>
      </c>
      <c r="D231" t="s">
        <v>461</v>
      </c>
      <c r="E231" s="69">
        <v>40649</v>
      </c>
      <c r="F231" s="65">
        <v>0.29408564814814814</v>
      </c>
      <c r="G231" t="s">
        <v>1344</v>
      </c>
      <c r="H231" t="s">
        <v>1345</v>
      </c>
    </row>
    <row r="232" spans="1:8" s="80" customFormat="1">
      <c r="A232">
        <v>9068490</v>
      </c>
      <c r="B232" t="s">
        <v>462</v>
      </c>
      <c r="C232" t="s">
        <v>87</v>
      </c>
      <c r="D232" t="s">
        <v>461</v>
      </c>
      <c r="E232" s="69">
        <v>40649</v>
      </c>
      <c r="F232" s="65">
        <v>0.6263657407407407</v>
      </c>
      <c r="G232" t="s">
        <v>1346</v>
      </c>
      <c r="H232" t="s">
        <v>1347</v>
      </c>
    </row>
    <row r="233" spans="1:8" s="80" customFormat="1">
      <c r="A233">
        <v>9148214</v>
      </c>
      <c r="B233" t="s">
        <v>142</v>
      </c>
      <c r="C233" t="s">
        <v>141</v>
      </c>
      <c r="D233" t="s">
        <v>80</v>
      </c>
      <c r="E233" s="69">
        <v>40644</v>
      </c>
      <c r="F233" s="65">
        <v>0.608912037037037</v>
      </c>
      <c r="G233" t="s">
        <v>1344</v>
      </c>
      <c r="H233" t="s">
        <v>1345</v>
      </c>
    </row>
    <row r="234" spans="1:8" s="80" customFormat="1">
      <c r="A234">
        <v>9148214</v>
      </c>
      <c r="B234" t="s">
        <v>142</v>
      </c>
      <c r="C234" t="s">
        <v>141</v>
      </c>
      <c r="D234" t="s">
        <v>80</v>
      </c>
      <c r="E234" s="69">
        <v>40644</v>
      </c>
      <c r="F234" s="65">
        <v>0.94082175925925926</v>
      </c>
      <c r="G234" t="s">
        <v>1346</v>
      </c>
      <c r="H234" t="s">
        <v>1347</v>
      </c>
    </row>
    <row r="235" spans="1:8" s="80" customFormat="1">
      <c r="A235">
        <v>9148214</v>
      </c>
      <c r="B235" t="s">
        <v>142</v>
      </c>
      <c r="C235" t="s">
        <v>141</v>
      </c>
      <c r="D235" t="s">
        <v>80</v>
      </c>
      <c r="E235" s="69">
        <v>40645</v>
      </c>
      <c r="F235" s="65">
        <v>0.60494212962962968</v>
      </c>
      <c r="G235" t="s">
        <v>1344</v>
      </c>
      <c r="H235" t="s">
        <v>1345</v>
      </c>
    </row>
    <row r="236" spans="1:8" s="80" customFormat="1">
      <c r="A236">
        <v>9148214</v>
      </c>
      <c r="B236" t="s">
        <v>142</v>
      </c>
      <c r="C236" t="s">
        <v>141</v>
      </c>
      <c r="D236" t="s">
        <v>80</v>
      </c>
      <c r="E236" s="69">
        <v>40645</v>
      </c>
      <c r="F236" s="65">
        <v>0.93564814814814812</v>
      </c>
      <c r="G236" t="s">
        <v>1346</v>
      </c>
      <c r="H236" t="s">
        <v>1347</v>
      </c>
    </row>
    <row r="237" spans="1:8" s="80" customFormat="1">
      <c r="A237">
        <v>9148214</v>
      </c>
      <c r="B237" t="s">
        <v>142</v>
      </c>
      <c r="C237" t="s">
        <v>141</v>
      </c>
      <c r="D237" t="s">
        <v>80</v>
      </c>
      <c r="E237" s="69">
        <v>40646</v>
      </c>
      <c r="F237" s="65">
        <v>0.60703703703703704</v>
      </c>
      <c r="G237" t="s">
        <v>1344</v>
      </c>
      <c r="H237" t="s">
        <v>1345</v>
      </c>
    </row>
    <row r="238" spans="1:8" s="80" customFormat="1">
      <c r="A238">
        <v>9148214</v>
      </c>
      <c r="B238" t="s">
        <v>142</v>
      </c>
      <c r="C238" t="s">
        <v>141</v>
      </c>
      <c r="D238" t="s">
        <v>80</v>
      </c>
      <c r="E238" s="69">
        <v>40646</v>
      </c>
      <c r="F238" s="65">
        <v>0.93839120370370377</v>
      </c>
      <c r="G238" t="s">
        <v>1346</v>
      </c>
      <c r="H238" t="s">
        <v>1347</v>
      </c>
    </row>
    <row r="239" spans="1:8" s="80" customFormat="1">
      <c r="A239">
        <v>9148214</v>
      </c>
      <c r="B239" t="s">
        <v>142</v>
      </c>
      <c r="C239" t="s">
        <v>141</v>
      </c>
      <c r="D239" t="s">
        <v>80</v>
      </c>
      <c r="E239" s="69">
        <v>40647</v>
      </c>
      <c r="F239" s="65">
        <v>0.60685185185185186</v>
      </c>
      <c r="G239" t="s">
        <v>1344</v>
      </c>
      <c r="H239" t="s">
        <v>1345</v>
      </c>
    </row>
    <row r="240" spans="1:8" s="80" customFormat="1">
      <c r="A240">
        <v>9148214</v>
      </c>
      <c r="B240" t="s">
        <v>142</v>
      </c>
      <c r="C240" t="s">
        <v>141</v>
      </c>
      <c r="D240" t="s">
        <v>80</v>
      </c>
      <c r="E240" s="69">
        <v>40647</v>
      </c>
      <c r="F240" s="65">
        <v>0.94194444444444436</v>
      </c>
      <c r="G240" t="s">
        <v>1346</v>
      </c>
      <c r="H240" t="s">
        <v>1347</v>
      </c>
    </row>
    <row r="241" spans="1:8" s="80" customFormat="1">
      <c r="A241">
        <v>9148214</v>
      </c>
      <c r="B241" t="s">
        <v>142</v>
      </c>
      <c r="C241" t="s">
        <v>141</v>
      </c>
      <c r="D241" t="s">
        <v>80</v>
      </c>
      <c r="E241" s="69">
        <v>40648</v>
      </c>
      <c r="F241" s="65">
        <v>0.94081018518518522</v>
      </c>
      <c r="G241" t="s">
        <v>1346</v>
      </c>
      <c r="H241" t="s">
        <v>1347</v>
      </c>
    </row>
    <row r="242" spans="1:8" s="80" customFormat="1">
      <c r="A242">
        <v>9148214</v>
      </c>
      <c r="B242" t="s">
        <v>142</v>
      </c>
      <c r="C242" t="s">
        <v>141</v>
      </c>
      <c r="D242" t="s">
        <v>80</v>
      </c>
      <c r="E242" s="69">
        <v>40648</v>
      </c>
      <c r="F242" s="65">
        <v>0.60576388888888888</v>
      </c>
      <c r="G242" t="s">
        <v>1344</v>
      </c>
      <c r="H242" t="s">
        <v>1345</v>
      </c>
    </row>
    <row r="243" spans="1:8" s="80" customFormat="1">
      <c r="A243">
        <v>9148214</v>
      </c>
      <c r="B243" t="s">
        <v>142</v>
      </c>
      <c r="C243" t="s">
        <v>141</v>
      </c>
      <c r="D243" t="s">
        <v>80</v>
      </c>
      <c r="E243" s="69">
        <v>40649</v>
      </c>
      <c r="F243" s="65">
        <v>0.6127083333333333</v>
      </c>
      <c r="G243" t="s">
        <v>1344</v>
      </c>
      <c r="H243" t="s">
        <v>1345</v>
      </c>
    </row>
    <row r="244" spans="1:8" s="80" customFormat="1">
      <c r="A244">
        <v>9148214</v>
      </c>
      <c r="B244" t="s">
        <v>142</v>
      </c>
      <c r="C244" t="s">
        <v>141</v>
      </c>
      <c r="D244" t="s">
        <v>80</v>
      </c>
      <c r="E244" s="69">
        <v>40649</v>
      </c>
      <c r="F244" s="65">
        <v>0.94087962962962957</v>
      </c>
      <c r="G244" t="s">
        <v>1346</v>
      </c>
      <c r="H244" t="s">
        <v>1347</v>
      </c>
    </row>
    <row r="245" spans="1:8" s="80" customFormat="1">
      <c r="A245">
        <v>9571017</v>
      </c>
      <c r="B245" t="s">
        <v>426</v>
      </c>
      <c r="C245" t="s">
        <v>425</v>
      </c>
      <c r="D245" t="s">
        <v>313</v>
      </c>
      <c r="E245" s="69">
        <v>40644</v>
      </c>
      <c r="F245" s="65">
        <v>0.30920138888888887</v>
      </c>
      <c r="G245" t="s">
        <v>1344</v>
      </c>
      <c r="H245" t="s">
        <v>1345</v>
      </c>
    </row>
    <row r="246" spans="1:8" s="80" customFormat="1">
      <c r="A246">
        <v>9571017</v>
      </c>
      <c r="B246" t="s">
        <v>426</v>
      </c>
      <c r="C246" t="s">
        <v>425</v>
      </c>
      <c r="D246" t="s">
        <v>313</v>
      </c>
      <c r="E246" s="69">
        <v>40644</v>
      </c>
      <c r="F246" s="65">
        <v>0.64166666666666672</v>
      </c>
      <c r="G246" t="s">
        <v>1346</v>
      </c>
      <c r="H246" t="s">
        <v>1347</v>
      </c>
    </row>
    <row r="247" spans="1:8" s="80" customFormat="1">
      <c r="A247">
        <v>9571017</v>
      </c>
      <c r="B247" t="s">
        <v>426</v>
      </c>
      <c r="C247" t="s">
        <v>425</v>
      </c>
      <c r="D247" t="s">
        <v>313</v>
      </c>
      <c r="E247" s="69">
        <v>40645</v>
      </c>
      <c r="F247" s="65">
        <v>0.29864583333333333</v>
      </c>
      <c r="G247" t="s">
        <v>1344</v>
      </c>
      <c r="H247" t="s">
        <v>1345</v>
      </c>
    </row>
    <row r="248" spans="1:8" s="80" customFormat="1">
      <c r="A248">
        <v>9571017</v>
      </c>
      <c r="B248" t="s">
        <v>426</v>
      </c>
      <c r="C248" t="s">
        <v>425</v>
      </c>
      <c r="D248" t="s">
        <v>313</v>
      </c>
      <c r="E248" s="69">
        <v>40645</v>
      </c>
      <c r="F248" s="65">
        <v>0.64071759259259264</v>
      </c>
      <c r="G248" t="s">
        <v>1346</v>
      </c>
      <c r="H248" t="s">
        <v>1347</v>
      </c>
    </row>
    <row r="249" spans="1:8" s="80" customFormat="1">
      <c r="A249">
        <v>9571017</v>
      </c>
      <c r="B249" t="s">
        <v>426</v>
      </c>
      <c r="C249" t="s">
        <v>425</v>
      </c>
      <c r="D249" t="s">
        <v>313</v>
      </c>
      <c r="E249" s="69">
        <v>40646</v>
      </c>
      <c r="F249" s="65">
        <v>0.30380787037037038</v>
      </c>
      <c r="G249" t="s">
        <v>1344</v>
      </c>
      <c r="H249" t="s">
        <v>1345</v>
      </c>
    </row>
    <row r="250" spans="1:8" s="80" customFormat="1">
      <c r="A250">
        <v>9571017</v>
      </c>
      <c r="B250" t="s">
        <v>426</v>
      </c>
      <c r="C250" t="s">
        <v>425</v>
      </c>
      <c r="D250" t="s">
        <v>313</v>
      </c>
      <c r="E250" s="69">
        <v>40646</v>
      </c>
      <c r="F250" s="65">
        <v>0.64167824074074076</v>
      </c>
      <c r="G250" t="s">
        <v>1346</v>
      </c>
      <c r="H250" t="s">
        <v>1347</v>
      </c>
    </row>
    <row r="251" spans="1:8" s="80" customFormat="1">
      <c r="A251">
        <v>9571017</v>
      </c>
      <c r="B251" t="s">
        <v>426</v>
      </c>
      <c r="C251" t="s">
        <v>425</v>
      </c>
      <c r="D251" t="s">
        <v>313</v>
      </c>
      <c r="E251" s="69">
        <v>40647</v>
      </c>
      <c r="F251" s="65">
        <v>0.31605324074074076</v>
      </c>
      <c r="G251" t="s">
        <v>1344</v>
      </c>
      <c r="H251" t="s">
        <v>1345</v>
      </c>
    </row>
    <row r="252" spans="1:8" s="80" customFormat="1">
      <c r="A252">
        <v>9571017</v>
      </c>
      <c r="B252" t="s">
        <v>426</v>
      </c>
      <c r="C252" t="s">
        <v>425</v>
      </c>
      <c r="D252" t="s">
        <v>313</v>
      </c>
      <c r="E252" s="69">
        <v>40647</v>
      </c>
      <c r="F252" s="65">
        <v>0.63834490740740735</v>
      </c>
      <c r="G252" t="s">
        <v>1346</v>
      </c>
      <c r="H252" t="s">
        <v>1347</v>
      </c>
    </row>
    <row r="253" spans="1:8" s="80" customFormat="1">
      <c r="A253">
        <v>9571017</v>
      </c>
      <c r="B253" t="s">
        <v>426</v>
      </c>
      <c r="C253" t="s">
        <v>425</v>
      </c>
      <c r="D253" t="s">
        <v>313</v>
      </c>
      <c r="E253" s="69">
        <v>40648</v>
      </c>
      <c r="F253" s="65">
        <v>0.64248842592592592</v>
      </c>
      <c r="G253" t="s">
        <v>1346</v>
      </c>
      <c r="H253" t="s">
        <v>1347</v>
      </c>
    </row>
    <row r="254" spans="1:8" s="80" customFormat="1">
      <c r="A254">
        <v>9571017</v>
      </c>
      <c r="B254" t="s">
        <v>426</v>
      </c>
      <c r="C254" t="s">
        <v>425</v>
      </c>
      <c r="D254" t="s">
        <v>313</v>
      </c>
      <c r="E254" s="69">
        <v>40648</v>
      </c>
      <c r="F254" s="65">
        <v>0.30523148148148149</v>
      </c>
      <c r="G254" t="s">
        <v>1344</v>
      </c>
      <c r="H254" t="s">
        <v>1345</v>
      </c>
    </row>
    <row r="255" spans="1:8" s="80" customFormat="1">
      <c r="A255">
        <v>9571017</v>
      </c>
      <c r="B255" t="s">
        <v>426</v>
      </c>
      <c r="C255" t="s">
        <v>425</v>
      </c>
      <c r="D255" t="s">
        <v>313</v>
      </c>
      <c r="E255" s="69">
        <v>40649</v>
      </c>
      <c r="F255" s="65">
        <v>0.35094907407407411</v>
      </c>
      <c r="G255" t="s">
        <v>1344</v>
      </c>
      <c r="H255" t="s">
        <v>1345</v>
      </c>
    </row>
    <row r="256" spans="1:8" s="80" customFormat="1">
      <c r="A256">
        <v>9571017</v>
      </c>
      <c r="B256" t="s">
        <v>426</v>
      </c>
      <c r="C256" t="s">
        <v>425</v>
      </c>
      <c r="D256" t="s">
        <v>313</v>
      </c>
      <c r="E256" s="69">
        <v>40649</v>
      </c>
      <c r="F256" s="65">
        <v>0.64826388888888886</v>
      </c>
      <c r="G256" t="s">
        <v>1346</v>
      </c>
      <c r="H256" t="s">
        <v>1347</v>
      </c>
    </row>
    <row r="257" spans="1:8" s="80" customFormat="1">
      <c r="A257">
        <v>9741880</v>
      </c>
      <c r="B257" t="s">
        <v>865</v>
      </c>
      <c r="C257" t="s">
        <v>863</v>
      </c>
      <c r="D257" t="s">
        <v>864</v>
      </c>
      <c r="E257" s="69">
        <v>40644</v>
      </c>
      <c r="F257" s="65">
        <v>0.31662037037037033</v>
      </c>
      <c r="G257" t="s">
        <v>1344</v>
      </c>
      <c r="H257" t="s">
        <v>1345</v>
      </c>
    </row>
    <row r="258" spans="1:8" s="80" customFormat="1">
      <c r="A258">
        <v>9741880</v>
      </c>
      <c r="B258" t="s">
        <v>865</v>
      </c>
      <c r="C258" t="s">
        <v>863</v>
      </c>
      <c r="D258" t="s">
        <v>864</v>
      </c>
      <c r="E258" s="69">
        <v>40644</v>
      </c>
      <c r="F258" s="65">
        <v>0.63622685185185179</v>
      </c>
      <c r="G258" t="s">
        <v>1346</v>
      </c>
      <c r="H258" t="s">
        <v>1347</v>
      </c>
    </row>
    <row r="259" spans="1:8" s="80" customFormat="1">
      <c r="A259">
        <v>9741880</v>
      </c>
      <c r="B259" t="s">
        <v>865</v>
      </c>
      <c r="C259" t="s">
        <v>863</v>
      </c>
      <c r="D259" t="s">
        <v>864</v>
      </c>
      <c r="E259" s="69">
        <v>40645</v>
      </c>
      <c r="F259" s="65">
        <v>0.30831018518518521</v>
      </c>
      <c r="G259" t="s">
        <v>1344</v>
      </c>
      <c r="H259" t="s">
        <v>1345</v>
      </c>
    </row>
    <row r="260" spans="1:8" s="80" customFormat="1">
      <c r="A260">
        <v>9741880</v>
      </c>
      <c r="B260" t="s">
        <v>865</v>
      </c>
      <c r="C260" t="s">
        <v>863</v>
      </c>
      <c r="D260" t="s">
        <v>864</v>
      </c>
      <c r="E260" s="69">
        <v>40645</v>
      </c>
      <c r="F260" s="65">
        <v>0.63436342592592598</v>
      </c>
      <c r="G260" t="s">
        <v>1346</v>
      </c>
      <c r="H260" t="s">
        <v>1347</v>
      </c>
    </row>
    <row r="261" spans="1:8" s="80" customFormat="1">
      <c r="A261">
        <v>9741880</v>
      </c>
      <c r="B261" t="s">
        <v>865</v>
      </c>
      <c r="C261" t="s">
        <v>863</v>
      </c>
      <c r="D261" t="s">
        <v>864</v>
      </c>
      <c r="E261" s="69">
        <v>40646</v>
      </c>
      <c r="F261" s="65">
        <v>0.29449074074074072</v>
      </c>
      <c r="G261" t="s">
        <v>1344</v>
      </c>
      <c r="H261" t="s">
        <v>1345</v>
      </c>
    </row>
    <row r="262" spans="1:8" s="80" customFormat="1">
      <c r="A262">
        <v>9741880</v>
      </c>
      <c r="B262" t="s">
        <v>865</v>
      </c>
      <c r="C262" t="s">
        <v>863</v>
      </c>
      <c r="D262" t="s">
        <v>864</v>
      </c>
      <c r="E262" s="69">
        <v>40646</v>
      </c>
      <c r="F262" s="65">
        <v>0.63489583333333333</v>
      </c>
      <c r="G262" t="s">
        <v>1346</v>
      </c>
      <c r="H262" t="s">
        <v>1347</v>
      </c>
    </row>
    <row r="263" spans="1:8" s="80" customFormat="1">
      <c r="A263">
        <v>9741880</v>
      </c>
      <c r="B263" t="s">
        <v>865</v>
      </c>
      <c r="C263" t="s">
        <v>863</v>
      </c>
      <c r="D263" t="s">
        <v>864</v>
      </c>
      <c r="E263" s="69">
        <v>40647</v>
      </c>
      <c r="F263" s="65">
        <v>0.61239583333333336</v>
      </c>
      <c r="G263" t="s">
        <v>1344</v>
      </c>
      <c r="H263" t="s">
        <v>1345</v>
      </c>
    </row>
    <row r="264" spans="1:8" s="80" customFormat="1">
      <c r="A264">
        <v>9741880</v>
      </c>
      <c r="B264" t="s">
        <v>865</v>
      </c>
      <c r="C264" t="s">
        <v>863</v>
      </c>
      <c r="D264" t="s">
        <v>864</v>
      </c>
      <c r="E264" s="69">
        <v>40647</v>
      </c>
      <c r="F264" s="65">
        <v>0.9431018518518518</v>
      </c>
      <c r="G264" t="s">
        <v>1346</v>
      </c>
      <c r="H264" t="s">
        <v>1347</v>
      </c>
    </row>
    <row r="265" spans="1:8" s="80" customFormat="1">
      <c r="A265">
        <v>9741880</v>
      </c>
      <c r="B265" t="s">
        <v>865</v>
      </c>
      <c r="C265" t="s">
        <v>863</v>
      </c>
      <c r="D265" t="s">
        <v>864</v>
      </c>
      <c r="E265" s="69">
        <v>40648</v>
      </c>
      <c r="F265" s="65">
        <v>0.62958333333333327</v>
      </c>
      <c r="G265" t="s">
        <v>1346</v>
      </c>
      <c r="H265" t="s">
        <v>1347</v>
      </c>
    </row>
    <row r="266" spans="1:8" s="80" customFormat="1">
      <c r="A266">
        <v>9741880</v>
      </c>
      <c r="B266" t="s">
        <v>865</v>
      </c>
      <c r="C266" t="s">
        <v>863</v>
      </c>
      <c r="D266" t="s">
        <v>864</v>
      </c>
      <c r="E266" s="69">
        <v>40648</v>
      </c>
      <c r="F266" s="65">
        <v>0.29501157407407408</v>
      </c>
      <c r="G266" t="s">
        <v>1344</v>
      </c>
      <c r="H266" t="s">
        <v>1345</v>
      </c>
    </row>
    <row r="267" spans="1:8" s="80" customFormat="1">
      <c r="A267">
        <v>9748915</v>
      </c>
      <c r="B267" t="s">
        <v>481</v>
      </c>
      <c r="C267" t="s">
        <v>323</v>
      </c>
      <c r="D267" t="s">
        <v>419</v>
      </c>
      <c r="E267" s="69">
        <v>40644</v>
      </c>
      <c r="F267" s="65">
        <v>0.61104166666666659</v>
      </c>
      <c r="G267" t="s">
        <v>1344</v>
      </c>
      <c r="H267" t="s">
        <v>1345</v>
      </c>
    </row>
    <row r="268" spans="1:8" s="80" customFormat="1">
      <c r="A268">
        <v>9748915</v>
      </c>
      <c r="B268" t="s">
        <v>481</v>
      </c>
      <c r="C268" t="s">
        <v>323</v>
      </c>
      <c r="D268" t="s">
        <v>419</v>
      </c>
      <c r="E268" s="69">
        <v>40644</v>
      </c>
      <c r="F268" s="65">
        <v>0.94395833333333334</v>
      </c>
      <c r="G268" t="s">
        <v>1346</v>
      </c>
      <c r="H268" t="s">
        <v>1347</v>
      </c>
    </row>
    <row r="269" spans="1:8" s="80" customFormat="1">
      <c r="A269">
        <v>9748915</v>
      </c>
      <c r="B269" t="s">
        <v>481</v>
      </c>
      <c r="C269" t="s">
        <v>323</v>
      </c>
      <c r="D269" t="s">
        <v>419</v>
      </c>
      <c r="E269" s="69">
        <v>40645</v>
      </c>
      <c r="F269" s="65">
        <v>0.32155092592592593</v>
      </c>
      <c r="G269" t="s">
        <v>1344</v>
      </c>
      <c r="H269" t="s">
        <v>1345</v>
      </c>
    </row>
    <row r="270" spans="1:8" s="80" customFormat="1">
      <c r="A270">
        <v>9748915</v>
      </c>
      <c r="B270" t="s">
        <v>481</v>
      </c>
      <c r="C270" t="s">
        <v>323</v>
      </c>
      <c r="D270" t="s">
        <v>419</v>
      </c>
      <c r="E270" s="69">
        <v>40645</v>
      </c>
      <c r="F270" s="65">
        <v>0.63393518518518521</v>
      </c>
      <c r="G270" t="s">
        <v>1346</v>
      </c>
      <c r="H270" t="s">
        <v>1347</v>
      </c>
    </row>
    <row r="271" spans="1:8" s="80" customFormat="1">
      <c r="A271">
        <v>9748915</v>
      </c>
      <c r="B271" t="s">
        <v>481</v>
      </c>
      <c r="C271" t="s">
        <v>323</v>
      </c>
      <c r="D271" t="s">
        <v>419</v>
      </c>
      <c r="E271" s="69">
        <v>40646</v>
      </c>
      <c r="F271" s="65">
        <v>0.62535879629629632</v>
      </c>
      <c r="G271" t="s">
        <v>1344</v>
      </c>
      <c r="H271" t="s">
        <v>1345</v>
      </c>
    </row>
    <row r="272" spans="1:8" s="80" customFormat="1">
      <c r="A272">
        <v>9748915</v>
      </c>
      <c r="B272" t="s">
        <v>481</v>
      </c>
      <c r="C272" t="s">
        <v>323</v>
      </c>
      <c r="D272" t="s">
        <v>419</v>
      </c>
      <c r="E272" s="69">
        <v>40646</v>
      </c>
      <c r="F272" s="65">
        <v>0.9421180555555555</v>
      </c>
      <c r="G272" t="s">
        <v>1346</v>
      </c>
      <c r="H272" t="s">
        <v>1347</v>
      </c>
    </row>
    <row r="273" spans="1:8" s="80" customFormat="1">
      <c r="A273">
        <v>9748915</v>
      </c>
      <c r="B273" t="s">
        <v>481</v>
      </c>
      <c r="C273" t="s">
        <v>323</v>
      </c>
      <c r="D273" t="s">
        <v>419</v>
      </c>
      <c r="E273" s="69">
        <v>40647</v>
      </c>
      <c r="F273" s="65">
        <v>0.60252314814814811</v>
      </c>
      <c r="G273" t="s">
        <v>1344</v>
      </c>
      <c r="H273" t="s">
        <v>1345</v>
      </c>
    </row>
    <row r="274" spans="1:8" s="80" customFormat="1">
      <c r="A274">
        <v>9748915</v>
      </c>
      <c r="B274" t="s">
        <v>481</v>
      </c>
      <c r="C274" t="s">
        <v>323</v>
      </c>
      <c r="D274" t="s">
        <v>419</v>
      </c>
      <c r="E274" s="69">
        <v>40647</v>
      </c>
      <c r="F274" s="65">
        <v>0.94524305555555566</v>
      </c>
      <c r="G274" t="s">
        <v>1346</v>
      </c>
      <c r="H274" t="s">
        <v>1347</v>
      </c>
    </row>
    <row r="275" spans="1:8" s="80" customFormat="1">
      <c r="A275">
        <v>9748915</v>
      </c>
      <c r="B275" t="s">
        <v>481</v>
      </c>
      <c r="C275" t="s">
        <v>323</v>
      </c>
      <c r="D275" t="s">
        <v>419</v>
      </c>
      <c r="E275" s="69">
        <v>40648</v>
      </c>
      <c r="F275" s="65">
        <v>0.63962962962962966</v>
      </c>
      <c r="G275" t="s">
        <v>1346</v>
      </c>
      <c r="H275" t="s">
        <v>1347</v>
      </c>
    </row>
    <row r="276" spans="1:8" s="80" customFormat="1">
      <c r="A276">
        <v>9748915</v>
      </c>
      <c r="B276" t="s">
        <v>481</v>
      </c>
      <c r="C276" t="s">
        <v>323</v>
      </c>
      <c r="D276" t="s">
        <v>419</v>
      </c>
      <c r="E276" s="69">
        <v>40648</v>
      </c>
      <c r="F276" s="65">
        <v>0.32216435185185183</v>
      </c>
      <c r="G276" t="s">
        <v>1344</v>
      </c>
      <c r="H276" t="s">
        <v>1345</v>
      </c>
    </row>
    <row r="277" spans="1:8" s="80" customFormat="1">
      <c r="A277">
        <v>9748915</v>
      </c>
      <c r="B277" t="s">
        <v>481</v>
      </c>
      <c r="C277" t="s">
        <v>323</v>
      </c>
      <c r="D277" t="s">
        <v>419</v>
      </c>
      <c r="E277" s="69">
        <v>40649</v>
      </c>
      <c r="F277" s="65">
        <v>0.64457175925925925</v>
      </c>
      <c r="G277" t="s">
        <v>1344</v>
      </c>
      <c r="H277" t="s">
        <v>1345</v>
      </c>
    </row>
    <row r="278" spans="1:8" s="80" customFormat="1">
      <c r="A278">
        <v>9748915</v>
      </c>
      <c r="B278" t="s">
        <v>481</v>
      </c>
      <c r="C278" t="s">
        <v>323</v>
      </c>
      <c r="D278" t="s">
        <v>419</v>
      </c>
      <c r="E278" s="69">
        <v>40649</v>
      </c>
      <c r="F278" s="65">
        <v>0.93753472222222223</v>
      </c>
      <c r="G278" t="s">
        <v>1346</v>
      </c>
      <c r="H278" t="s">
        <v>1347</v>
      </c>
    </row>
    <row r="279" spans="1:8" s="80" customFormat="1">
      <c r="A279">
        <v>9774031</v>
      </c>
      <c r="B279" t="s">
        <v>887</v>
      </c>
      <c r="C279" t="s">
        <v>188</v>
      </c>
      <c r="D279" t="s">
        <v>859</v>
      </c>
      <c r="E279" s="69">
        <v>40644</v>
      </c>
      <c r="F279" s="65">
        <v>9.1203703703703707E-3</v>
      </c>
      <c r="G279" t="s">
        <v>1344</v>
      </c>
      <c r="H279" t="s">
        <v>1345</v>
      </c>
    </row>
    <row r="280" spans="1:8" s="80" customFormat="1">
      <c r="A280">
        <v>9774031</v>
      </c>
      <c r="B280" t="s">
        <v>887</v>
      </c>
      <c r="C280" t="s">
        <v>188</v>
      </c>
      <c r="D280" t="s">
        <v>859</v>
      </c>
      <c r="E280" s="69">
        <v>40644</v>
      </c>
      <c r="F280" s="65">
        <v>0.33141203703703703</v>
      </c>
      <c r="G280" t="s">
        <v>1346</v>
      </c>
      <c r="H280" t="s">
        <v>1347</v>
      </c>
    </row>
    <row r="281" spans="1:8" s="80" customFormat="1">
      <c r="A281">
        <v>9774031</v>
      </c>
      <c r="B281" t="s">
        <v>887</v>
      </c>
      <c r="C281" t="s">
        <v>188</v>
      </c>
      <c r="D281" t="s">
        <v>859</v>
      </c>
      <c r="E281" s="69">
        <v>40644</v>
      </c>
      <c r="F281" s="65">
        <v>0.61850694444444443</v>
      </c>
      <c r="G281" t="s">
        <v>1344</v>
      </c>
      <c r="H281" t="s">
        <v>1345</v>
      </c>
    </row>
    <row r="282" spans="1:8" s="80" customFormat="1">
      <c r="A282">
        <v>9774031</v>
      </c>
      <c r="B282" t="s">
        <v>887</v>
      </c>
      <c r="C282" t="s">
        <v>188</v>
      </c>
      <c r="D282" t="s">
        <v>859</v>
      </c>
      <c r="E282" s="69">
        <v>40644</v>
      </c>
      <c r="F282" s="65">
        <v>0.94244212962962959</v>
      </c>
      <c r="G282" t="s">
        <v>1346</v>
      </c>
      <c r="H282" t="s">
        <v>1347</v>
      </c>
    </row>
    <row r="283" spans="1:8" s="80" customFormat="1">
      <c r="A283">
        <v>9774031</v>
      </c>
      <c r="B283" t="s">
        <v>887</v>
      </c>
      <c r="C283" t="s">
        <v>188</v>
      </c>
      <c r="D283" t="s">
        <v>859</v>
      </c>
      <c r="E283" s="69">
        <v>40645</v>
      </c>
      <c r="F283" s="65">
        <v>0.6055208333333334</v>
      </c>
      <c r="G283" t="s">
        <v>1344</v>
      </c>
      <c r="H283" t="s">
        <v>1345</v>
      </c>
    </row>
    <row r="284" spans="1:8" s="80" customFormat="1">
      <c r="A284">
        <v>9774031</v>
      </c>
      <c r="B284" t="s">
        <v>887</v>
      </c>
      <c r="C284" t="s">
        <v>188</v>
      </c>
      <c r="D284" t="s">
        <v>859</v>
      </c>
      <c r="E284" s="69">
        <v>40645</v>
      </c>
      <c r="F284" s="65">
        <v>0.94282407407407398</v>
      </c>
      <c r="G284" t="s">
        <v>1346</v>
      </c>
      <c r="H284" t="s">
        <v>1347</v>
      </c>
    </row>
    <row r="285" spans="1:8" s="80" customFormat="1">
      <c r="A285">
        <v>9774031</v>
      </c>
      <c r="B285" t="s">
        <v>887</v>
      </c>
      <c r="C285" t="s">
        <v>188</v>
      </c>
      <c r="D285" t="s">
        <v>859</v>
      </c>
      <c r="E285" s="69">
        <v>40646</v>
      </c>
      <c r="F285" s="65">
        <v>0.94327546296296294</v>
      </c>
      <c r="G285" t="s">
        <v>1346</v>
      </c>
      <c r="H285" t="s">
        <v>1347</v>
      </c>
    </row>
    <row r="286" spans="1:8" s="80" customFormat="1">
      <c r="A286">
        <v>9774031</v>
      </c>
      <c r="B286" t="s">
        <v>887</v>
      </c>
      <c r="C286" t="s">
        <v>188</v>
      </c>
      <c r="D286" t="s">
        <v>859</v>
      </c>
      <c r="E286" s="69">
        <v>40646</v>
      </c>
      <c r="F286" s="65">
        <v>0.60834490740740743</v>
      </c>
      <c r="G286" t="s">
        <v>1344</v>
      </c>
      <c r="H286" t="s">
        <v>1345</v>
      </c>
    </row>
    <row r="287" spans="1:8" s="80" customFormat="1">
      <c r="A287">
        <v>9774031</v>
      </c>
      <c r="B287" t="s">
        <v>887</v>
      </c>
      <c r="C287" t="s">
        <v>188</v>
      </c>
      <c r="D287" t="s">
        <v>859</v>
      </c>
      <c r="E287" s="69">
        <v>40647</v>
      </c>
      <c r="F287" s="65">
        <v>0.60700231481481481</v>
      </c>
      <c r="G287" t="s">
        <v>1344</v>
      </c>
      <c r="H287" t="s">
        <v>1345</v>
      </c>
    </row>
    <row r="288" spans="1:8" s="80" customFormat="1">
      <c r="A288">
        <v>9774031</v>
      </c>
      <c r="B288" t="s">
        <v>887</v>
      </c>
      <c r="C288" t="s">
        <v>188</v>
      </c>
      <c r="D288" t="s">
        <v>859</v>
      </c>
      <c r="E288" s="69">
        <v>40647</v>
      </c>
      <c r="F288" s="65">
        <v>0.9456134259259259</v>
      </c>
      <c r="G288" t="s">
        <v>1346</v>
      </c>
      <c r="H288" t="s">
        <v>1347</v>
      </c>
    </row>
    <row r="289" spans="1:8" s="80" customFormat="1">
      <c r="A289">
        <v>9774031</v>
      </c>
      <c r="B289" t="s">
        <v>887</v>
      </c>
      <c r="C289" t="s">
        <v>188</v>
      </c>
      <c r="D289" t="s">
        <v>859</v>
      </c>
      <c r="E289" s="69">
        <v>40648</v>
      </c>
      <c r="F289" s="65">
        <v>0.60651620370370374</v>
      </c>
      <c r="G289" t="s">
        <v>1344</v>
      </c>
      <c r="H289" t="s">
        <v>1345</v>
      </c>
    </row>
    <row r="290" spans="1:8" s="80" customFormat="1">
      <c r="A290">
        <v>9774031</v>
      </c>
      <c r="B290" t="s">
        <v>887</v>
      </c>
      <c r="C290" t="s">
        <v>188</v>
      </c>
      <c r="D290" t="s">
        <v>859</v>
      </c>
      <c r="E290" s="69">
        <v>40648</v>
      </c>
      <c r="F290" s="65">
        <v>0.94822916666666668</v>
      </c>
      <c r="G290" t="s">
        <v>1346</v>
      </c>
      <c r="H290" t="s">
        <v>1347</v>
      </c>
    </row>
    <row r="291" spans="1:8" s="80" customFormat="1">
      <c r="A291">
        <v>9774031</v>
      </c>
      <c r="B291" t="s">
        <v>887</v>
      </c>
      <c r="C291" t="s">
        <v>188</v>
      </c>
      <c r="D291" t="s">
        <v>859</v>
      </c>
      <c r="E291" s="69">
        <v>40649</v>
      </c>
      <c r="F291" s="65">
        <v>0.60760416666666661</v>
      </c>
      <c r="G291" t="s">
        <v>1344</v>
      </c>
      <c r="H291" t="s">
        <v>1345</v>
      </c>
    </row>
    <row r="292" spans="1:8" s="80" customFormat="1">
      <c r="A292">
        <v>9774031</v>
      </c>
      <c r="B292" t="s">
        <v>887</v>
      </c>
      <c r="C292" t="s">
        <v>188</v>
      </c>
      <c r="D292" t="s">
        <v>859</v>
      </c>
      <c r="E292" s="69">
        <v>40649</v>
      </c>
      <c r="F292" s="65">
        <v>0.65806712962962965</v>
      </c>
      <c r="G292" t="s">
        <v>1346</v>
      </c>
      <c r="H292" t="s">
        <v>1347</v>
      </c>
    </row>
    <row r="293" spans="1:8" s="80" customFormat="1">
      <c r="A293">
        <v>9832710</v>
      </c>
      <c r="B293" t="s">
        <v>213</v>
      </c>
      <c r="C293" t="s">
        <v>211</v>
      </c>
      <c r="D293" t="s">
        <v>212</v>
      </c>
      <c r="E293" s="69">
        <v>40644</v>
      </c>
      <c r="F293" s="65">
        <v>0.30015046296296294</v>
      </c>
      <c r="G293" t="s">
        <v>1344</v>
      </c>
      <c r="H293" t="s">
        <v>1345</v>
      </c>
    </row>
    <row r="294" spans="1:8" s="80" customFormat="1">
      <c r="A294">
        <v>9832710</v>
      </c>
      <c r="B294" t="s">
        <v>213</v>
      </c>
      <c r="C294" t="s">
        <v>211</v>
      </c>
      <c r="D294" t="s">
        <v>212</v>
      </c>
      <c r="E294" s="69">
        <v>40644</v>
      </c>
      <c r="F294" s="65">
        <v>0.72745370370370377</v>
      </c>
      <c r="G294" t="s">
        <v>1346</v>
      </c>
      <c r="H294" t="s">
        <v>1347</v>
      </c>
    </row>
    <row r="295" spans="1:8" s="80" customFormat="1">
      <c r="A295">
        <v>9832710</v>
      </c>
      <c r="B295" t="s">
        <v>213</v>
      </c>
      <c r="C295" t="s">
        <v>211</v>
      </c>
      <c r="D295" t="s">
        <v>212</v>
      </c>
      <c r="E295" s="69">
        <v>40645</v>
      </c>
      <c r="F295" s="65">
        <v>0.30607638888888888</v>
      </c>
      <c r="G295" t="s">
        <v>1344</v>
      </c>
      <c r="H295" t="s">
        <v>1345</v>
      </c>
    </row>
    <row r="296" spans="1:8" s="80" customFormat="1">
      <c r="A296">
        <v>9832710</v>
      </c>
      <c r="B296" t="s">
        <v>213</v>
      </c>
      <c r="C296" t="s">
        <v>211</v>
      </c>
      <c r="D296" t="s">
        <v>212</v>
      </c>
      <c r="E296" s="69">
        <v>40645</v>
      </c>
      <c r="F296" s="65">
        <v>0.72630787037037037</v>
      </c>
      <c r="G296" t="s">
        <v>1346</v>
      </c>
      <c r="H296" t="s">
        <v>1347</v>
      </c>
    </row>
    <row r="297" spans="1:8" s="80" customFormat="1">
      <c r="A297">
        <v>9832710</v>
      </c>
      <c r="B297" t="s">
        <v>213</v>
      </c>
      <c r="C297" t="s">
        <v>211</v>
      </c>
      <c r="D297" t="s">
        <v>212</v>
      </c>
      <c r="E297" s="69">
        <v>40646</v>
      </c>
      <c r="F297" s="65">
        <v>0.3016550925925926</v>
      </c>
      <c r="G297" t="s">
        <v>1344</v>
      </c>
      <c r="H297" t="s">
        <v>1345</v>
      </c>
    </row>
    <row r="298" spans="1:8" s="80" customFormat="1">
      <c r="A298">
        <v>9832710</v>
      </c>
      <c r="B298" t="s">
        <v>213</v>
      </c>
      <c r="C298" t="s">
        <v>211</v>
      </c>
      <c r="D298" t="s">
        <v>212</v>
      </c>
      <c r="E298" s="69">
        <v>40646</v>
      </c>
      <c r="F298" s="65">
        <v>0.73327546296296298</v>
      </c>
      <c r="G298" t="s">
        <v>1346</v>
      </c>
      <c r="H298" t="s">
        <v>1347</v>
      </c>
    </row>
    <row r="299" spans="1:8" s="80" customFormat="1">
      <c r="A299">
        <v>9832710</v>
      </c>
      <c r="B299" t="s">
        <v>213</v>
      </c>
      <c r="C299" t="s">
        <v>211</v>
      </c>
      <c r="D299" t="s">
        <v>212</v>
      </c>
      <c r="E299" s="69">
        <v>40647</v>
      </c>
      <c r="F299" s="65">
        <v>0.30163194444444447</v>
      </c>
      <c r="G299" t="s">
        <v>1344</v>
      </c>
      <c r="H299" t="s">
        <v>1345</v>
      </c>
    </row>
    <row r="300" spans="1:8" s="80" customFormat="1">
      <c r="A300">
        <v>9832710</v>
      </c>
      <c r="B300" t="s">
        <v>213</v>
      </c>
      <c r="C300" t="s">
        <v>211</v>
      </c>
      <c r="D300" t="s">
        <v>212</v>
      </c>
      <c r="E300" s="69">
        <v>40647</v>
      </c>
      <c r="F300" s="65">
        <v>0.76453703703703713</v>
      </c>
      <c r="G300" t="s">
        <v>1346</v>
      </c>
      <c r="H300" t="s">
        <v>1347</v>
      </c>
    </row>
    <row r="301" spans="1:8" s="80" customFormat="1">
      <c r="A301">
        <v>9832710</v>
      </c>
      <c r="B301" t="s">
        <v>213</v>
      </c>
      <c r="C301" t="s">
        <v>211</v>
      </c>
      <c r="D301" t="s">
        <v>212</v>
      </c>
      <c r="E301" s="69">
        <v>40648</v>
      </c>
      <c r="F301" s="65">
        <v>0.72233796296296304</v>
      </c>
      <c r="G301" t="s">
        <v>1346</v>
      </c>
      <c r="H301" t="s">
        <v>1347</v>
      </c>
    </row>
    <row r="302" spans="1:8" s="80" customFormat="1">
      <c r="A302">
        <v>9832710</v>
      </c>
      <c r="B302" t="s">
        <v>213</v>
      </c>
      <c r="C302" t="s">
        <v>211</v>
      </c>
      <c r="D302" t="s">
        <v>212</v>
      </c>
      <c r="E302" s="69">
        <v>40648</v>
      </c>
      <c r="F302" s="65">
        <v>0.30671296296296297</v>
      </c>
      <c r="G302" t="s">
        <v>1344</v>
      </c>
      <c r="H302" t="s">
        <v>1345</v>
      </c>
    </row>
    <row r="303" spans="1:8" s="80" customFormat="1">
      <c r="A303">
        <v>9989723</v>
      </c>
      <c r="B303" t="s">
        <v>487</v>
      </c>
      <c r="C303" t="s">
        <v>485</v>
      </c>
      <c r="D303" t="s">
        <v>486</v>
      </c>
      <c r="E303" s="69">
        <v>40644</v>
      </c>
      <c r="F303" s="65">
        <v>0.30681712962962965</v>
      </c>
      <c r="G303" t="s">
        <v>1344</v>
      </c>
      <c r="H303" t="s">
        <v>1345</v>
      </c>
    </row>
    <row r="304" spans="1:8" s="80" customFormat="1">
      <c r="A304">
        <v>9989723</v>
      </c>
      <c r="B304" t="s">
        <v>487</v>
      </c>
      <c r="C304" t="s">
        <v>485</v>
      </c>
      <c r="D304" t="s">
        <v>486</v>
      </c>
      <c r="E304" s="69">
        <v>40644</v>
      </c>
      <c r="F304" s="65">
        <v>0.63119212962962956</v>
      </c>
      <c r="G304" t="s">
        <v>1346</v>
      </c>
      <c r="H304" t="s">
        <v>1347</v>
      </c>
    </row>
    <row r="305" spans="1:8" s="80" customFormat="1">
      <c r="A305">
        <v>9989723</v>
      </c>
      <c r="B305" t="s">
        <v>487</v>
      </c>
      <c r="C305" t="s">
        <v>485</v>
      </c>
      <c r="D305" t="s">
        <v>486</v>
      </c>
      <c r="E305" s="69">
        <v>40645</v>
      </c>
      <c r="F305" s="65">
        <v>0.29706018518518518</v>
      </c>
      <c r="G305" t="s">
        <v>1344</v>
      </c>
      <c r="H305" t="s">
        <v>1345</v>
      </c>
    </row>
    <row r="306" spans="1:8" s="80" customFormat="1">
      <c r="A306">
        <v>9989723</v>
      </c>
      <c r="B306" t="s">
        <v>487</v>
      </c>
      <c r="C306" t="s">
        <v>485</v>
      </c>
      <c r="D306" t="s">
        <v>486</v>
      </c>
      <c r="E306" s="69">
        <v>40645</v>
      </c>
      <c r="F306" s="65">
        <v>0.63511574074074073</v>
      </c>
      <c r="G306" t="s">
        <v>1346</v>
      </c>
      <c r="H306" t="s">
        <v>1347</v>
      </c>
    </row>
    <row r="307" spans="1:8" s="80" customFormat="1">
      <c r="A307">
        <v>9989723</v>
      </c>
      <c r="B307" t="s">
        <v>487</v>
      </c>
      <c r="C307" t="s">
        <v>485</v>
      </c>
      <c r="D307" t="s">
        <v>486</v>
      </c>
      <c r="E307" s="69">
        <v>40646</v>
      </c>
      <c r="F307" s="65">
        <v>0.29555555555555557</v>
      </c>
      <c r="G307" t="s">
        <v>1344</v>
      </c>
      <c r="H307" t="s">
        <v>1345</v>
      </c>
    </row>
    <row r="308" spans="1:8" s="80" customFormat="1">
      <c r="A308">
        <v>9989723</v>
      </c>
      <c r="B308" t="s">
        <v>487</v>
      </c>
      <c r="C308" t="s">
        <v>485</v>
      </c>
      <c r="D308" t="s">
        <v>486</v>
      </c>
      <c r="E308" s="69">
        <v>40646</v>
      </c>
      <c r="F308" s="65">
        <v>0.63464120370370369</v>
      </c>
      <c r="G308" t="s">
        <v>1346</v>
      </c>
      <c r="H308" t="s">
        <v>1347</v>
      </c>
    </row>
    <row r="309" spans="1:8" s="80" customFormat="1">
      <c r="A309">
        <v>9989723</v>
      </c>
      <c r="B309" t="s">
        <v>487</v>
      </c>
      <c r="C309" t="s">
        <v>485</v>
      </c>
      <c r="D309" t="s">
        <v>486</v>
      </c>
      <c r="E309" s="69">
        <v>40647</v>
      </c>
      <c r="F309" s="65">
        <v>0.2898263888888889</v>
      </c>
      <c r="G309" t="s">
        <v>1344</v>
      </c>
      <c r="H309" t="s">
        <v>1345</v>
      </c>
    </row>
    <row r="310" spans="1:8" s="80" customFormat="1">
      <c r="A310">
        <v>9989723</v>
      </c>
      <c r="B310" t="s">
        <v>487</v>
      </c>
      <c r="C310" t="s">
        <v>485</v>
      </c>
      <c r="D310" t="s">
        <v>486</v>
      </c>
      <c r="E310" s="69">
        <v>40647</v>
      </c>
      <c r="F310" s="65">
        <v>0.62958333333333327</v>
      </c>
      <c r="G310" t="s">
        <v>1346</v>
      </c>
      <c r="H310" t="s">
        <v>1347</v>
      </c>
    </row>
    <row r="311" spans="1:8" s="80" customFormat="1">
      <c r="A311">
        <v>9989723</v>
      </c>
      <c r="B311" t="s">
        <v>487</v>
      </c>
      <c r="C311" t="s">
        <v>485</v>
      </c>
      <c r="D311" t="s">
        <v>486</v>
      </c>
      <c r="E311" s="69">
        <v>40648</v>
      </c>
      <c r="F311" s="65">
        <v>0.63896990740740744</v>
      </c>
      <c r="G311" t="s">
        <v>1346</v>
      </c>
      <c r="H311" t="s">
        <v>1347</v>
      </c>
    </row>
    <row r="312" spans="1:8" s="80" customFormat="1">
      <c r="A312">
        <v>9989723</v>
      </c>
      <c r="B312" t="s">
        <v>487</v>
      </c>
      <c r="C312" t="s">
        <v>485</v>
      </c>
      <c r="D312" t="s">
        <v>486</v>
      </c>
      <c r="E312" s="69">
        <v>40648</v>
      </c>
      <c r="F312" s="65">
        <v>0.29567129629629629</v>
      </c>
      <c r="G312" t="s">
        <v>1344</v>
      </c>
      <c r="H312" t="s">
        <v>1345</v>
      </c>
    </row>
    <row r="313" spans="1:8" s="80" customFormat="1">
      <c r="A313">
        <v>9989723</v>
      </c>
      <c r="B313" t="s">
        <v>487</v>
      </c>
      <c r="C313" t="s">
        <v>485</v>
      </c>
      <c r="D313" t="s">
        <v>486</v>
      </c>
      <c r="E313" s="69">
        <v>40649</v>
      </c>
      <c r="F313" s="65">
        <v>0.30928240740740742</v>
      </c>
      <c r="G313" t="s">
        <v>1344</v>
      </c>
      <c r="H313" t="s">
        <v>1345</v>
      </c>
    </row>
    <row r="314" spans="1:8" s="80" customFormat="1">
      <c r="A314" s="82">
        <v>9989723</v>
      </c>
      <c r="B314" s="82" t="s">
        <v>487</v>
      </c>
      <c r="C314" s="82" t="s">
        <v>485</v>
      </c>
      <c r="D314" s="82" t="s">
        <v>486</v>
      </c>
      <c r="E314" s="89">
        <v>40649</v>
      </c>
      <c r="F314" s="83">
        <v>0.6348611111111111</v>
      </c>
      <c r="G314" s="82" t="s">
        <v>1346</v>
      </c>
      <c r="H314" s="82" t="s">
        <v>1347</v>
      </c>
    </row>
    <row r="315" spans="1:8" s="80" customFormat="1">
      <c r="A315" s="82">
        <v>10042860</v>
      </c>
      <c r="B315" s="82" t="s">
        <v>1219</v>
      </c>
      <c r="C315" s="82" t="s">
        <v>1218</v>
      </c>
      <c r="D315" s="82" t="s">
        <v>450</v>
      </c>
      <c r="E315" s="89">
        <v>40644</v>
      </c>
      <c r="F315" s="83">
        <v>0.29673611111111114</v>
      </c>
      <c r="G315" s="82" t="s">
        <v>1344</v>
      </c>
      <c r="H315" s="82" t="s">
        <v>1345</v>
      </c>
    </row>
    <row r="316" spans="1:8" s="80" customFormat="1">
      <c r="A316" s="82">
        <v>10042860</v>
      </c>
      <c r="B316" s="82" t="s">
        <v>1219</v>
      </c>
      <c r="C316" s="82" t="s">
        <v>1218</v>
      </c>
      <c r="D316" s="82" t="s">
        <v>450</v>
      </c>
      <c r="E316" s="89">
        <v>40644</v>
      </c>
      <c r="F316" s="83">
        <v>0.63662037037037034</v>
      </c>
      <c r="G316" s="82" t="s">
        <v>1346</v>
      </c>
      <c r="H316" s="82" t="s">
        <v>1347</v>
      </c>
    </row>
    <row r="317" spans="1:8" s="80" customFormat="1">
      <c r="A317" s="82">
        <v>10042860</v>
      </c>
      <c r="B317" s="82" t="s">
        <v>1219</v>
      </c>
      <c r="C317" s="82" t="s">
        <v>1218</v>
      </c>
      <c r="D317" s="82" t="s">
        <v>450</v>
      </c>
      <c r="E317" s="89">
        <v>40645</v>
      </c>
      <c r="F317" s="83">
        <v>0.29526620370370371</v>
      </c>
      <c r="G317" s="82" t="s">
        <v>1344</v>
      </c>
      <c r="H317" s="82" t="s">
        <v>1345</v>
      </c>
    </row>
    <row r="318" spans="1:8" s="80" customFormat="1">
      <c r="A318" s="82">
        <v>10042860</v>
      </c>
      <c r="B318" s="82" t="s">
        <v>1219</v>
      </c>
      <c r="C318" s="82" t="s">
        <v>1218</v>
      </c>
      <c r="D318" s="82" t="s">
        <v>450</v>
      </c>
      <c r="E318" s="89">
        <v>40645</v>
      </c>
      <c r="F318" s="83">
        <v>0.63623842592592594</v>
      </c>
      <c r="G318" s="82" t="s">
        <v>1346</v>
      </c>
      <c r="H318" s="82" t="s">
        <v>1347</v>
      </c>
    </row>
    <row r="319" spans="1:8" s="80" customFormat="1">
      <c r="A319" s="82">
        <v>10042860</v>
      </c>
      <c r="B319" s="82" t="s">
        <v>1219</v>
      </c>
      <c r="C319" s="82" t="s">
        <v>1218</v>
      </c>
      <c r="D319" s="82" t="s">
        <v>450</v>
      </c>
      <c r="E319" s="89">
        <v>40646</v>
      </c>
      <c r="F319" s="83">
        <v>0.29547453703703702</v>
      </c>
      <c r="G319" s="82" t="s">
        <v>1344</v>
      </c>
      <c r="H319" s="82" t="s">
        <v>1345</v>
      </c>
    </row>
    <row r="320" spans="1:8" s="80" customFormat="1">
      <c r="A320" s="82">
        <v>10042860</v>
      </c>
      <c r="B320" s="82" t="s">
        <v>1219</v>
      </c>
      <c r="C320" s="82" t="s">
        <v>1218</v>
      </c>
      <c r="D320" s="82" t="s">
        <v>450</v>
      </c>
      <c r="E320" s="89">
        <v>40646</v>
      </c>
      <c r="F320" s="83">
        <v>0.63905092592592594</v>
      </c>
      <c r="G320" s="82" t="s">
        <v>1346</v>
      </c>
      <c r="H320" s="82" t="s">
        <v>1347</v>
      </c>
    </row>
    <row r="321" spans="1:8" s="80" customFormat="1">
      <c r="A321" s="82">
        <v>10042860</v>
      </c>
      <c r="B321" s="82" t="s">
        <v>1219</v>
      </c>
      <c r="C321" s="82" t="s">
        <v>1218</v>
      </c>
      <c r="D321" s="82" t="s">
        <v>450</v>
      </c>
      <c r="E321" s="89">
        <v>40647</v>
      </c>
      <c r="F321" s="83">
        <v>0.29462962962962963</v>
      </c>
      <c r="G321" s="82" t="s">
        <v>1344</v>
      </c>
      <c r="H321" s="82" t="s">
        <v>1345</v>
      </c>
    </row>
    <row r="322" spans="1:8" s="80" customFormat="1">
      <c r="A322" s="82">
        <v>10042860</v>
      </c>
      <c r="B322" s="82" t="s">
        <v>1219</v>
      </c>
      <c r="C322" s="82" t="s">
        <v>1218</v>
      </c>
      <c r="D322" s="82" t="s">
        <v>450</v>
      </c>
      <c r="E322" s="89">
        <v>40647</v>
      </c>
      <c r="F322" s="83">
        <v>0.63670138888888894</v>
      </c>
      <c r="G322" s="82" t="s">
        <v>1346</v>
      </c>
      <c r="H322" s="82" t="s">
        <v>1347</v>
      </c>
    </row>
    <row r="323" spans="1:8" s="80" customFormat="1">
      <c r="A323" s="82">
        <v>10042860</v>
      </c>
      <c r="B323" s="82" t="s">
        <v>1219</v>
      </c>
      <c r="C323" s="82" t="s">
        <v>1218</v>
      </c>
      <c r="D323" s="82" t="s">
        <v>450</v>
      </c>
      <c r="E323" s="89">
        <v>40648</v>
      </c>
      <c r="F323" s="83">
        <v>0.64035879629629633</v>
      </c>
      <c r="G323" s="82" t="s">
        <v>1346</v>
      </c>
      <c r="H323" s="82" t="s">
        <v>1347</v>
      </c>
    </row>
    <row r="324" spans="1:8" s="80" customFormat="1">
      <c r="A324" s="82">
        <v>10042860</v>
      </c>
      <c r="B324" s="82" t="s">
        <v>1219</v>
      </c>
      <c r="C324" s="82" t="s">
        <v>1218</v>
      </c>
      <c r="D324" s="82" t="s">
        <v>450</v>
      </c>
      <c r="E324" s="89">
        <v>40648</v>
      </c>
      <c r="F324" s="83">
        <v>0.29562499999999997</v>
      </c>
      <c r="G324" s="82" t="s">
        <v>1344</v>
      </c>
      <c r="H324" s="82" t="s">
        <v>1345</v>
      </c>
    </row>
    <row r="325" spans="1:8" s="80" customFormat="1">
      <c r="A325" s="82">
        <v>10042860</v>
      </c>
      <c r="B325" s="82" t="s">
        <v>1219</v>
      </c>
      <c r="C325" s="82" t="s">
        <v>1218</v>
      </c>
      <c r="D325" s="82" t="s">
        <v>450</v>
      </c>
      <c r="E325" s="89">
        <v>40649</v>
      </c>
      <c r="F325" s="83">
        <v>0.29461805555555559</v>
      </c>
      <c r="G325" s="82" t="s">
        <v>1344</v>
      </c>
      <c r="H325" s="82" t="s">
        <v>1345</v>
      </c>
    </row>
    <row r="326" spans="1:8" s="80" customFormat="1">
      <c r="A326" s="82">
        <v>10042860</v>
      </c>
      <c r="B326" s="82" t="s">
        <v>1219</v>
      </c>
      <c r="C326" s="82" t="s">
        <v>1218</v>
      </c>
      <c r="D326" s="82" t="s">
        <v>450</v>
      </c>
      <c r="E326" s="89">
        <v>40649</v>
      </c>
      <c r="F326" s="83">
        <v>0.64041666666666663</v>
      </c>
      <c r="G326" s="82" t="s">
        <v>1346</v>
      </c>
      <c r="H326" s="82" t="s">
        <v>1347</v>
      </c>
    </row>
    <row r="327" spans="1:8" s="80" customFormat="1">
      <c r="A327" s="82">
        <v>10116815</v>
      </c>
      <c r="B327" s="82" t="s">
        <v>178</v>
      </c>
      <c r="C327" s="82" t="s">
        <v>177</v>
      </c>
      <c r="D327" s="82" t="s">
        <v>20</v>
      </c>
      <c r="E327" s="89">
        <v>40644</v>
      </c>
      <c r="F327" s="83">
        <v>0.29061342592592593</v>
      </c>
      <c r="G327" s="82" t="s">
        <v>1344</v>
      </c>
      <c r="H327" s="82" t="s">
        <v>1345</v>
      </c>
    </row>
    <row r="328" spans="1:8" s="80" customFormat="1">
      <c r="A328" s="82">
        <v>10116815</v>
      </c>
      <c r="B328" s="82" t="s">
        <v>178</v>
      </c>
      <c r="C328" s="82" t="s">
        <v>177</v>
      </c>
      <c r="D328" s="82" t="s">
        <v>20</v>
      </c>
      <c r="E328" s="89">
        <v>40644</v>
      </c>
      <c r="F328" s="83">
        <v>0.63207175925925929</v>
      </c>
      <c r="G328" s="82" t="s">
        <v>1346</v>
      </c>
      <c r="H328" s="82" t="s">
        <v>1347</v>
      </c>
    </row>
    <row r="329" spans="1:8" s="80" customFormat="1">
      <c r="A329" s="82">
        <v>10116815</v>
      </c>
      <c r="B329" s="82" t="s">
        <v>178</v>
      </c>
      <c r="C329" s="82" t="s">
        <v>177</v>
      </c>
      <c r="D329" s="82" t="s">
        <v>20</v>
      </c>
      <c r="E329" s="89">
        <v>40645</v>
      </c>
      <c r="F329" s="83">
        <v>0.29063657407407406</v>
      </c>
      <c r="G329" s="82" t="s">
        <v>1344</v>
      </c>
      <c r="H329" s="82" t="s">
        <v>1345</v>
      </c>
    </row>
    <row r="330" spans="1:8" s="80" customFormat="1">
      <c r="A330" s="82">
        <v>10116815</v>
      </c>
      <c r="B330" s="82" t="s">
        <v>178</v>
      </c>
      <c r="C330" s="82" t="s">
        <v>177</v>
      </c>
      <c r="D330" s="82" t="s">
        <v>20</v>
      </c>
      <c r="E330" s="89">
        <v>40645</v>
      </c>
      <c r="F330" s="83">
        <v>0.6341782407407407</v>
      </c>
      <c r="G330" s="82" t="s">
        <v>1346</v>
      </c>
      <c r="H330" s="82" t="s">
        <v>1347</v>
      </c>
    </row>
    <row r="331" spans="1:8" s="80" customFormat="1">
      <c r="A331" s="82">
        <v>10116815</v>
      </c>
      <c r="B331" s="82" t="s">
        <v>178</v>
      </c>
      <c r="C331" s="82" t="s">
        <v>177</v>
      </c>
      <c r="D331" s="82" t="s">
        <v>20</v>
      </c>
      <c r="E331" s="89">
        <v>40646</v>
      </c>
      <c r="F331" s="83">
        <v>0.28903935185185187</v>
      </c>
      <c r="G331" s="82" t="s">
        <v>1344</v>
      </c>
      <c r="H331" s="82" t="s">
        <v>1345</v>
      </c>
    </row>
    <row r="332" spans="1:8" s="80" customFormat="1">
      <c r="A332" s="82">
        <v>10116815</v>
      </c>
      <c r="B332" s="82" t="s">
        <v>178</v>
      </c>
      <c r="C332" s="82" t="s">
        <v>177</v>
      </c>
      <c r="D332" s="82" t="s">
        <v>20</v>
      </c>
      <c r="E332" s="89">
        <v>40646</v>
      </c>
      <c r="F332" s="83">
        <v>0.63579861111111113</v>
      </c>
      <c r="G332" s="82" t="s">
        <v>1346</v>
      </c>
      <c r="H332" s="82" t="s">
        <v>1347</v>
      </c>
    </row>
    <row r="333" spans="1:8" s="80" customFormat="1">
      <c r="A333">
        <v>10116815</v>
      </c>
      <c r="B333" t="s">
        <v>178</v>
      </c>
      <c r="C333" t="s">
        <v>177</v>
      </c>
      <c r="D333" t="s">
        <v>20</v>
      </c>
      <c r="E333" s="69">
        <v>40647</v>
      </c>
      <c r="F333" s="65">
        <v>0.29942129629629627</v>
      </c>
      <c r="G333" t="s">
        <v>1344</v>
      </c>
      <c r="H333" t="s">
        <v>1345</v>
      </c>
    </row>
    <row r="334" spans="1:8" s="80" customFormat="1">
      <c r="A334">
        <v>10116815</v>
      </c>
      <c r="B334" t="s">
        <v>178</v>
      </c>
      <c r="C334" t="s">
        <v>177</v>
      </c>
      <c r="D334" t="s">
        <v>20</v>
      </c>
      <c r="E334" s="69">
        <v>40647</v>
      </c>
      <c r="F334" s="65">
        <v>0.63277777777777777</v>
      </c>
      <c r="G334" t="s">
        <v>1346</v>
      </c>
      <c r="H334" t="s">
        <v>1347</v>
      </c>
    </row>
    <row r="335" spans="1:8" s="80" customFormat="1">
      <c r="A335">
        <v>10116815</v>
      </c>
      <c r="B335" t="s">
        <v>178</v>
      </c>
      <c r="C335" t="s">
        <v>177</v>
      </c>
      <c r="D335" t="s">
        <v>20</v>
      </c>
      <c r="E335" s="69">
        <v>40648</v>
      </c>
      <c r="F335" s="65">
        <v>0.63629629629629625</v>
      </c>
      <c r="G335" t="s">
        <v>1346</v>
      </c>
      <c r="H335" t="s">
        <v>1347</v>
      </c>
    </row>
    <row r="336" spans="1:8" s="80" customFormat="1">
      <c r="A336">
        <v>10116815</v>
      </c>
      <c r="B336" t="s">
        <v>178</v>
      </c>
      <c r="C336" t="s">
        <v>177</v>
      </c>
      <c r="D336" t="s">
        <v>20</v>
      </c>
      <c r="E336" s="69">
        <v>40648</v>
      </c>
      <c r="F336" s="65">
        <v>0.29344907407407406</v>
      </c>
      <c r="G336" t="s">
        <v>1344</v>
      </c>
      <c r="H336" t="s">
        <v>1345</v>
      </c>
    </row>
    <row r="337" spans="1:8" s="80" customFormat="1">
      <c r="A337">
        <v>10116815</v>
      </c>
      <c r="B337" t="s">
        <v>178</v>
      </c>
      <c r="C337" t="s">
        <v>177</v>
      </c>
      <c r="D337" t="s">
        <v>20</v>
      </c>
      <c r="E337" s="69">
        <v>40649</v>
      </c>
      <c r="F337" s="65">
        <v>0.29163194444444446</v>
      </c>
      <c r="G337" t="s">
        <v>1344</v>
      </c>
      <c r="H337" t="s">
        <v>1345</v>
      </c>
    </row>
    <row r="338" spans="1:8" s="80" customFormat="1">
      <c r="A338">
        <v>10116815</v>
      </c>
      <c r="B338" t="s">
        <v>178</v>
      </c>
      <c r="C338" t="s">
        <v>177</v>
      </c>
      <c r="D338" t="s">
        <v>20</v>
      </c>
      <c r="E338" s="69">
        <v>40649</v>
      </c>
      <c r="F338" s="65">
        <v>0.63747685185185188</v>
      </c>
      <c r="G338" t="s">
        <v>1346</v>
      </c>
      <c r="H338" t="s">
        <v>1347</v>
      </c>
    </row>
    <row r="339" spans="1:8" s="80" customFormat="1">
      <c r="A339">
        <v>10168958</v>
      </c>
      <c r="B339" t="s">
        <v>545</v>
      </c>
      <c r="C339" t="s">
        <v>586</v>
      </c>
      <c r="D339" t="s">
        <v>859</v>
      </c>
      <c r="E339" s="69">
        <v>40644</v>
      </c>
      <c r="F339" s="65">
        <v>0.60730324074074071</v>
      </c>
      <c r="G339" t="s">
        <v>1344</v>
      </c>
      <c r="H339" t="s">
        <v>1345</v>
      </c>
    </row>
    <row r="340" spans="1:8" s="80" customFormat="1">
      <c r="A340">
        <v>10168958</v>
      </c>
      <c r="B340" t="s">
        <v>545</v>
      </c>
      <c r="C340" t="s">
        <v>586</v>
      </c>
      <c r="D340" t="s">
        <v>859</v>
      </c>
      <c r="E340" s="69">
        <v>40644</v>
      </c>
      <c r="F340" s="65">
        <v>0.94569444444444439</v>
      </c>
      <c r="G340" t="s">
        <v>1346</v>
      </c>
      <c r="H340" t="s">
        <v>1347</v>
      </c>
    </row>
    <row r="341" spans="1:8" s="80" customFormat="1">
      <c r="A341">
        <v>10168958</v>
      </c>
      <c r="B341" t="s">
        <v>545</v>
      </c>
      <c r="C341" t="s">
        <v>586</v>
      </c>
      <c r="D341" t="s">
        <v>859</v>
      </c>
      <c r="E341" s="69">
        <v>40645</v>
      </c>
      <c r="F341" s="65">
        <v>0.60673611111111114</v>
      </c>
      <c r="G341" t="s">
        <v>1344</v>
      </c>
      <c r="H341" t="s">
        <v>1345</v>
      </c>
    </row>
    <row r="342" spans="1:8" s="80" customFormat="1">
      <c r="A342">
        <v>10168958</v>
      </c>
      <c r="B342" t="s">
        <v>545</v>
      </c>
      <c r="C342" t="s">
        <v>586</v>
      </c>
      <c r="D342" t="s">
        <v>859</v>
      </c>
      <c r="E342" s="69">
        <v>40645</v>
      </c>
      <c r="F342" s="65">
        <v>0.9471180555555555</v>
      </c>
      <c r="G342" t="s">
        <v>1346</v>
      </c>
      <c r="H342" t="s">
        <v>1347</v>
      </c>
    </row>
    <row r="343" spans="1:8" s="80" customFormat="1">
      <c r="A343">
        <v>10168958</v>
      </c>
      <c r="B343" t="s">
        <v>545</v>
      </c>
      <c r="C343" t="s">
        <v>586</v>
      </c>
      <c r="D343" t="s">
        <v>859</v>
      </c>
      <c r="E343" s="69">
        <v>40646</v>
      </c>
      <c r="F343" s="65">
        <v>0.62677083333333339</v>
      </c>
      <c r="G343" t="s">
        <v>1344</v>
      </c>
      <c r="H343" t="s">
        <v>1345</v>
      </c>
    </row>
    <row r="344" spans="1:8" s="80" customFormat="1">
      <c r="A344">
        <v>10168958</v>
      </c>
      <c r="B344" t="s">
        <v>545</v>
      </c>
      <c r="C344" t="s">
        <v>586</v>
      </c>
      <c r="D344" t="s">
        <v>859</v>
      </c>
      <c r="E344" s="69">
        <v>40646</v>
      </c>
      <c r="F344" s="65">
        <v>0.94635416666666661</v>
      </c>
      <c r="G344" t="s">
        <v>1346</v>
      </c>
      <c r="H344" t="s">
        <v>1347</v>
      </c>
    </row>
    <row r="345" spans="1:8" s="80" customFormat="1">
      <c r="A345">
        <v>10168958</v>
      </c>
      <c r="B345" t="s">
        <v>545</v>
      </c>
      <c r="C345" t="s">
        <v>586</v>
      </c>
      <c r="D345" t="s">
        <v>859</v>
      </c>
      <c r="E345" s="69">
        <v>40647</v>
      </c>
      <c r="F345" s="65">
        <v>0.60780092592592594</v>
      </c>
      <c r="G345" t="s">
        <v>1344</v>
      </c>
      <c r="H345" t="s">
        <v>1345</v>
      </c>
    </row>
    <row r="346" spans="1:8" s="80" customFormat="1">
      <c r="A346">
        <v>10168958</v>
      </c>
      <c r="B346" t="s">
        <v>545</v>
      </c>
      <c r="C346" t="s">
        <v>586</v>
      </c>
      <c r="D346" t="s">
        <v>859</v>
      </c>
      <c r="E346" s="69">
        <v>40647</v>
      </c>
      <c r="F346" s="65">
        <v>0.95089120370370372</v>
      </c>
      <c r="G346" t="s">
        <v>1346</v>
      </c>
      <c r="H346" t="s">
        <v>1347</v>
      </c>
    </row>
    <row r="347" spans="1:8" s="80" customFormat="1">
      <c r="A347">
        <v>10168958</v>
      </c>
      <c r="B347" t="s">
        <v>545</v>
      </c>
      <c r="C347" t="s">
        <v>586</v>
      </c>
      <c r="D347" t="s">
        <v>859</v>
      </c>
      <c r="E347" s="69">
        <v>40648</v>
      </c>
      <c r="F347" s="65">
        <v>0.94721064814814815</v>
      </c>
      <c r="G347" t="s">
        <v>1346</v>
      </c>
      <c r="H347" t="s">
        <v>1347</v>
      </c>
    </row>
    <row r="348" spans="1:8" s="80" customFormat="1">
      <c r="A348">
        <v>10168958</v>
      </c>
      <c r="B348" t="s">
        <v>545</v>
      </c>
      <c r="C348" t="s">
        <v>586</v>
      </c>
      <c r="D348" t="s">
        <v>859</v>
      </c>
      <c r="E348" s="69">
        <v>40648</v>
      </c>
      <c r="F348" s="65">
        <v>0.60913194444444441</v>
      </c>
      <c r="G348" t="s">
        <v>1344</v>
      </c>
      <c r="H348" t="s">
        <v>1345</v>
      </c>
    </row>
    <row r="349" spans="1:8" s="80" customFormat="1">
      <c r="A349">
        <v>10173910</v>
      </c>
      <c r="B349" t="s">
        <v>131</v>
      </c>
      <c r="C349" t="s">
        <v>129</v>
      </c>
      <c r="D349" t="s">
        <v>130</v>
      </c>
      <c r="E349" s="69">
        <v>40644</v>
      </c>
      <c r="F349" s="65">
        <v>0.614375</v>
      </c>
      <c r="G349" t="s">
        <v>1344</v>
      </c>
      <c r="H349" t="s">
        <v>1345</v>
      </c>
    </row>
    <row r="350" spans="1:8" s="80" customFormat="1">
      <c r="A350">
        <v>10173910</v>
      </c>
      <c r="B350" t="s">
        <v>131</v>
      </c>
      <c r="C350" t="s">
        <v>129</v>
      </c>
      <c r="D350" t="s">
        <v>130</v>
      </c>
      <c r="E350" s="69">
        <v>40644</v>
      </c>
      <c r="F350" s="65">
        <v>0.93787037037037047</v>
      </c>
      <c r="G350" t="s">
        <v>1346</v>
      </c>
      <c r="H350" t="s">
        <v>1347</v>
      </c>
    </row>
    <row r="351" spans="1:8" s="80" customFormat="1">
      <c r="A351">
        <v>10173910</v>
      </c>
      <c r="B351" t="s">
        <v>131</v>
      </c>
      <c r="C351" t="s">
        <v>129</v>
      </c>
      <c r="D351" t="s">
        <v>130</v>
      </c>
      <c r="E351" s="69">
        <v>40645</v>
      </c>
      <c r="F351" s="65">
        <v>0.61709490740740736</v>
      </c>
      <c r="G351" t="s">
        <v>1344</v>
      </c>
      <c r="H351" t="s">
        <v>1345</v>
      </c>
    </row>
    <row r="352" spans="1:8" s="80" customFormat="1">
      <c r="A352">
        <v>10173910</v>
      </c>
      <c r="B352" t="s">
        <v>131</v>
      </c>
      <c r="C352" t="s">
        <v>129</v>
      </c>
      <c r="D352" t="s">
        <v>130</v>
      </c>
      <c r="E352" s="69">
        <v>40645</v>
      </c>
      <c r="F352" s="65">
        <v>0.93579861111111118</v>
      </c>
      <c r="G352" t="s">
        <v>1346</v>
      </c>
      <c r="H352" t="s">
        <v>1347</v>
      </c>
    </row>
    <row r="353" spans="1:8" s="80" customFormat="1">
      <c r="A353">
        <v>10173910</v>
      </c>
      <c r="B353" t="s">
        <v>131</v>
      </c>
      <c r="C353" t="s">
        <v>129</v>
      </c>
      <c r="D353" t="s">
        <v>130</v>
      </c>
      <c r="E353" s="69">
        <v>40646</v>
      </c>
      <c r="F353" s="65">
        <v>0.61859953703703707</v>
      </c>
      <c r="G353" t="s">
        <v>1344</v>
      </c>
      <c r="H353" t="s">
        <v>1345</v>
      </c>
    </row>
    <row r="354" spans="1:8" s="80" customFormat="1">
      <c r="A354">
        <v>10173910</v>
      </c>
      <c r="B354" t="s">
        <v>131</v>
      </c>
      <c r="C354" t="s">
        <v>129</v>
      </c>
      <c r="D354" t="s">
        <v>130</v>
      </c>
      <c r="E354" s="69">
        <v>40646</v>
      </c>
      <c r="F354" s="65">
        <v>0.93407407407407417</v>
      </c>
      <c r="G354" t="s">
        <v>1346</v>
      </c>
      <c r="H354" t="s">
        <v>1347</v>
      </c>
    </row>
    <row r="355" spans="1:8" s="80" customFormat="1">
      <c r="A355">
        <v>10173910</v>
      </c>
      <c r="B355" t="s">
        <v>131</v>
      </c>
      <c r="C355" t="s">
        <v>129</v>
      </c>
      <c r="D355" t="s">
        <v>130</v>
      </c>
      <c r="E355" s="69">
        <v>40647</v>
      </c>
      <c r="F355" s="65">
        <v>0.61990740740740746</v>
      </c>
      <c r="G355" t="s">
        <v>1344</v>
      </c>
      <c r="H355" t="s">
        <v>1345</v>
      </c>
    </row>
    <row r="356" spans="1:8" s="80" customFormat="1">
      <c r="A356">
        <v>10173910</v>
      </c>
      <c r="B356" t="s">
        <v>131</v>
      </c>
      <c r="C356" t="s">
        <v>129</v>
      </c>
      <c r="D356" t="s">
        <v>130</v>
      </c>
      <c r="E356" s="69">
        <v>40647</v>
      </c>
      <c r="F356" s="65">
        <v>0.935613425925926</v>
      </c>
      <c r="G356" t="s">
        <v>1346</v>
      </c>
      <c r="H356" t="s">
        <v>1347</v>
      </c>
    </row>
    <row r="357" spans="1:8" s="80" customFormat="1">
      <c r="A357">
        <v>10173910</v>
      </c>
      <c r="B357" t="s">
        <v>131</v>
      </c>
      <c r="C357" t="s">
        <v>129</v>
      </c>
      <c r="D357" t="s">
        <v>130</v>
      </c>
      <c r="E357" s="69">
        <v>40648</v>
      </c>
      <c r="F357" s="65">
        <v>0.93451388888888898</v>
      </c>
      <c r="G357" t="s">
        <v>1346</v>
      </c>
      <c r="H357" t="s">
        <v>1347</v>
      </c>
    </row>
    <row r="358" spans="1:8" s="80" customFormat="1">
      <c r="A358">
        <v>10173910</v>
      </c>
      <c r="B358" t="s">
        <v>131</v>
      </c>
      <c r="C358" t="s">
        <v>129</v>
      </c>
      <c r="D358" t="s">
        <v>130</v>
      </c>
      <c r="E358" s="69">
        <v>40648</v>
      </c>
      <c r="F358" s="65">
        <v>0.6189351851851852</v>
      </c>
      <c r="G358" t="s">
        <v>1344</v>
      </c>
      <c r="H358" t="s">
        <v>1345</v>
      </c>
    </row>
    <row r="359" spans="1:8" s="80" customFormat="1">
      <c r="A359">
        <v>10173910</v>
      </c>
      <c r="B359" t="s">
        <v>131</v>
      </c>
      <c r="C359" t="s">
        <v>129</v>
      </c>
      <c r="D359" t="s">
        <v>130</v>
      </c>
      <c r="E359" s="69">
        <v>40649</v>
      </c>
      <c r="F359" s="65">
        <v>0.6178703703703704</v>
      </c>
      <c r="G359" t="s">
        <v>1344</v>
      </c>
      <c r="H359" t="s">
        <v>1345</v>
      </c>
    </row>
    <row r="360" spans="1:8" s="80" customFormat="1">
      <c r="A360">
        <v>10173910</v>
      </c>
      <c r="B360" t="s">
        <v>131</v>
      </c>
      <c r="C360" t="s">
        <v>129</v>
      </c>
      <c r="D360" t="s">
        <v>130</v>
      </c>
      <c r="E360" s="69">
        <v>40649</v>
      </c>
      <c r="F360" s="65">
        <v>0.93439814814814814</v>
      </c>
      <c r="G360" t="s">
        <v>1346</v>
      </c>
      <c r="H360" t="s">
        <v>1347</v>
      </c>
    </row>
    <row r="361" spans="1:8" s="80" customFormat="1">
      <c r="A361">
        <v>10199755</v>
      </c>
      <c r="B361" t="s">
        <v>491</v>
      </c>
      <c r="C361" t="s">
        <v>485</v>
      </c>
      <c r="D361" t="s">
        <v>87</v>
      </c>
      <c r="E361" s="69">
        <v>40644</v>
      </c>
      <c r="F361" s="65">
        <v>0.9212731481481482</v>
      </c>
      <c r="G361" t="s">
        <v>1344</v>
      </c>
      <c r="H361" t="s">
        <v>1345</v>
      </c>
    </row>
    <row r="362" spans="1:8" s="80" customFormat="1">
      <c r="A362">
        <v>10199755</v>
      </c>
      <c r="B362" t="s">
        <v>491</v>
      </c>
      <c r="C362" t="s">
        <v>485</v>
      </c>
      <c r="D362" t="s">
        <v>87</v>
      </c>
      <c r="E362" s="69">
        <v>40645</v>
      </c>
      <c r="F362" s="65">
        <v>0.32465277777777779</v>
      </c>
      <c r="G362" t="s">
        <v>1346</v>
      </c>
      <c r="H362" t="s">
        <v>1347</v>
      </c>
    </row>
    <row r="363" spans="1:8" s="80" customFormat="1">
      <c r="A363">
        <v>10199755</v>
      </c>
      <c r="B363" t="s">
        <v>491</v>
      </c>
      <c r="C363" t="s">
        <v>485</v>
      </c>
      <c r="D363" t="s">
        <v>87</v>
      </c>
      <c r="E363" s="69">
        <v>40645</v>
      </c>
      <c r="F363" s="65">
        <v>0.91899305555555555</v>
      </c>
      <c r="G363" t="s">
        <v>1344</v>
      </c>
      <c r="H363" t="s">
        <v>1345</v>
      </c>
    </row>
    <row r="364" spans="1:8" s="80" customFormat="1">
      <c r="A364">
        <v>10199755</v>
      </c>
      <c r="B364" t="s">
        <v>491</v>
      </c>
      <c r="C364" t="s">
        <v>485</v>
      </c>
      <c r="D364" t="s">
        <v>87</v>
      </c>
      <c r="E364" s="69">
        <v>40646</v>
      </c>
      <c r="F364" s="65">
        <v>0.32504629629629628</v>
      </c>
      <c r="G364" t="s">
        <v>1346</v>
      </c>
      <c r="H364" t="s">
        <v>1347</v>
      </c>
    </row>
    <row r="365" spans="1:8" s="80" customFormat="1">
      <c r="A365">
        <v>10199755</v>
      </c>
      <c r="B365" t="s">
        <v>491</v>
      </c>
      <c r="C365" t="s">
        <v>485</v>
      </c>
      <c r="D365" t="s">
        <v>87</v>
      </c>
      <c r="E365" s="69">
        <v>40646</v>
      </c>
      <c r="F365" s="65">
        <v>0.92133101851851851</v>
      </c>
      <c r="G365" t="s">
        <v>1344</v>
      </c>
      <c r="H365" t="s">
        <v>1345</v>
      </c>
    </row>
    <row r="366" spans="1:8" s="80" customFormat="1">
      <c r="A366">
        <v>10199755</v>
      </c>
      <c r="B366" t="s">
        <v>491</v>
      </c>
      <c r="C366" t="s">
        <v>485</v>
      </c>
      <c r="D366" t="s">
        <v>87</v>
      </c>
      <c r="E366" s="69">
        <v>40647</v>
      </c>
      <c r="F366" s="65">
        <v>0.32642361111111112</v>
      </c>
      <c r="G366" t="s">
        <v>1346</v>
      </c>
      <c r="H366" t="s">
        <v>1347</v>
      </c>
    </row>
    <row r="367" spans="1:8" s="80" customFormat="1">
      <c r="A367">
        <v>10199755</v>
      </c>
      <c r="B367" t="s">
        <v>491</v>
      </c>
      <c r="C367" t="s">
        <v>485</v>
      </c>
      <c r="D367" t="s">
        <v>87</v>
      </c>
      <c r="E367" s="69">
        <v>40647</v>
      </c>
      <c r="F367" s="65">
        <v>0.92009259259259257</v>
      </c>
      <c r="G367" t="s">
        <v>1344</v>
      </c>
      <c r="H367" t="s">
        <v>1345</v>
      </c>
    </row>
    <row r="368" spans="1:8" s="80" customFormat="1">
      <c r="A368">
        <v>10199755</v>
      </c>
      <c r="B368" t="s">
        <v>491</v>
      </c>
      <c r="C368" t="s">
        <v>485</v>
      </c>
      <c r="D368" t="s">
        <v>87</v>
      </c>
      <c r="E368" s="69">
        <v>40648</v>
      </c>
      <c r="F368" s="65">
        <v>0.9200694444444445</v>
      </c>
      <c r="G368" t="s">
        <v>1344</v>
      </c>
      <c r="H368" t="s">
        <v>1345</v>
      </c>
    </row>
    <row r="369" spans="1:8" s="80" customFormat="1">
      <c r="A369">
        <v>10199755</v>
      </c>
      <c r="B369" t="s">
        <v>491</v>
      </c>
      <c r="C369" t="s">
        <v>485</v>
      </c>
      <c r="D369" t="s">
        <v>87</v>
      </c>
      <c r="E369" s="69">
        <v>40648</v>
      </c>
      <c r="F369" s="65">
        <v>0.32622685185185185</v>
      </c>
      <c r="G369" t="s">
        <v>1346</v>
      </c>
      <c r="H369" t="s">
        <v>1347</v>
      </c>
    </row>
    <row r="370" spans="1:8" s="80" customFormat="1">
      <c r="A370">
        <v>10199755</v>
      </c>
      <c r="B370" t="s">
        <v>491</v>
      </c>
      <c r="C370" t="s">
        <v>485</v>
      </c>
      <c r="D370" t="s">
        <v>87</v>
      </c>
      <c r="E370" s="69">
        <v>40649</v>
      </c>
      <c r="F370" s="65">
        <v>0.32681712962962961</v>
      </c>
      <c r="G370" t="s">
        <v>1346</v>
      </c>
      <c r="H370" t="s">
        <v>1347</v>
      </c>
    </row>
    <row r="371" spans="1:8" s="80" customFormat="1">
      <c r="A371">
        <v>10311290</v>
      </c>
      <c r="B371" t="s">
        <v>1096</v>
      </c>
      <c r="C371" t="s">
        <v>950</v>
      </c>
      <c r="D371" t="s">
        <v>1095</v>
      </c>
      <c r="E371" s="69">
        <v>40644</v>
      </c>
      <c r="F371" s="65">
        <v>0.60641203703703705</v>
      </c>
      <c r="G371" t="s">
        <v>1344</v>
      </c>
      <c r="H371" t="s">
        <v>1345</v>
      </c>
    </row>
    <row r="372" spans="1:8" s="80" customFormat="1">
      <c r="A372">
        <v>10311290</v>
      </c>
      <c r="B372" t="s">
        <v>1096</v>
      </c>
      <c r="C372" t="s">
        <v>950</v>
      </c>
      <c r="D372" t="s">
        <v>1095</v>
      </c>
      <c r="E372" s="69">
        <v>40644</v>
      </c>
      <c r="F372" s="65">
        <v>0.94700231481481489</v>
      </c>
      <c r="G372" t="s">
        <v>1346</v>
      </c>
      <c r="H372" t="s">
        <v>1347</v>
      </c>
    </row>
    <row r="373" spans="1:8" s="80" customFormat="1">
      <c r="A373">
        <v>10311290</v>
      </c>
      <c r="B373" t="s">
        <v>1096</v>
      </c>
      <c r="C373" t="s">
        <v>950</v>
      </c>
      <c r="D373" t="s">
        <v>1095</v>
      </c>
      <c r="E373" s="69">
        <v>40645</v>
      </c>
      <c r="F373" s="65">
        <v>0.60631944444444441</v>
      </c>
      <c r="G373" t="s">
        <v>1344</v>
      </c>
      <c r="H373" t="s">
        <v>1345</v>
      </c>
    </row>
    <row r="374" spans="1:8" s="80" customFormat="1">
      <c r="A374">
        <v>10311290</v>
      </c>
      <c r="B374" t="s">
        <v>1096</v>
      </c>
      <c r="C374" t="s">
        <v>950</v>
      </c>
      <c r="D374" t="s">
        <v>1095</v>
      </c>
      <c r="E374" s="69">
        <v>40645</v>
      </c>
      <c r="F374" s="65">
        <v>0.94582175925925915</v>
      </c>
      <c r="G374" t="s">
        <v>1346</v>
      </c>
      <c r="H374" t="s">
        <v>1347</v>
      </c>
    </row>
    <row r="375" spans="1:8" s="80" customFormat="1">
      <c r="A375">
        <v>10311290</v>
      </c>
      <c r="B375" t="s">
        <v>1096</v>
      </c>
      <c r="C375" t="s">
        <v>950</v>
      </c>
      <c r="D375" t="s">
        <v>1095</v>
      </c>
      <c r="E375" s="69">
        <v>40646</v>
      </c>
      <c r="F375" s="65">
        <v>0.60854166666666665</v>
      </c>
      <c r="G375" t="s">
        <v>1344</v>
      </c>
      <c r="H375" t="s">
        <v>1345</v>
      </c>
    </row>
    <row r="376" spans="1:8" s="80" customFormat="1">
      <c r="A376">
        <v>10311290</v>
      </c>
      <c r="B376" t="s">
        <v>1096</v>
      </c>
      <c r="C376" t="s">
        <v>950</v>
      </c>
      <c r="D376" t="s">
        <v>1095</v>
      </c>
      <c r="E376" s="69">
        <v>40646</v>
      </c>
      <c r="F376" s="65">
        <v>0.94675925925925919</v>
      </c>
      <c r="G376" t="s">
        <v>1346</v>
      </c>
      <c r="H376" t="s">
        <v>1347</v>
      </c>
    </row>
    <row r="377" spans="1:8" s="80" customFormat="1">
      <c r="A377">
        <v>10311290</v>
      </c>
      <c r="B377" t="s">
        <v>1096</v>
      </c>
      <c r="C377" t="s">
        <v>950</v>
      </c>
      <c r="D377" t="s">
        <v>1095</v>
      </c>
      <c r="E377" s="69">
        <v>40647</v>
      </c>
      <c r="F377" s="65">
        <v>0.60657407407407404</v>
      </c>
      <c r="G377" t="s">
        <v>1344</v>
      </c>
      <c r="H377" t="s">
        <v>1345</v>
      </c>
    </row>
    <row r="378" spans="1:8" s="80" customFormat="1">
      <c r="A378">
        <v>10311290</v>
      </c>
      <c r="B378" t="s">
        <v>1096</v>
      </c>
      <c r="C378" t="s">
        <v>950</v>
      </c>
      <c r="D378" t="s">
        <v>1095</v>
      </c>
      <c r="E378" s="69">
        <v>40647</v>
      </c>
      <c r="F378" s="65">
        <v>0.94903935185185195</v>
      </c>
      <c r="G378" t="s">
        <v>1346</v>
      </c>
      <c r="H378" t="s">
        <v>1347</v>
      </c>
    </row>
    <row r="379" spans="1:8" s="80" customFormat="1">
      <c r="A379">
        <v>10311290</v>
      </c>
      <c r="B379" t="s">
        <v>1096</v>
      </c>
      <c r="C379" t="s">
        <v>950</v>
      </c>
      <c r="D379" t="s">
        <v>1095</v>
      </c>
      <c r="E379" s="69">
        <v>40648</v>
      </c>
      <c r="F379" s="65">
        <v>0.60898148148148146</v>
      </c>
      <c r="G379" t="s">
        <v>1344</v>
      </c>
      <c r="H379" t="s">
        <v>1345</v>
      </c>
    </row>
    <row r="380" spans="1:8" s="80" customFormat="1">
      <c r="A380">
        <v>10311290</v>
      </c>
      <c r="B380" t="s">
        <v>1096</v>
      </c>
      <c r="C380" t="s">
        <v>950</v>
      </c>
      <c r="D380" t="s">
        <v>1095</v>
      </c>
      <c r="E380" s="69">
        <v>40648</v>
      </c>
      <c r="F380" s="65">
        <v>0.94726851851851857</v>
      </c>
      <c r="G380" t="s">
        <v>1346</v>
      </c>
      <c r="H380" t="s">
        <v>1347</v>
      </c>
    </row>
    <row r="381" spans="1:8" s="80" customFormat="1">
      <c r="A381">
        <v>10311290</v>
      </c>
      <c r="B381" t="s">
        <v>1096</v>
      </c>
      <c r="C381" t="s">
        <v>950</v>
      </c>
      <c r="D381" t="s">
        <v>1095</v>
      </c>
      <c r="E381" s="69">
        <v>40649</v>
      </c>
      <c r="F381" s="65">
        <v>0.95010416666666664</v>
      </c>
      <c r="G381" t="s">
        <v>1346</v>
      </c>
      <c r="H381" t="s">
        <v>1347</v>
      </c>
    </row>
    <row r="382" spans="1:8" s="80" customFormat="1">
      <c r="A382">
        <v>10311290</v>
      </c>
      <c r="B382" t="s">
        <v>1096</v>
      </c>
      <c r="C382" t="s">
        <v>950</v>
      </c>
      <c r="D382" t="s">
        <v>1095</v>
      </c>
      <c r="E382" s="69">
        <v>40649</v>
      </c>
      <c r="F382" s="65">
        <v>0.61687499999999995</v>
      </c>
      <c r="G382" t="s">
        <v>1344</v>
      </c>
      <c r="H382" t="s">
        <v>1345</v>
      </c>
    </row>
    <row r="383" spans="1:8" s="80" customFormat="1">
      <c r="A383">
        <v>10407614</v>
      </c>
      <c r="B383" t="s">
        <v>636</v>
      </c>
      <c r="C383" t="s">
        <v>635</v>
      </c>
      <c r="D383" t="s">
        <v>635</v>
      </c>
      <c r="E383" s="69">
        <v>40644</v>
      </c>
      <c r="F383" s="65">
        <v>0.91611111111111121</v>
      </c>
      <c r="G383" t="s">
        <v>1344</v>
      </c>
      <c r="H383" t="s">
        <v>1345</v>
      </c>
    </row>
    <row r="384" spans="1:8" s="80" customFormat="1">
      <c r="A384">
        <v>10407614</v>
      </c>
      <c r="B384" t="s">
        <v>636</v>
      </c>
      <c r="C384" t="s">
        <v>635</v>
      </c>
      <c r="D384" t="s">
        <v>635</v>
      </c>
      <c r="E384" s="69">
        <v>40645</v>
      </c>
      <c r="F384" s="65">
        <v>0.31640046296296293</v>
      </c>
      <c r="G384" t="s">
        <v>1346</v>
      </c>
      <c r="H384" t="s">
        <v>1347</v>
      </c>
    </row>
    <row r="385" spans="1:8" s="80" customFormat="1">
      <c r="A385">
        <v>10407614</v>
      </c>
      <c r="B385" t="s">
        <v>636</v>
      </c>
      <c r="C385" t="s">
        <v>635</v>
      </c>
      <c r="D385" t="s">
        <v>635</v>
      </c>
      <c r="E385" s="69">
        <v>40645</v>
      </c>
      <c r="F385" s="65">
        <v>0.91314814814814815</v>
      </c>
      <c r="G385" t="s">
        <v>1344</v>
      </c>
      <c r="H385" t="s">
        <v>1345</v>
      </c>
    </row>
    <row r="386" spans="1:8" s="80" customFormat="1">
      <c r="A386">
        <v>10407614</v>
      </c>
      <c r="B386" t="s">
        <v>636</v>
      </c>
      <c r="C386" t="s">
        <v>635</v>
      </c>
      <c r="D386" t="s">
        <v>635</v>
      </c>
      <c r="E386" s="69">
        <v>40646</v>
      </c>
      <c r="F386" s="65">
        <v>0.31687500000000002</v>
      </c>
      <c r="G386" t="s">
        <v>1346</v>
      </c>
      <c r="H386" t="s">
        <v>1347</v>
      </c>
    </row>
    <row r="387" spans="1:8" s="80" customFormat="1">
      <c r="A387">
        <v>10407614</v>
      </c>
      <c r="B387" t="s">
        <v>636</v>
      </c>
      <c r="C387" t="s">
        <v>635</v>
      </c>
      <c r="D387" t="s">
        <v>635</v>
      </c>
      <c r="E387" s="69">
        <v>40646</v>
      </c>
      <c r="F387" s="65">
        <v>0.91276620370370365</v>
      </c>
      <c r="G387" t="s">
        <v>1344</v>
      </c>
      <c r="H387" t="s">
        <v>1345</v>
      </c>
    </row>
    <row r="388" spans="1:8" s="80" customFormat="1">
      <c r="A388">
        <v>10407614</v>
      </c>
      <c r="B388" t="s">
        <v>636</v>
      </c>
      <c r="C388" t="s">
        <v>635</v>
      </c>
      <c r="D388" t="s">
        <v>635</v>
      </c>
      <c r="E388" s="69">
        <v>40647</v>
      </c>
      <c r="F388" s="65">
        <v>0.32039351851851855</v>
      </c>
      <c r="G388" t="s">
        <v>1346</v>
      </c>
      <c r="H388" t="s">
        <v>1347</v>
      </c>
    </row>
    <row r="389" spans="1:8" s="80" customFormat="1">
      <c r="A389">
        <v>10407614</v>
      </c>
      <c r="B389" t="s">
        <v>636</v>
      </c>
      <c r="C389" t="s">
        <v>635</v>
      </c>
      <c r="D389" t="s">
        <v>635</v>
      </c>
      <c r="E389" s="69">
        <v>40647</v>
      </c>
      <c r="F389" s="65">
        <v>0.91437500000000005</v>
      </c>
      <c r="G389" t="s">
        <v>1344</v>
      </c>
      <c r="H389" t="s">
        <v>1345</v>
      </c>
    </row>
    <row r="390" spans="1:8" s="80" customFormat="1">
      <c r="A390">
        <v>10407614</v>
      </c>
      <c r="B390" t="s">
        <v>636</v>
      </c>
      <c r="C390" t="s">
        <v>635</v>
      </c>
      <c r="D390" t="s">
        <v>635</v>
      </c>
      <c r="E390" s="69">
        <v>40648</v>
      </c>
      <c r="F390" s="65">
        <v>0.91745370370370372</v>
      </c>
      <c r="G390" t="s">
        <v>1344</v>
      </c>
      <c r="H390" t="s">
        <v>1345</v>
      </c>
    </row>
    <row r="391" spans="1:8" s="80" customFormat="1">
      <c r="A391">
        <v>10407614</v>
      </c>
      <c r="B391" t="s">
        <v>636</v>
      </c>
      <c r="C391" t="s">
        <v>635</v>
      </c>
      <c r="D391" t="s">
        <v>635</v>
      </c>
      <c r="E391" s="69">
        <v>40648</v>
      </c>
      <c r="F391" s="65">
        <v>0.32021990740740741</v>
      </c>
      <c r="G391" t="s">
        <v>1346</v>
      </c>
      <c r="H391" t="s">
        <v>1347</v>
      </c>
    </row>
    <row r="392" spans="1:8" s="80" customFormat="1">
      <c r="A392">
        <v>10407614</v>
      </c>
      <c r="B392" t="s">
        <v>636</v>
      </c>
      <c r="C392" t="s">
        <v>635</v>
      </c>
      <c r="D392" t="s">
        <v>635</v>
      </c>
      <c r="E392" s="69">
        <v>40649</v>
      </c>
      <c r="F392" s="65">
        <v>0.3205324074074074</v>
      </c>
      <c r="G392" t="s">
        <v>1346</v>
      </c>
      <c r="H392" t="s">
        <v>1347</v>
      </c>
    </row>
    <row r="393" spans="1:8" s="80" customFormat="1">
      <c r="A393">
        <v>10572816</v>
      </c>
      <c r="B393" t="s">
        <v>169</v>
      </c>
      <c r="C393" t="s">
        <v>65</v>
      </c>
      <c r="D393" t="s">
        <v>364</v>
      </c>
      <c r="E393" s="69">
        <v>40644</v>
      </c>
      <c r="F393" s="65">
        <v>0.60702546296296289</v>
      </c>
      <c r="G393" t="s">
        <v>1344</v>
      </c>
      <c r="H393" t="s">
        <v>1345</v>
      </c>
    </row>
    <row r="394" spans="1:8" s="80" customFormat="1">
      <c r="A394">
        <v>10572816</v>
      </c>
      <c r="B394" t="s">
        <v>169</v>
      </c>
      <c r="C394" t="s">
        <v>65</v>
      </c>
      <c r="D394" t="s">
        <v>364</v>
      </c>
      <c r="E394" s="69">
        <v>40644</v>
      </c>
      <c r="F394" s="65">
        <v>0.9518402777777778</v>
      </c>
      <c r="G394" t="s">
        <v>1346</v>
      </c>
      <c r="H394" t="s">
        <v>1347</v>
      </c>
    </row>
    <row r="395" spans="1:8" s="80" customFormat="1">
      <c r="A395">
        <v>10572816</v>
      </c>
      <c r="B395" t="s">
        <v>169</v>
      </c>
      <c r="C395" t="s">
        <v>65</v>
      </c>
      <c r="D395" t="s">
        <v>364</v>
      </c>
      <c r="E395" s="69">
        <v>40645</v>
      </c>
      <c r="F395" s="65">
        <v>0.6068634259259259</v>
      </c>
      <c r="G395" t="s">
        <v>1344</v>
      </c>
      <c r="H395" t="s">
        <v>1345</v>
      </c>
    </row>
    <row r="396" spans="1:8" s="80" customFormat="1">
      <c r="A396">
        <v>10572816</v>
      </c>
      <c r="B396" t="s">
        <v>169</v>
      </c>
      <c r="C396" t="s">
        <v>65</v>
      </c>
      <c r="D396" t="s">
        <v>364</v>
      </c>
      <c r="E396" s="69">
        <v>40645</v>
      </c>
      <c r="F396" s="65">
        <v>0.9483449074074074</v>
      </c>
      <c r="G396" t="s">
        <v>1346</v>
      </c>
      <c r="H396" t="s">
        <v>1347</v>
      </c>
    </row>
    <row r="397" spans="1:8" s="80" customFormat="1">
      <c r="A397">
        <v>10572816</v>
      </c>
      <c r="B397" t="s">
        <v>169</v>
      </c>
      <c r="C397" t="s">
        <v>65</v>
      </c>
      <c r="D397" t="s">
        <v>364</v>
      </c>
      <c r="E397" s="69">
        <v>40646</v>
      </c>
      <c r="F397" s="65">
        <v>0.60883101851851851</v>
      </c>
      <c r="G397" t="s">
        <v>1344</v>
      </c>
      <c r="H397" t="s">
        <v>1345</v>
      </c>
    </row>
    <row r="398" spans="1:8" s="80" customFormat="1">
      <c r="A398">
        <v>10572816</v>
      </c>
      <c r="B398" t="s">
        <v>169</v>
      </c>
      <c r="C398" t="s">
        <v>65</v>
      </c>
      <c r="D398" t="s">
        <v>364</v>
      </c>
      <c r="E398" s="69">
        <v>40646</v>
      </c>
      <c r="F398" s="65">
        <v>0.94733796296296291</v>
      </c>
      <c r="G398" t="s">
        <v>1346</v>
      </c>
      <c r="H398" t="s">
        <v>1347</v>
      </c>
    </row>
    <row r="399" spans="1:8" s="80" customFormat="1">
      <c r="A399">
        <v>10572816</v>
      </c>
      <c r="B399" t="s">
        <v>169</v>
      </c>
      <c r="C399" t="s">
        <v>65</v>
      </c>
      <c r="D399" t="s">
        <v>364</v>
      </c>
      <c r="E399" s="69">
        <v>40647</v>
      </c>
      <c r="F399" s="65">
        <v>0.60792824074074081</v>
      </c>
      <c r="G399" t="s">
        <v>1344</v>
      </c>
      <c r="H399" t="s">
        <v>1345</v>
      </c>
    </row>
    <row r="400" spans="1:8" s="80" customFormat="1">
      <c r="A400">
        <v>10572816</v>
      </c>
      <c r="B400" t="s">
        <v>169</v>
      </c>
      <c r="C400" t="s">
        <v>65</v>
      </c>
      <c r="D400" t="s">
        <v>364</v>
      </c>
      <c r="E400" s="69">
        <v>40647</v>
      </c>
      <c r="F400" s="65">
        <v>0.94734953703703706</v>
      </c>
      <c r="G400" t="s">
        <v>1346</v>
      </c>
      <c r="H400" t="s">
        <v>1347</v>
      </c>
    </row>
    <row r="401" spans="1:8" s="80" customFormat="1">
      <c r="A401">
        <v>10572816</v>
      </c>
      <c r="B401" t="s">
        <v>169</v>
      </c>
      <c r="C401" t="s">
        <v>65</v>
      </c>
      <c r="D401" t="s">
        <v>364</v>
      </c>
      <c r="E401" s="69">
        <v>40648</v>
      </c>
      <c r="F401" s="65">
        <v>0.94944444444444442</v>
      </c>
      <c r="G401" t="s">
        <v>1346</v>
      </c>
      <c r="H401" t="s">
        <v>1347</v>
      </c>
    </row>
    <row r="402" spans="1:8" s="80" customFormat="1">
      <c r="A402">
        <v>10572816</v>
      </c>
      <c r="B402" t="s">
        <v>169</v>
      </c>
      <c r="C402" t="s">
        <v>65</v>
      </c>
      <c r="D402" t="s">
        <v>364</v>
      </c>
      <c r="E402" s="69">
        <v>40648</v>
      </c>
      <c r="F402" s="65">
        <v>0.609375</v>
      </c>
      <c r="G402" t="s">
        <v>1344</v>
      </c>
      <c r="H402" t="s">
        <v>1345</v>
      </c>
    </row>
    <row r="403" spans="1:8" s="80" customFormat="1">
      <c r="A403">
        <v>10572816</v>
      </c>
      <c r="B403" t="s">
        <v>169</v>
      </c>
      <c r="C403" t="s">
        <v>65</v>
      </c>
      <c r="D403" t="s">
        <v>364</v>
      </c>
      <c r="E403" s="69">
        <v>40649</v>
      </c>
      <c r="F403" s="65">
        <v>0.61692129629629633</v>
      </c>
      <c r="G403" t="s">
        <v>1344</v>
      </c>
      <c r="H403" t="s">
        <v>1345</v>
      </c>
    </row>
    <row r="404" spans="1:8" s="80" customFormat="1">
      <c r="A404">
        <v>10572816</v>
      </c>
      <c r="B404" t="s">
        <v>169</v>
      </c>
      <c r="C404" t="s">
        <v>65</v>
      </c>
      <c r="D404" t="s">
        <v>364</v>
      </c>
      <c r="E404" s="69">
        <v>40649</v>
      </c>
      <c r="F404" s="65">
        <v>0.94820601851851849</v>
      </c>
      <c r="G404" t="s">
        <v>1346</v>
      </c>
      <c r="H404" t="s">
        <v>1347</v>
      </c>
    </row>
    <row r="405" spans="1:8" s="80" customFormat="1">
      <c r="A405">
        <v>10835391</v>
      </c>
      <c r="B405" t="s">
        <v>990</v>
      </c>
      <c r="C405" t="s">
        <v>981</v>
      </c>
      <c r="D405" t="s">
        <v>859</v>
      </c>
      <c r="E405" s="69">
        <v>40644</v>
      </c>
      <c r="F405" s="65">
        <v>0.33281250000000001</v>
      </c>
      <c r="G405" t="s">
        <v>1344</v>
      </c>
      <c r="H405" t="s">
        <v>1345</v>
      </c>
    </row>
    <row r="406" spans="1:8" s="80" customFormat="1">
      <c r="A406">
        <v>10835391</v>
      </c>
      <c r="B406" t="s">
        <v>990</v>
      </c>
      <c r="C406" t="s">
        <v>981</v>
      </c>
      <c r="D406" t="s">
        <v>859</v>
      </c>
      <c r="E406" s="69">
        <v>40644</v>
      </c>
      <c r="F406" s="65">
        <v>0.6337962962962963</v>
      </c>
      <c r="G406" t="s">
        <v>1346</v>
      </c>
      <c r="H406" t="s">
        <v>1347</v>
      </c>
    </row>
    <row r="407" spans="1:8" s="80" customFormat="1">
      <c r="A407">
        <v>10835391</v>
      </c>
      <c r="B407" t="s">
        <v>990</v>
      </c>
      <c r="C407" t="s">
        <v>981</v>
      </c>
      <c r="D407" t="s">
        <v>859</v>
      </c>
      <c r="E407" s="69">
        <v>40645</v>
      </c>
      <c r="F407" s="65">
        <v>0.30464120370370368</v>
      </c>
      <c r="G407" t="s">
        <v>1344</v>
      </c>
      <c r="H407" t="s">
        <v>1345</v>
      </c>
    </row>
    <row r="408" spans="1:8" s="80" customFormat="1">
      <c r="A408">
        <v>10835391</v>
      </c>
      <c r="B408" t="s">
        <v>990</v>
      </c>
      <c r="C408" t="s">
        <v>981</v>
      </c>
      <c r="D408" t="s">
        <v>859</v>
      </c>
      <c r="E408" s="69">
        <v>40645</v>
      </c>
      <c r="F408" s="65">
        <v>0.62672453703703701</v>
      </c>
      <c r="G408" t="s">
        <v>1346</v>
      </c>
      <c r="H408" t="s">
        <v>1347</v>
      </c>
    </row>
    <row r="409" spans="1:8" s="80" customFormat="1">
      <c r="A409">
        <v>10835391</v>
      </c>
      <c r="B409" t="s">
        <v>990</v>
      </c>
      <c r="C409" t="s">
        <v>981</v>
      </c>
      <c r="D409" t="s">
        <v>859</v>
      </c>
      <c r="E409" s="69">
        <v>40646</v>
      </c>
      <c r="F409" s="65">
        <v>0.30350694444444443</v>
      </c>
      <c r="G409" t="s">
        <v>1344</v>
      </c>
      <c r="H409" t="s">
        <v>1345</v>
      </c>
    </row>
    <row r="410" spans="1:8" s="80" customFormat="1">
      <c r="A410">
        <v>10835391</v>
      </c>
      <c r="B410" t="s">
        <v>990</v>
      </c>
      <c r="C410" t="s">
        <v>981</v>
      </c>
      <c r="D410" t="s">
        <v>859</v>
      </c>
      <c r="E410" s="69">
        <v>40646</v>
      </c>
      <c r="F410" s="65">
        <v>0.64013888888888892</v>
      </c>
      <c r="G410" t="s">
        <v>1346</v>
      </c>
      <c r="H410" t="s">
        <v>1347</v>
      </c>
    </row>
    <row r="411" spans="1:8" s="80" customFormat="1">
      <c r="A411">
        <v>10835391</v>
      </c>
      <c r="B411" t="s">
        <v>990</v>
      </c>
      <c r="C411" t="s">
        <v>981</v>
      </c>
      <c r="D411" t="s">
        <v>859</v>
      </c>
      <c r="E411" s="69">
        <v>40647</v>
      </c>
      <c r="F411" s="65">
        <v>0.30040509259259257</v>
      </c>
      <c r="G411" t="s">
        <v>1344</v>
      </c>
      <c r="H411" t="s">
        <v>1345</v>
      </c>
    </row>
    <row r="412" spans="1:8" s="80" customFormat="1">
      <c r="A412">
        <v>10835391</v>
      </c>
      <c r="B412" t="s">
        <v>990</v>
      </c>
      <c r="C412" t="s">
        <v>981</v>
      </c>
      <c r="D412" t="s">
        <v>859</v>
      </c>
      <c r="E412" s="69">
        <v>40647</v>
      </c>
      <c r="F412" s="65">
        <v>0.63626157407407413</v>
      </c>
      <c r="G412" t="s">
        <v>1346</v>
      </c>
      <c r="H412" t="s">
        <v>1347</v>
      </c>
    </row>
    <row r="413" spans="1:8" s="80" customFormat="1">
      <c r="A413">
        <v>10835391</v>
      </c>
      <c r="B413" t="s">
        <v>990</v>
      </c>
      <c r="C413" t="s">
        <v>981</v>
      </c>
      <c r="D413" t="s">
        <v>859</v>
      </c>
      <c r="E413" s="69">
        <v>40648</v>
      </c>
      <c r="F413" s="65">
        <v>0.63063657407407414</v>
      </c>
      <c r="G413" t="s">
        <v>1346</v>
      </c>
      <c r="H413" t="s">
        <v>1347</v>
      </c>
    </row>
    <row r="414" spans="1:8" s="80" customFormat="1">
      <c r="A414">
        <v>10835391</v>
      </c>
      <c r="B414" t="s">
        <v>990</v>
      </c>
      <c r="C414" t="s">
        <v>981</v>
      </c>
      <c r="D414" t="s">
        <v>859</v>
      </c>
      <c r="E414" s="69">
        <v>40648</v>
      </c>
      <c r="F414" s="65">
        <v>0.33862268518518518</v>
      </c>
      <c r="G414" t="s">
        <v>1344</v>
      </c>
      <c r="H414" t="s">
        <v>1345</v>
      </c>
    </row>
    <row r="415" spans="1:8" s="80" customFormat="1">
      <c r="A415">
        <v>10835391</v>
      </c>
      <c r="B415" t="s">
        <v>990</v>
      </c>
      <c r="C415" t="s">
        <v>981</v>
      </c>
      <c r="D415" t="s">
        <v>859</v>
      </c>
      <c r="E415" s="69">
        <v>40649</v>
      </c>
      <c r="F415" s="65">
        <v>0.30953703703703705</v>
      </c>
      <c r="G415" t="s">
        <v>1344</v>
      </c>
      <c r="H415" t="s">
        <v>1345</v>
      </c>
    </row>
    <row r="416" spans="1:8" s="80" customFormat="1">
      <c r="A416">
        <v>10835391</v>
      </c>
      <c r="B416" t="s">
        <v>990</v>
      </c>
      <c r="C416" t="s">
        <v>981</v>
      </c>
      <c r="D416" t="s">
        <v>859</v>
      </c>
      <c r="E416" s="69">
        <v>40649</v>
      </c>
      <c r="F416" s="65">
        <v>0.62766203703703705</v>
      </c>
      <c r="G416" t="s">
        <v>1346</v>
      </c>
      <c r="H416" t="s">
        <v>1347</v>
      </c>
    </row>
    <row r="417" spans="1:8" s="80" customFormat="1">
      <c r="A417">
        <v>10849486</v>
      </c>
      <c r="B417" t="s">
        <v>1240</v>
      </c>
      <c r="C417" t="s">
        <v>1239</v>
      </c>
      <c r="D417" t="s">
        <v>1173</v>
      </c>
      <c r="E417" s="69">
        <v>40644</v>
      </c>
      <c r="F417" s="65">
        <v>0.60629629629629633</v>
      </c>
      <c r="G417" t="s">
        <v>1344</v>
      </c>
      <c r="H417" t="s">
        <v>1345</v>
      </c>
    </row>
    <row r="418" spans="1:8" s="80" customFormat="1">
      <c r="A418">
        <v>10849486</v>
      </c>
      <c r="B418" t="s">
        <v>1240</v>
      </c>
      <c r="C418" t="s">
        <v>1239</v>
      </c>
      <c r="D418" t="s">
        <v>1173</v>
      </c>
      <c r="E418" s="69">
        <v>40644</v>
      </c>
      <c r="F418" s="65">
        <v>0.94922453703703702</v>
      </c>
      <c r="G418" t="s">
        <v>1346</v>
      </c>
      <c r="H418" t="s">
        <v>1347</v>
      </c>
    </row>
    <row r="419" spans="1:8" s="80" customFormat="1">
      <c r="A419">
        <v>10849486</v>
      </c>
      <c r="B419" t="s">
        <v>1240</v>
      </c>
      <c r="C419" t="s">
        <v>1239</v>
      </c>
      <c r="D419" t="s">
        <v>1173</v>
      </c>
      <c r="E419" s="69">
        <v>40645</v>
      </c>
      <c r="F419" s="65">
        <v>0.60417824074074067</v>
      </c>
      <c r="G419" t="s">
        <v>1344</v>
      </c>
      <c r="H419" t="s">
        <v>1345</v>
      </c>
    </row>
    <row r="420" spans="1:8" s="80" customFormat="1">
      <c r="A420">
        <v>10849486</v>
      </c>
      <c r="B420" t="s">
        <v>1240</v>
      </c>
      <c r="C420" t="s">
        <v>1239</v>
      </c>
      <c r="D420" t="s">
        <v>1173</v>
      </c>
      <c r="E420" s="69">
        <v>40645</v>
      </c>
      <c r="F420" s="65">
        <v>0.94848379629629631</v>
      </c>
      <c r="G420" t="s">
        <v>1346</v>
      </c>
      <c r="H420" t="s">
        <v>1347</v>
      </c>
    </row>
    <row r="421" spans="1:8" s="80" customFormat="1">
      <c r="A421">
        <v>10849486</v>
      </c>
      <c r="B421" t="s">
        <v>1240</v>
      </c>
      <c r="C421" t="s">
        <v>1239</v>
      </c>
      <c r="D421" t="s">
        <v>1173</v>
      </c>
      <c r="E421" s="69">
        <v>40646</v>
      </c>
      <c r="F421" s="65">
        <v>0.54260416666666667</v>
      </c>
      <c r="G421" t="s">
        <v>1344</v>
      </c>
      <c r="H421" t="s">
        <v>1345</v>
      </c>
    </row>
    <row r="422" spans="1:8" s="80" customFormat="1">
      <c r="A422">
        <v>10849486</v>
      </c>
      <c r="B422" t="s">
        <v>1240</v>
      </c>
      <c r="C422" t="s">
        <v>1239</v>
      </c>
      <c r="D422" t="s">
        <v>1173</v>
      </c>
      <c r="E422" s="69">
        <v>40646</v>
      </c>
      <c r="F422" s="65">
        <v>0.94996527777777784</v>
      </c>
      <c r="G422" t="s">
        <v>1346</v>
      </c>
      <c r="H422" t="s">
        <v>1347</v>
      </c>
    </row>
    <row r="423" spans="1:8" s="80" customFormat="1">
      <c r="A423">
        <v>10849486</v>
      </c>
      <c r="B423" t="s">
        <v>1240</v>
      </c>
      <c r="C423" t="s">
        <v>1239</v>
      </c>
      <c r="D423" t="s">
        <v>1173</v>
      </c>
      <c r="E423" s="69">
        <v>40647</v>
      </c>
      <c r="F423" s="65">
        <v>0.60456018518518517</v>
      </c>
      <c r="G423" t="s">
        <v>1344</v>
      </c>
      <c r="H423" t="s">
        <v>1345</v>
      </c>
    </row>
    <row r="424" spans="1:8" s="80" customFormat="1">
      <c r="A424">
        <v>10849486</v>
      </c>
      <c r="B424" t="s">
        <v>1240</v>
      </c>
      <c r="C424" t="s">
        <v>1239</v>
      </c>
      <c r="D424" t="s">
        <v>1173</v>
      </c>
      <c r="E424" s="69">
        <v>40647</v>
      </c>
      <c r="F424" s="65">
        <v>0.95010416666666664</v>
      </c>
      <c r="G424" t="s">
        <v>1346</v>
      </c>
      <c r="H424" t="s">
        <v>1347</v>
      </c>
    </row>
    <row r="425" spans="1:8" s="80" customFormat="1">
      <c r="A425">
        <v>10849486</v>
      </c>
      <c r="B425" t="s">
        <v>1240</v>
      </c>
      <c r="C425" t="s">
        <v>1239</v>
      </c>
      <c r="D425" t="s">
        <v>1173</v>
      </c>
      <c r="E425" s="69">
        <v>40648</v>
      </c>
      <c r="F425" s="65">
        <v>0.95008101851851856</v>
      </c>
      <c r="G425" t="s">
        <v>1346</v>
      </c>
      <c r="H425" t="s">
        <v>1347</v>
      </c>
    </row>
    <row r="426" spans="1:8" s="80" customFormat="1">
      <c r="A426">
        <v>10849486</v>
      </c>
      <c r="B426" t="s">
        <v>1240</v>
      </c>
      <c r="C426" t="s">
        <v>1239</v>
      </c>
      <c r="D426" t="s">
        <v>1173</v>
      </c>
      <c r="E426" s="69">
        <v>40648</v>
      </c>
      <c r="F426" s="65">
        <v>0.60755787037037035</v>
      </c>
      <c r="G426" t="s">
        <v>1344</v>
      </c>
      <c r="H426" t="s">
        <v>1345</v>
      </c>
    </row>
    <row r="427" spans="1:8" s="80" customFormat="1">
      <c r="A427">
        <v>10849486</v>
      </c>
      <c r="B427" t="s">
        <v>1240</v>
      </c>
      <c r="C427" t="s">
        <v>1239</v>
      </c>
      <c r="D427" t="s">
        <v>1173</v>
      </c>
      <c r="E427" s="69">
        <v>40649</v>
      </c>
      <c r="F427" s="65">
        <v>0.61503472222222222</v>
      </c>
      <c r="G427" t="s">
        <v>1344</v>
      </c>
      <c r="H427" t="s">
        <v>1345</v>
      </c>
    </row>
    <row r="428" spans="1:8" s="80" customFormat="1">
      <c r="A428">
        <v>10849486</v>
      </c>
      <c r="B428" t="s">
        <v>1240</v>
      </c>
      <c r="C428" t="s">
        <v>1239</v>
      </c>
      <c r="D428" t="s">
        <v>1173</v>
      </c>
      <c r="E428" s="69">
        <v>40649</v>
      </c>
      <c r="F428" s="65">
        <v>0.955011574074074</v>
      </c>
      <c r="G428" t="s">
        <v>1346</v>
      </c>
      <c r="H428" t="s">
        <v>1347</v>
      </c>
    </row>
    <row r="429" spans="1:8" s="80" customFormat="1">
      <c r="A429">
        <v>10869222</v>
      </c>
      <c r="B429" t="s">
        <v>169</v>
      </c>
      <c r="C429" t="s">
        <v>574</v>
      </c>
      <c r="D429" t="s">
        <v>575</v>
      </c>
      <c r="E429" s="69">
        <v>40645</v>
      </c>
      <c r="F429" s="65">
        <v>0.61715277777777777</v>
      </c>
      <c r="G429" t="s">
        <v>1344</v>
      </c>
      <c r="H429" t="s">
        <v>1345</v>
      </c>
    </row>
    <row r="430" spans="1:8" s="80" customFormat="1">
      <c r="A430">
        <v>10869222</v>
      </c>
      <c r="B430" t="s">
        <v>169</v>
      </c>
      <c r="C430" t="s">
        <v>574</v>
      </c>
      <c r="D430" t="s">
        <v>575</v>
      </c>
      <c r="E430" s="69">
        <v>40645</v>
      </c>
      <c r="F430" s="65">
        <v>0.93587962962962967</v>
      </c>
      <c r="G430" t="s">
        <v>1346</v>
      </c>
      <c r="H430" t="s">
        <v>1347</v>
      </c>
    </row>
    <row r="431" spans="1:8" s="80" customFormat="1">
      <c r="A431">
        <v>10869222</v>
      </c>
      <c r="B431" t="s">
        <v>169</v>
      </c>
      <c r="C431" t="s">
        <v>574</v>
      </c>
      <c r="D431" t="s">
        <v>575</v>
      </c>
      <c r="E431" s="69">
        <v>40646</v>
      </c>
      <c r="F431" s="65">
        <v>0.61866898148148153</v>
      </c>
      <c r="G431" t="s">
        <v>1344</v>
      </c>
      <c r="H431" t="s">
        <v>1345</v>
      </c>
    </row>
    <row r="432" spans="1:8" s="80" customFormat="1">
      <c r="A432">
        <v>10869222</v>
      </c>
      <c r="B432" t="s">
        <v>169</v>
      </c>
      <c r="C432" t="s">
        <v>574</v>
      </c>
      <c r="D432" t="s">
        <v>575</v>
      </c>
      <c r="E432" s="69">
        <v>40646</v>
      </c>
      <c r="F432" s="65">
        <v>0.93429398148148157</v>
      </c>
      <c r="G432" t="s">
        <v>1346</v>
      </c>
      <c r="H432" t="s">
        <v>1347</v>
      </c>
    </row>
    <row r="433" spans="1:8" s="80" customFormat="1">
      <c r="A433">
        <v>10869222</v>
      </c>
      <c r="B433" t="s">
        <v>169</v>
      </c>
      <c r="C433" t="s">
        <v>574</v>
      </c>
      <c r="D433" t="s">
        <v>575</v>
      </c>
      <c r="E433" s="69">
        <v>40647</v>
      </c>
      <c r="F433" s="65">
        <v>0.62002314814814818</v>
      </c>
      <c r="G433" t="s">
        <v>1344</v>
      </c>
      <c r="H433" t="s">
        <v>1345</v>
      </c>
    </row>
    <row r="434" spans="1:8" s="80" customFormat="1">
      <c r="A434">
        <v>10869222</v>
      </c>
      <c r="B434" t="s">
        <v>169</v>
      </c>
      <c r="C434" t="s">
        <v>574</v>
      </c>
      <c r="D434" t="s">
        <v>575</v>
      </c>
      <c r="E434" s="69">
        <v>40647</v>
      </c>
      <c r="F434" s="65">
        <v>0.93570601851851853</v>
      </c>
      <c r="G434" t="s">
        <v>1346</v>
      </c>
      <c r="H434" t="s">
        <v>1347</v>
      </c>
    </row>
    <row r="435" spans="1:8" s="80" customFormat="1">
      <c r="A435">
        <v>10869222</v>
      </c>
      <c r="B435" t="s">
        <v>169</v>
      </c>
      <c r="C435" t="s">
        <v>574</v>
      </c>
      <c r="D435" t="s">
        <v>575</v>
      </c>
      <c r="E435" s="69">
        <v>40648</v>
      </c>
      <c r="F435" s="65">
        <v>0.61910879629629634</v>
      </c>
      <c r="G435" t="s">
        <v>1344</v>
      </c>
      <c r="H435" t="s">
        <v>1345</v>
      </c>
    </row>
    <row r="436" spans="1:8" s="80" customFormat="1">
      <c r="A436">
        <v>10869222</v>
      </c>
      <c r="B436" t="s">
        <v>169</v>
      </c>
      <c r="C436" t="s">
        <v>574</v>
      </c>
      <c r="D436" t="s">
        <v>575</v>
      </c>
      <c r="E436" s="69">
        <v>40648</v>
      </c>
      <c r="F436" s="65">
        <v>0.93467592592592597</v>
      </c>
      <c r="G436" t="s">
        <v>1346</v>
      </c>
      <c r="H436" t="s">
        <v>1347</v>
      </c>
    </row>
    <row r="437" spans="1:8" s="80" customFormat="1">
      <c r="A437">
        <v>10869222</v>
      </c>
      <c r="B437" t="s">
        <v>169</v>
      </c>
      <c r="C437" t="s">
        <v>574</v>
      </c>
      <c r="D437" t="s">
        <v>575</v>
      </c>
      <c r="E437" s="69">
        <v>40649</v>
      </c>
      <c r="F437" s="65">
        <v>0.93452546296296291</v>
      </c>
      <c r="G437" t="s">
        <v>1346</v>
      </c>
      <c r="H437" t="s">
        <v>1347</v>
      </c>
    </row>
    <row r="438" spans="1:8" s="80" customFormat="1">
      <c r="A438">
        <v>10869222</v>
      </c>
      <c r="B438" t="s">
        <v>169</v>
      </c>
      <c r="C438" t="s">
        <v>574</v>
      </c>
      <c r="D438" t="s">
        <v>575</v>
      </c>
      <c r="E438" s="69">
        <v>40649</v>
      </c>
      <c r="F438" s="65">
        <v>0.60996527777777776</v>
      </c>
      <c r="G438" t="s">
        <v>1344</v>
      </c>
      <c r="H438" t="s">
        <v>1345</v>
      </c>
    </row>
    <row r="439" spans="1:8" s="80" customFormat="1">
      <c r="A439">
        <v>10970380</v>
      </c>
      <c r="B439" t="s">
        <v>549</v>
      </c>
      <c r="C439" t="s">
        <v>544</v>
      </c>
      <c r="D439" t="s">
        <v>37</v>
      </c>
      <c r="E439" s="69">
        <v>40644</v>
      </c>
      <c r="F439" s="65">
        <v>0.92774305555555558</v>
      </c>
      <c r="G439" t="s">
        <v>1344</v>
      </c>
      <c r="H439" t="s">
        <v>1345</v>
      </c>
    </row>
    <row r="440" spans="1:8" s="80" customFormat="1">
      <c r="A440">
        <v>10970380</v>
      </c>
      <c r="B440" t="s">
        <v>549</v>
      </c>
      <c r="C440" t="s">
        <v>544</v>
      </c>
      <c r="D440" t="s">
        <v>37</v>
      </c>
      <c r="E440" s="69">
        <v>40645</v>
      </c>
      <c r="F440" s="65">
        <v>0.31631944444444443</v>
      </c>
      <c r="G440" t="s">
        <v>1346</v>
      </c>
      <c r="H440" t="s">
        <v>1347</v>
      </c>
    </row>
    <row r="441" spans="1:8" s="80" customFormat="1">
      <c r="A441">
        <v>10970380</v>
      </c>
      <c r="B441" t="s">
        <v>549</v>
      </c>
      <c r="C441" t="s">
        <v>544</v>
      </c>
      <c r="D441" t="s">
        <v>37</v>
      </c>
      <c r="E441" s="69">
        <v>40645</v>
      </c>
      <c r="F441" s="65">
        <v>0.92920138888888892</v>
      </c>
      <c r="G441" t="s">
        <v>1344</v>
      </c>
      <c r="H441" t="s">
        <v>1345</v>
      </c>
    </row>
    <row r="442" spans="1:8" s="80" customFormat="1">
      <c r="A442">
        <v>10970380</v>
      </c>
      <c r="B442" t="s">
        <v>549</v>
      </c>
      <c r="C442" t="s">
        <v>544</v>
      </c>
      <c r="D442" t="s">
        <v>37</v>
      </c>
      <c r="E442" s="69">
        <v>40646</v>
      </c>
      <c r="F442" s="65">
        <v>0.31649305555555557</v>
      </c>
      <c r="G442" t="s">
        <v>1346</v>
      </c>
      <c r="H442" t="s">
        <v>1347</v>
      </c>
    </row>
    <row r="443" spans="1:8" s="80" customFormat="1">
      <c r="A443">
        <v>10970380</v>
      </c>
      <c r="B443" t="s">
        <v>549</v>
      </c>
      <c r="C443" t="s">
        <v>544</v>
      </c>
      <c r="D443" t="s">
        <v>37</v>
      </c>
      <c r="E443" s="69">
        <v>40646</v>
      </c>
      <c r="F443" s="65">
        <v>0.92723379629629632</v>
      </c>
      <c r="G443" t="s">
        <v>1344</v>
      </c>
      <c r="H443" t="s">
        <v>1345</v>
      </c>
    </row>
    <row r="444" spans="1:8" s="80" customFormat="1">
      <c r="A444">
        <v>10970380</v>
      </c>
      <c r="B444" t="s">
        <v>549</v>
      </c>
      <c r="C444" t="s">
        <v>544</v>
      </c>
      <c r="D444" t="s">
        <v>37</v>
      </c>
      <c r="E444" s="69">
        <v>40647</v>
      </c>
      <c r="F444" s="65">
        <v>0.31503472222222223</v>
      </c>
      <c r="G444" t="s">
        <v>1346</v>
      </c>
      <c r="H444" t="s">
        <v>1347</v>
      </c>
    </row>
    <row r="445" spans="1:8" s="80" customFormat="1">
      <c r="A445">
        <v>10970380</v>
      </c>
      <c r="B445" t="s">
        <v>549</v>
      </c>
      <c r="C445" t="s">
        <v>544</v>
      </c>
      <c r="D445" t="s">
        <v>37</v>
      </c>
      <c r="E445" s="69">
        <v>40647</v>
      </c>
      <c r="F445" s="65">
        <v>0.92983796296296306</v>
      </c>
      <c r="G445" t="s">
        <v>1344</v>
      </c>
      <c r="H445" t="s">
        <v>1345</v>
      </c>
    </row>
    <row r="446" spans="1:8" s="80" customFormat="1">
      <c r="A446">
        <v>10970380</v>
      </c>
      <c r="B446" t="s">
        <v>549</v>
      </c>
      <c r="C446" t="s">
        <v>544</v>
      </c>
      <c r="D446" t="s">
        <v>37</v>
      </c>
      <c r="E446" s="69">
        <v>40648</v>
      </c>
      <c r="F446" s="65">
        <v>0.92983796296296306</v>
      </c>
      <c r="G446" t="s">
        <v>1344</v>
      </c>
      <c r="H446" t="s">
        <v>1345</v>
      </c>
    </row>
    <row r="447" spans="1:8" s="80" customFormat="1">
      <c r="A447">
        <v>10970380</v>
      </c>
      <c r="B447" t="s">
        <v>549</v>
      </c>
      <c r="C447" t="s">
        <v>544</v>
      </c>
      <c r="D447" t="s">
        <v>37</v>
      </c>
      <c r="E447" s="69">
        <v>40648</v>
      </c>
      <c r="F447" s="65">
        <v>0.31793981481481481</v>
      </c>
      <c r="G447" t="s">
        <v>1346</v>
      </c>
      <c r="H447" t="s">
        <v>1347</v>
      </c>
    </row>
    <row r="448" spans="1:8" s="80" customFormat="1">
      <c r="A448">
        <v>10970380</v>
      </c>
      <c r="B448" t="s">
        <v>549</v>
      </c>
      <c r="C448" t="s">
        <v>544</v>
      </c>
      <c r="D448" t="s">
        <v>37</v>
      </c>
      <c r="E448" s="69">
        <v>40649</v>
      </c>
      <c r="F448" s="65">
        <v>0.31675925925925924</v>
      </c>
      <c r="G448" t="s">
        <v>1346</v>
      </c>
      <c r="H448" t="s">
        <v>1347</v>
      </c>
    </row>
    <row r="449" spans="1:8" s="80" customFormat="1">
      <c r="A449">
        <v>11124307</v>
      </c>
      <c r="B449" t="s">
        <v>678</v>
      </c>
      <c r="C449" t="s">
        <v>37</v>
      </c>
      <c r="D449" t="s">
        <v>677</v>
      </c>
      <c r="E449" s="69">
        <v>40644</v>
      </c>
      <c r="F449" s="65">
        <v>0.91951388888888885</v>
      </c>
      <c r="G449" t="s">
        <v>1344</v>
      </c>
      <c r="H449" t="s">
        <v>1345</v>
      </c>
    </row>
    <row r="450" spans="1:8" s="80" customFormat="1">
      <c r="A450">
        <v>11124307</v>
      </c>
      <c r="B450" t="s">
        <v>678</v>
      </c>
      <c r="C450" t="s">
        <v>37</v>
      </c>
      <c r="D450" t="s">
        <v>677</v>
      </c>
      <c r="E450" s="69">
        <v>40645</v>
      </c>
      <c r="F450" s="65">
        <v>0.32444444444444448</v>
      </c>
      <c r="G450" t="s">
        <v>1346</v>
      </c>
      <c r="H450" t="s">
        <v>1347</v>
      </c>
    </row>
    <row r="451" spans="1:8" s="80" customFormat="1">
      <c r="A451">
        <v>11124307</v>
      </c>
      <c r="B451" t="s">
        <v>678</v>
      </c>
      <c r="C451" t="s">
        <v>37</v>
      </c>
      <c r="D451" t="s">
        <v>677</v>
      </c>
      <c r="E451" s="69">
        <v>40645</v>
      </c>
      <c r="F451" s="65">
        <v>0.91824074074074069</v>
      </c>
      <c r="G451" t="s">
        <v>1344</v>
      </c>
      <c r="H451" t="s">
        <v>1345</v>
      </c>
    </row>
    <row r="452" spans="1:8" s="80" customFormat="1">
      <c r="A452">
        <v>11124307</v>
      </c>
      <c r="B452" t="s">
        <v>678</v>
      </c>
      <c r="C452" t="s">
        <v>37</v>
      </c>
      <c r="D452" t="s">
        <v>677</v>
      </c>
      <c r="E452" s="69">
        <v>40646</v>
      </c>
      <c r="F452" s="65">
        <v>0.326087962962963</v>
      </c>
      <c r="G452" t="s">
        <v>1346</v>
      </c>
      <c r="H452" t="s">
        <v>1347</v>
      </c>
    </row>
    <row r="453" spans="1:8" s="80" customFormat="1">
      <c r="A453">
        <v>11124307</v>
      </c>
      <c r="B453" t="s">
        <v>678</v>
      </c>
      <c r="C453" t="s">
        <v>37</v>
      </c>
      <c r="D453" t="s">
        <v>677</v>
      </c>
      <c r="E453" s="69">
        <v>40646</v>
      </c>
      <c r="F453" s="65">
        <v>0.91820601851851846</v>
      </c>
      <c r="G453" t="s">
        <v>1344</v>
      </c>
      <c r="H453" t="s">
        <v>1345</v>
      </c>
    </row>
    <row r="454" spans="1:8" s="80" customFormat="1">
      <c r="A454">
        <v>11124307</v>
      </c>
      <c r="B454" t="s">
        <v>678</v>
      </c>
      <c r="C454" t="s">
        <v>37</v>
      </c>
      <c r="D454" t="s">
        <v>677</v>
      </c>
      <c r="E454" s="69">
        <v>40647</v>
      </c>
      <c r="F454" s="65">
        <v>0.32765046296296296</v>
      </c>
      <c r="G454" t="s">
        <v>1346</v>
      </c>
      <c r="H454" t="s">
        <v>1347</v>
      </c>
    </row>
    <row r="455" spans="1:8" s="80" customFormat="1">
      <c r="A455">
        <v>11124307</v>
      </c>
      <c r="B455" t="s">
        <v>678</v>
      </c>
      <c r="C455" t="s">
        <v>37</v>
      </c>
      <c r="D455" t="s">
        <v>677</v>
      </c>
      <c r="E455" s="69">
        <v>40647</v>
      </c>
      <c r="F455" s="65">
        <v>0.91942129629629632</v>
      </c>
      <c r="G455" t="s">
        <v>1344</v>
      </c>
      <c r="H455" t="s">
        <v>1345</v>
      </c>
    </row>
    <row r="456" spans="1:8" s="80" customFormat="1">
      <c r="A456">
        <v>11124307</v>
      </c>
      <c r="B456" t="s">
        <v>678</v>
      </c>
      <c r="C456" t="s">
        <v>37</v>
      </c>
      <c r="D456" t="s">
        <v>677</v>
      </c>
      <c r="E456" s="69">
        <v>40647</v>
      </c>
      <c r="F456" s="65">
        <v>0.92704861111111114</v>
      </c>
      <c r="G456" t="s">
        <v>1344</v>
      </c>
      <c r="H456" t="s">
        <v>1345</v>
      </c>
    </row>
    <row r="457" spans="1:8" s="80" customFormat="1">
      <c r="A457">
        <v>11124307</v>
      </c>
      <c r="B457" t="s">
        <v>678</v>
      </c>
      <c r="C457" t="s">
        <v>37</v>
      </c>
      <c r="D457" t="s">
        <v>677</v>
      </c>
      <c r="E457" s="69">
        <v>40648</v>
      </c>
      <c r="F457" s="65">
        <v>0.92092592592592604</v>
      </c>
      <c r="G457" t="s">
        <v>1344</v>
      </c>
      <c r="H457" t="s">
        <v>1345</v>
      </c>
    </row>
    <row r="458" spans="1:8" s="80" customFormat="1">
      <c r="A458">
        <v>11124307</v>
      </c>
      <c r="B458" t="s">
        <v>678</v>
      </c>
      <c r="C458" t="s">
        <v>37</v>
      </c>
      <c r="D458" t="s">
        <v>677</v>
      </c>
      <c r="E458" s="69">
        <v>40648</v>
      </c>
      <c r="F458" s="65">
        <v>0.32392361111111112</v>
      </c>
      <c r="G458" t="s">
        <v>1346</v>
      </c>
      <c r="H458" t="s">
        <v>1347</v>
      </c>
    </row>
    <row r="459" spans="1:8" s="80" customFormat="1">
      <c r="A459">
        <v>11124307</v>
      </c>
      <c r="B459" t="s">
        <v>678</v>
      </c>
      <c r="C459" t="s">
        <v>37</v>
      </c>
      <c r="D459" t="s">
        <v>677</v>
      </c>
      <c r="E459" s="69">
        <v>40649</v>
      </c>
      <c r="F459" s="65">
        <v>0.32577546296296295</v>
      </c>
      <c r="G459" t="s">
        <v>1346</v>
      </c>
      <c r="H459" t="s">
        <v>1347</v>
      </c>
    </row>
    <row r="460" spans="1:8" s="80" customFormat="1">
      <c r="A460">
        <v>11267594</v>
      </c>
      <c r="B460" t="s">
        <v>365</v>
      </c>
      <c r="C460" t="s">
        <v>363</v>
      </c>
      <c r="D460" t="s">
        <v>364</v>
      </c>
      <c r="E460" s="69">
        <v>40644</v>
      </c>
      <c r="F460" s="65">
        <v>0.29038194444444443</v>
      </c>
      <c r="G460" t="s">
        <v>1344</v>
      </c>
      <c r="H460" t="s">
        <v>1345</v>
      </c>
    </row>
    <row r="461" spans="1:8" s="80" customFormat="1">
      <c r="A461">
        <v>11267594</v>
      </c>
      <c r="B461" t="s">
        <v>365</v>
      </c>
      <c r="C461" t="s">
        <v>363</v>
      </c>
      <c r="D461" t="s">
        <v>364</v>
      </c>
      <c r="E461" s="69">
        <v>40644</v>
      </c>
      <c r="F461" s="65">
        <v>0.80787037037037035</v>
      </c>
      <c r="G461" t="s">
        <v>1346</v>
      </c>
      <c r="H461" t="s">
        <v>1347</v>
      </c>
    </row>
    <row r="462" spans="1:8" s="80" customFormat="1">
      <c r="A462">
        <v>11267594</v>
      </c>
      <c r="B462" t="s">
        <v>365</v>
      </c>
      <c r="C462" t="s">
        <v>363</v>
      </c>
      <c r="D462" t="s">
        <v>364</v>
      </c>
      <c r="E462" s="69">
        <v>40645</v>
      </c>
      <c r="F462" s="65">
        <v>0.2902777777777778</v>
      </c>
      <c r="G462" t="s">
        <v>1344</v>
      </c>
      <c r="H462" t="s">
        <v>1345</v>
      </c>
    </row>
    <row r="463" spans="1:8" s="80" customFormat="1">
      <c r="A463">
        <v>11267594</v>
      </c>
      <c r="B463" t="s">
        <v>365</v>
      </c>
      <c r="C463" t="s">
        <v>363</v>
      </c>
      <c r="D463" t="s">
        <v>364</v>
      </c>
      <c r="E463" s="69">
        <v>40645</v>
      </c>
      <c r="F463" s="65">
        <v>0.8016550925925926</v>
      </c>
      <c r="G463" t="s">
        <v>1346</v>
      </c>
      <c r="H463" t="s">
        <v>1347</v>
      </c>
    </row>
    <row r="464" spans="1:8" s="80" customFormat="1">
      <c r="A464">
        <v>11267594</v>
      </c>
      <c r="B464" t="s">
        <v>365</v>
      </c>
      <c r="C464" t="s">
        <v>363</v>
      </c>
      <c r="D464" t="s">
        <v>364</v>
      </c>
      <c r="E464" s="69">
        <v>40646</v>
      </c>
      <c r="F464" s="65">
        <v>0.29542824074074076</v>
      </c>
      <c r="G464" t="s">
        <v>1344</v>
      </c>
      <c r="H464" t="s">
        <v>1345</v>
      </c>
    </row>
    <row r="465" spans="1:8" s="80" customFormat="1">
      <c r="A465">
        <v>11267594</v>
      </c>
      <c r="B465" t="s">
        <v>365</v>
      </c>
      <c r="C465" t="s">
        <v>363</v>
      </c>
      <c r="D465" t="s">
        <v>364</v>
      </c>
      <c r="E465" s="69">
        <v>40646</v>
      </c>
      <c r="F465" s="65">
        <v>0.80835648148148154</v>
      </c>
      <c r="G465" t="s">
        <v>1346</v>
      </c>
      <c r="H465" t="s">
        <v>1347</v>
      </c>
    </row>
    <row r="466" spans="1:8" s="80" customFormat="1">
      <c r="A466">
        <v>11267594</v>
      </c>
      <c r="B466" t="s">
        <v>365</v>
      </c>
      <c r="C466" t="s">
        <v>363</v>
      </c>
      <c r="D466" t="s">
        <v>364</v>
      </c>
      <c r="E466" s="69">
        <v>40647</v>
      </c>
      <c r="F466" s="65">
        <v>0.29956018518518518</v>
      </c>
      <c r="G466" t="s">
        <v>1344</v>
      </c>
      <c r="H466" t="s">
        <v>1345</v>
      </c>
    </row>
    <row r="467" spans="1:8" s="80" customFormat="1">
      <c r="A467">
        <v>11267594</v>
      </c>
      <c r="B467" t="s">
        <v>365</v>
      </c>
      <c r="C467" t="s">
        <v>363</v>
      </c>
      <c r="D467" t="s">
        <v>364</v>
      </c>
      <c r="E467" s="69">
        <v>40647</v>
      </c>
      <c r="F467" s="65">
        <v>0.81098379629629624</v>
      </c>
      <c r="G467" t="s">
        <v>1346</v>
      </c>
      <c r="H467" t="s">
        <v>1347</v>
      </c>
    </row>
    <row r="468" spans="1:8" s="80" customFormat="1">
      <c r="A468">
        <v>11267594</v>
      </c>
      <c r="B468" t="s">
        <v>365</v>
      </c>
      <c r="C468" t="s">
        <v>363</v>
      </c>
      <c r="D468" t="s">
        <v>364</v>
      </c>
      <c r="E468" s="69">
        <v>40648</v>
      </c>
      <c r="F468" s="65">
        <v>0.73178240740740741</v>
      </c>
      <c r="G468" t="s">
        <v>1346</v>
      </c>
      <c r="H468" t="s">
        <v>1347</v>
      </c>
    </row>
    <row r="469" spans="1:8" s="80" customFormat="1">
      <c r="A469">
        <v>11267594</v>
      </c>
      <c r="B469" t="s">
        <v>365</v>
      </c>
      <c r="C469" t="s">
        <v>363</v>
      </c>
      <c r="D469" t="s">
        <v>364</v>
      </c>
      <c r="E469" s="69">
        <v>40648</v>
      </c>
      <c r="F469" s="65">
        <v>0.29302083333333334</v>
      </c>
      <c r="G469" t="s">
        <v>1344</v>
      </c>
      <c r="H469" t="s">
        <v>1345</v>
      </c>
    </row>
    <row r="470" spans="1:8" s="80" customFormat="1">
      <c r="A470">
        <v>11306351</v>
      </c>
      <c r="B470" t="s">
        <v>581</v>
      </c>
      <c r="C470" t="s">
        <v>579</v>
      </c>
      <c r="D470" t="s">
        <v>580</v>
      </c>
      <c r="E470" s="69">
        <v>40644</v>
      </c>
      <c r="F470" s="65">
        <v>0.26571759259259259</v>
      </c>
      <c r="G470" t="s">
        <v>1344</v>
      </c>
      <c r="H470" t="s">
        <v>1345</v>
      </c>
    </row>
    <row r="471" spans="1:8" s="80" customFormat="1">
      <c r="A471">
        <v>11306351</v>
      </c>
      <c r="B471" t="s">
        <v>581</v>
      </c>
      <c r="C471" t="s">
        <v>579</v>
      </c>
      <c r="D471" t="s">
        <v>580</v>
      </c>
      <c r="E471" s="69">
        <v>40644</v>
      </c>
      <c r="F471" s="65">
        <v>0.63773148148148151</v>
      </c>
      <c r="G471" t="s">
        <v>1346</v>
      </c>
      <c r="H471" t="s">
        <v>1347</v>
      </c>
    </row>
    <row r="472" spans="1:8" s="80" customFormat="1">
      <c r="A472">
        <v>11306351</v>
      </c>
      <c r="B472" t="s">
        <v>581</v>
      </c>
      <c r="C472" t="s">
        <v>579</v>
      </c>
      <c r="D472" t="s">
        <v>580</v>
      </c>
      <c r="E472" s="69">
        <v>40645</v>
      </c>
      <c r="F472" s="65">
        <v>0.26922453703703703</v>
      </c>
      <c r="G472" t="s">
        <v>1344</v>
      </c>
      <c r="H472" t="s">
        <v>1345</v>
      </c>
    </row>
    <row r="473" spans="1:8" s="80" customFormat="1">
      <c r="A473">
        <v>11306351</v>
      </c>
      <c r="B473" t="s">
        <v>581</v>
      </c>
      <c r="C473" t="s">
        <v>579</v>
      </c>
      <c r="D473" t="s">
        <v>580</v>
      </c>
      <c r="E473" s="69">
        <v>40645</v>
      </c>
      <c r="F473" s="65">
        <v>0.63364583333333335</v>
      </c>
      <c r="G473" t="s">
        <v>1346</v>
      </c>
      <c r="H473" t="s">
        <v>1347</v>
      </c>
    </row>
    <row r="474" spans="1:8" s="80" customFormat="1">
      <c r="A474">
        <v>11306351</v>
      </c>
      <c r="B474" t="s">
        <v>581</v>
      </c>
      <c r="C474" t="s">
        <v>579</v>
      </c>
      <c r="D474" t="s">
        <v>580</v>
      </c>
      <c r="E474" s="69">
        <v>40646</v>
      </c>
      <c r="F474" s="65">
        <v>0.27212962962962961</v>
      </c>
      <c r="G474" t="s">
        <v>1344</v>
      </c>
      <c r="H474" t="s">
        <v>1345</v>
      </c>
    </row>
    <row r="475" spans="1:8" s="80" customFormat="1">
      <c r="A475">
        <v>11306351</v>
      </c>
      <c r="B475" t="s">
        <v>581</v>
      </c>
      <c r="C475" t="s">
        <v>579</v>
      </c>
      <c r="D475" t="s">
        <v>580</v>
      </c>
      <c r="E475" s="69">
        <v>40646</v>
      </c>
      <c r="F475" s="65">
        <v>0.63534722222222217</v>
      </c>
      <c r="G475" t="s">
        <v>1346</v>
      </c>
      <c r="H475" t="s">
        <v>1347</v>
      </c>
    </row>
    <row r="476" spans="1:8" s="80" customFormat="1">
      <c r="A476">
        <v>11306351</v>
      </c>
      <c r="B476" t="s">
        <v>581</v>
      </c>
      <c r="C476" t="s">
        <v>579</v>
      </c>
      <c r="D476" t="s">
        <v>580</v>
      </c>
      <c r="E476" s="69">
        <v>40647</v>
      </c>
      <c r="F476" s="65">
        <v>0.2726851851851852</v>
      </c>
      <c r="G476" t="s">
        <v>1344</v>
      </c>
      <c r="H476" t="s">
        <v>1345</v>
      </c>
    </row>
    <row r="477" spans="1:8" s="80" customFormat="1">
      <c r="A477">
        <v>11306351</v>
      </c>
      <c r="B477" t="s">
        <v>581</v>
      </c>
      <c r="C477" t="s">
        <v>579</v>
      </c>
      <c r="D477" t="s">
        <v>580</v>
      </c>
      <c r="E477" s="69">
        <v>40647</v>
      </c>
      <c r="F477" s="65">
        <v>0.63653935185185184</v>
      </c>
      <c r="G477" t="s">
        <v>1346</v>
      </c>
      <c r="H477" t="s">
        <v>1347</v>
      </c>
    </row>
    <row r="478" spans="1:8" s="80" customFormat="1">
      <c r="A478">
        <v>11306351</v>
      </c>
      <c r="B478" t="s">
        <v>581</v>
      </c>
      <c r="C478" t="s">
        <v>579</v>
      </c>
      <c r="D478" t="s">
        <v>580</v>
      </c>
      <c r="E478" s="69">
        <v>40648</v>
      </c>
      <c r="F478" s="65">
        <v>0.63401620370370371</v>
      </c>
      <c r="G478" t="s">
        <v>1346</v>
      </c>
      <c r="H478" t="s">
        <v>1347</v>
      </c>
    </row>
    <row r="479" spans="1:8" s="80" customFormat="1">
      <c r="A479">
        <v>11306351</v>
      </c>
      <c r="B479" t="s">
        <v>581</v>
      </c>
      <c r="C479" t="s">
        <v>579</v>
      </c>
      <c r="D479" t="s">
        <v>580</v>
      </c>
      <c r="E479" s="69">
        <v>40648</v>
      </c>
      <c r="F479" s="65">
        <v>0.27447916666666666</v>
      </c>
      <c r="G479" t="s">
        <v>1344</v>
      </c>
      <c r="H479" t="s">
        <v>1345</v>
      </c>
    </row>
    <row r="480" spans="1:8" s="80" customFormat="1">
      <c r="A480">
        <v>11306351</v>
      </c>
      <c r="B480" t="s">
        <v>581</v>
      </c>
      <c r="C480" t="s">
        <v>579</v>
      </c>
      <c r="D480" t="s">
        <v>580</v>
      </c>
      <c r="E480" s="69">
        <v>40649</v>
      </c>
      <c r="F480" s="65">
        <v>0.27232638888888888</v>
      </c>
      <c r="G480" t="s">
        <v>1344</v>
      </c>
      <c r="H480" t="s">
        <v>1345</v>
      </c>
    </row>
    <row r="481" spans="1:8" s="80" customFormat="1">
      <c r="A481">
        <v>11306351</v>
      </c>
      <c r="B481" t="s">
        <v>581</v>
      </c>
      <c r="C481" t="s">
        <v>579</v>
      </c>
      <c r="D481" t="s">
        <v>580</v>
      </c>
      <c r="E481" s="69">
        <v>40649</v>
      </c>
      <c r="F481" s="65">
        <v>0.6328125</v>
      </c>
      <c r="G481" t="s">
        <v>1346</v>
      </c>
      <c r="H481" t="s">
        <v>1347</v>
      </c>
    </row>
    <row r="482" spans="1:8" s="80" customFormat="1">
      <c r="A482">
        <v>11325204</v>
      </c>
      <c r="B482" t="s">
        <v>137</v>
      </c>
      <c r="C482" t="s">
        <v>136</v>
      </c>
      <c r="D482" t="s">
        <v>28</v>
      </c>
      <c r="E482" s="69">
        <v>40644</v>
      </c>
      <c r="F482" s="65">
        <v>1.1111111111111111E-3</v>
      </c>
      <c r="G482" t="s">
        <v>1344</v>
      </c>
      <c r="H482" t="s">
        <v>1345</v>
      </c>
    </row>
    <row r="483" spans="1:8" s="80" customFormat="1">
      <c r="A483">
        <v>11325204</v>
      </c>
      <c r="B483" t="s">
        <v>137</v>
      </c>
      <c r="C483" t="s">
        <v>136</v>
      </c>
      <c r="D483" t="s">
        <v>28</v>
      </c>
      <c r="E483" s="69">
        <v>40644</v>
      </c>
      <c r="F483" s="65">
        <v>0.31119212962962967</v>
      </c>
      <c r="G483" t="s">
        <v>1346</v>
      </c>
      <c r="H483" t="s">
        <v>1347</v>
      </c>
    </row>
    <row r="484" spans="1:8" s="80" customFormat="1">
      <c r="A484">
        <v>11325204</v>
      </c>
      <c r="B484" t="s">
        <v>137</v>
      </c>
      <c r="C484" t="s">
        <v>136</v>
      </c>
      <c r="D484" t="s">
        <v>28</v>
      </c>
      <c r="E484" s="69">
        <v>40644</v>
      </c>
      <c r="F484" s="65">
        <v>0.93616898148148142</v>
      </c>
      <c r="G484" t="s">
        <v>1344</v>
      </c>
      <c r="H484" t="s">
        <v>1345</v>
      </c>
    </row>
    <row r="485" spans="1:8" s="80" customFormat="1">
      <c r="A485">
        <v>11325204</v>
      </c>
      <c r="B485" t="s">
        <v>137</v>
      </c>
      <c r="C485" t="s">
        <v>136</v>
      </c>
      <c r="D485" t="s">
        <v>28</v>
      </c>
      <c r="E485" s="69">
        <v>40645</v>
      </c>
      <c r="F485" s="65">
        <v>0.31472222222222224</v>
      </c>
      <c r="G485" t="s">
        <v>1346</v>
      </c>
      <c r="H485" t="s">
        <v>1347</v>
      </c>
    </row>
    <row r="486" spans="1:8" s="80" customFormat="1">
      <c r="A486">
        <v>11325204</v>
      </c>
      <c r="B486" t="s">
        <v>137</v>
      </c>
      <c r="C486" t="s">
        <v>136</v>
      </c>
      <c r="D486" t="s">
        <v>28</v>
      </c>
      <c r="E486" s="69">
        <v>40645</v>
      </c>
      <c r="F486" s="65">
        <v>0.93530092592592595</v>
      </c>
      <c r="G486" t="s">
        <v>1344</v>
      </c>
      <c r="H486" t="s">
        <v>1345</v>
      </c>
    </row>
    <row r="487" spans="1:8" s="80" customFormat="1">
      <c r="A487">
        <v>11325204</v>
      </c>
      <c r="B487" t="s">
        <v>137</v>
      </c>
      <c r="C487" t="s">
        <v>136</v>
      </c>
      <c r="D487" t="s">
        <v>28</v>
      </c>
      <c r="E487" s="69">
        <v>40646</v>
      </c>
      <c r="F487" s="65">
        <v>0.31687500000000002</v>
      </c>
      <c r="G487" t="s">
        <v>1346</v>
      </c>
      <c r="H487" t="s">
        <v>1347</v>
      </c>
    </row>
    <row r="488" spans="1:8" s="80" customFormat="1">
      <c r="A488">
        <v>11347053</v>
      </c>
      <c r="B488" t="s">
        <v>290</v>
      </c>
      <c r="C488" t="s">
        <v>288</v>
      </c>
      <c r="D488" t="s">
        <v>289</v>
      </c>
      <c r="E488" s="69">
        <v>40644</v>
      </c>
      <c r="F488" s="65">
        <v>0.62167824074074074</v>
      </c>
      <c r="G488" t="s">
        <v>1344</v>
      </c>
      <c r="H488" t="s">
        <v>1345</v>
      </c>
    </row>
    <row r="489" spans="1:8" s="80" customFormat="1">
      <c r="A489">
        <v>11347053</v>
      </c>
      <c r="B489" t="s">
        <v>290</v>
      </c>
      <c r="C489" t="s">
        <v>288</v>
      </c>
      <c r="D489" t="s">
        <v>289</v>
      </c>
      <c r="E489" s="69">
        <v>40644</v>
      </c>
      <c r="F489" s="65">
        <v>0.94493055555555561</v>
      </c>
      <c r="G489" t="s">
        <v>1346</v>
      </c>
      <c r="H489" t="s">
        <v>1347</v>
      </c>
    </row>
    <row r="490" spans="1:8" s="80" customFormat="1">
      <c r="A490">
        <v>11347053</v>
      </c>
      <c r="B490" t="s">
        <v>290</v>
      </c>
      <c r="C490" t="s">
        <v>288</v>
      </c>
      <c r="D490" t="s">
        <v>289</v>
      </c>
      <c r="E490" s="69">
        <v>40645</v>
      </c>
      <c r="F490" s="65">
        <v>0.61546296296296299</v>
      </c>
      <c r="G490" t="s">
        <v>1344</v>
      </c>
      <c r="H490" t="s">
        <v>1345</v>
      </c>
    </row>
    <row r="491" spans="1:8" s="80" customFormat="1">
      <c r="A491">
        <v>11347053</v>
      </c>
      <c r="B491" t="s">
        <v>290</v>
      </c>
      <c r="C491" t="s">
        <v>288</v>
      </c>
      <c r="D491" t="s">
        <v>289</v>
      </c>
      <c r="E491" s="69">
        <v>40645</v>
      </c>
      <c r="F491" s="65">
        <v>0.94528935185185192</v>
      </c>
      <c r="G491" t="s">
        <v>1346</v>
      </c>
      <c r="H491" t="s">
        <v>1347</v>
      </c>
    </row>
    <row r="492" spans="1:8" s="80" customFormat="1">
      <c r="A492">
        <v>11347053</v>
      </c>
      <c r="B492" t="s">
        <v>290</v>
      </c>
      <c r="C492" t="s">
        <v>288</v>
      </c>
      <c r="D492" t="s">
        <v>289</v>
      </c>
      <c r="E492" s="69">
        <v>40646</v>
      </c>
      <c r="F492" s="65">
        <v>0.61871527777777779</v>
      </c>
      <c r="G492" t="s">
        <v>1344</v>
      </c>
      <c r="H492" t="s">
        <v>1345</v>
      </c>
    </row>
    <row r="493" spans="1:8" s="80" customFormat="1">
      <c r="A493">
        <v>11347053</v>
      </c>
      <c r="B493" t="s">
        <v>290</v>
      </c>
      <c r="C493" t="s">
        <v>288</v>
      </c>
      <c r="D493" t="s">
        <v>289</v>
      </c>
      <c r="E493" s="69">
        <v>40646</v>
      </c>
      <c r="F493" s="65">
        <v>0.94495370370370368</v>
      </c>
      <c r="G493" t="s">
        <v>1346</v>
      </c>
      <c r="H493" t="s">
        <v>1347</v>
      </c>
    </row>
    <row r="494" spans="1:8" s="80" customFormat="1">
      <c r="A494">
        <v>11347053</v>
      </c>
      <c r="B494" t="s">
        <v>290</v>
      </c>
      <c r="C494" t="s">
        <v>288</v>
      </c>
      <c r="D494" t="s">
        <v>289</v>
      </c>
      <c r="E494" s="69">
        <v>40647</v>
      </c>
      <c r="F494" s="65">
        <v>0.62449074074074074</v>
      </c>
      <c r="G494" t="s">
        <v>1344</v>
      </c>
      <c r="H494" t="s">
        <v>1345</v>
      </c>
    </row>
    <row r="495" spans="1:8" s="80" customFormat="1">
      <c r="A495">
        <v>11347053</v>
      </c>
      <c r="B495" t="s">
        <v>290</v>
      </c>
      <c r="C495" t="s">
        <v>288</v>
      </c>
      <c r="D495" t="s">
        <v>289</v>
      </c>
      <c r="E495" s="69">
        <v>40647</v>
      </c>
      <c r="F495" s="65">
        <v>0.93994212962962964</v>
      </c>
      <c r="G495" t="s">
        <v>1346</v>
      </c>
      <c r="H495" t="s">
        <v>1347</v>
      </c>
    </row>
    <row r="496" spans="1:8" s="80" customFormat="1">
      <c r="A496">
        <v>11347053</v>
      </c>
      <c r="B496" t="s">
        <v>290</v>
      </c>
      <c r="C496" t="s">
        <v>288</v>
      </c>
      <c r="D496" t="s">
        <v>289</v>
      </c>
      <c r="E496" s="69">
        <v>40648</v>
      </c>
      <c r="F496" s="65">
        <v>0.94780092592592602</v>
      </c>
      <c r="G496" t="s">
        <v>1346</v>
      </c>
      <c r="H496" t="s">
        <v>1347</v>
      </c>
    </row>
    <row r="497" spans="1:8" s="80" customFormat="1">
      <c r="A497">
        <v>11347053</v>
      </c>
      <c r="B497" t="s">
        <v>290</v>
      </c>
      <c r="C497" t="s">
        <v>288</v>
      </c>
      <c r="D497" t="s">
        <v>289</v>
      </c>
      <c r="E497" s="69">
        <v>40648</v>
      </c>
      <c r="F497" s="65">
        <v>0.60665509259259254</v>
      </c>
      <c r="G497" t="s">
        <v>1344</v>
      </c>
      <c r="H497" t="s">
        <v>1345</v>
      </c>
    </row>
    <row r="498" spans="1:8" s="80" customFormat="1">
      <c r="A498">
        <v>11347053</v>
      </c>
      <c r="B498" t="s">
        <v>290</v>
      </c>
      <c r="C498" t="s">
        <v>288</v>
      </c>
      <c r="D498" t="s">
        <v>289</v>
      </c>
      <c r="E498" s="69">
        <v>40649</v>
      </c>
      <c r="F498" s="65">
        <v>0.65135416666666668</v>
      </c>
      <c r="G498" t="s">
        <v>1344</v>
      </c>
      <c r="H498" t="s">
        <v>1345</v>
      </c>
    </row>
    <row r="499" spans="1:8" s="80" customFormat="1">
      <c r="A499">
        <v>11347053</v>
      </c>
      <c r="B499" t="s">
        <v>290</v>
      </c>
      <c r="C499" t="s">
        <v>288</v>
      </c>
      <c r="D499" t="s">
        <v>289</v>
      </c>
      <c r="E499" s="69">
        <v>40649</v>
      </c>
      <c r="F499" s="65">
        <v>0.9331828703703704</v>
      </c>
      <c r="G499" t="s">
        <v>1346</v>
      </c>
      <c r="H499" t="s">
        <v>1347</v>
      </c>
    </row>
    <row r="500" spans="1:8" s="80" customFormat="1">
      <c r="A500">
        <v>11370436</v>
      </c>
      <c r="B500" t="s">
        <v>592</v>
      </c>
      <c r="C500" t="s">
        <v>591</v>
      </c>
      <c r="D500" t="s">
        <v>136</v>
      </c>
      <c r="E500" s="69">
        <v>40644</v>
      </c>
      <c r="F500" s="65">
        <v>0.91861111111111116</v>
      </c>
      <c r="G500" t="s">
        <v>1344</v>
      </c>
      <c r="H500" t="s">
        <v>1345</v>
      </c>
    </row>
    <row r="501" spans="1:8" s="80" customFormat="1">
      <c r="A501">
        <v>11370436</v>
      </c>
      <c r="B501" t="s">
        <v>592</v>
      </c>
      <c r="C501" t="s">
        <v>591</v>
      </c>
      <c r="D501" t="s">
        <v>136</v>
      </c>
      <c r="E501" s="69">
        <v>40645</v>
      </c>
      <c r="F501" s="65">
        <v>0.31866898148148148</v>
      </c>
      <c r="G501" t="s">
        <v>1346</v>
      </c>
      <c r="H501" t="s">
        <v>1347</v>
      </c>
    </row>
    <row r="502" spans="1:8" s="80" customFormat="1">
      <c r="A502">
        <v>11370436</v>
      </c>
      <c r="B502" t="s">
        <v>592</v>
      </c>
      <c r="C502" t="s">
        <v>591</v>
      </c>
      <c r="D502" t="s">
        <v>136</v>
      </c>
      <c r="E502" s="69">
        <v>40645</v>
      </c>
      <c r="F502" s="65">
        <v>0.91828703703703696</v>
      </c>
      <c r="G502" t="s">
        <v>1344</v>
      </c>
      <c r="H502" t="s">
        <v>1345</v>
      </c>
    </row>
    <row r="503" spans="1:8" s="80" customFormat="1">
      <c r="A503">
        <v>11370436</v>
      </c>
      <c r="B503" t="s">
        <v>592</v>
      </c>
      <c r="C503" t="s">
        <v>591</v>
      </c>
      <c r="D503" t="s">
        <v>136</v>
      </c>
      <c r="E503" s="69">
        <v>40646</v>
      </c>
      <c r="F503" s="65">
        <v>0.32143518518518516</v>
      </c>
      <c r="G503" t="s">
        <v>1346</v>
      </c>
      <c r="H503" t="s">
        <v>1347</v>
      </c>
    </row>
    <row r="504" spans="1:8" s="80" customFormat="1">
      <c r="A504">
        <v>11370436</v>
      </c>
      <c r="B504" t="s">
        <v>592</v>
      </c>
      <c r="C504" t="s">
        <v>591</v>
      </c>
      <c r="D504" t="s">
        <v>136</v>
      </c>
      <c r="E504" s="69">
        <v>40646</v>
      </c>
      <c r="F504" s="65">
        <v>0.91770833333333324</v>
      </c>
      <c r="G504" t="s">
        <v>1344</v>
      </c>
      <c r="H504" t="s">
        <v>1345</v>
      </c>
    </row>
    <row r="505" spans="1:8" s="80" customFormat="1">
      <c r="A505">
        <v>11370436</v>
      </c>
      <c r="B505" t="s">
        <v>592</v>
      </c>
      <c r="C505" t="s">
        <v>591</v>
      </c>
      <c r="D505" t="s">
        <v>136</v>
      </c>
      <c r="E505" s="69">
        <v>40647</v>
      </c>
      <c r="F505" s="65">
        <v>0.32011574074074073</v>
      </c>
      <c r="G505" t="s">
        <v>1346</v>
      </c>
      <c r="H505" t="s">
        <v>1347</v>
      </c>
    </row>
    <row r="506" spans="1:8" s="80" customFormat="1">
      <c r="A506">
        <v>11370436</v>
      </c>
      <c r="B506" t="s">
        <v>592</v>
      </c>
      <c r="C506" t="s">
        <v>591</v>
      </c>
      <c r="D506" t="s">
        <v>136</v>
      </c>
      <c r="E506" s="69">
        <v>40647</v>
      </c>
      <c r="F506" s="65">
        <v>0.91357638888888892</v>
      </c>
      <c r="G506" t="s">
        <v>1344</v>
      </c>
      <c r="H506" t="s">
        <v>1345</v>
      </c>
    </row>
    <row r="507" spans="1:8" s="80" customFormat="1">
      <c r="A507">
        <v>11370436</v>
      </c>
      <c r="B507" t="s">
        <v>592</v>
      </c>
      <c r="C507" t="s">
        <v>591</v>
      </c>
      <c r="D507" t="s">
        <v>136</v>
      </c>
      <c r="E507" s="69">
        <v>40648</v>
      </c>
      <c r="F507" s="65">
        <v>0.91994212962962962</v>
      </c>
      <c r="G507" t="s">
        <v>1344</v>
      </c>
      <c r="H507" t="s">
        <v>1345</v>
      </c>
    </row>
    <row r="508" spans="1:8" s="80" customFormat="1">
      <c r="A508">
        <v>11370436</v>
      </c>
      <c r="B508" t="s">
        <v>592</v>
      </c>
      <c r="C508" t="s">
        <v>591</v>
      </c>
      <c r="D508" t="s">
        <v>136</v>
      </c>
      <c r="E508" s="69">
        <v>40648</v>
      </c>
      <c r="F508" s="65">
        <v>0.32041666666666663</v>
      </c>
      <c r="G508" t="s">
        <v>1346</v>
      </c>
      <c r="H508" t="s">
        <v>1347</v>
      </c>
    </row>
    <row r="509" spans="1:8" s="80" customFormat="1">
      <c r="A509">
        <v>11370436</v>
      </c>
      <c r="B509" t="s">
        <v>592</v>
      </c>
      <c r="C509" t="s">
        <v>591</v>
      </c>
      <c r="D509" t="s">
        <v>136</v>
      </c>
      <c r="E509" s="69">
        <v>40649</v>
      </c>
      <c r="F509" s="65">
        <v>0.31913194444444443</v>
      </c>
      <c r="G509" t="s">
        <v>1346</v>
      </c>
      <c r="H509" t="s">
        <v>1347</v>
      </c>
    </row>
    <row r="510" spans="1:8" s="80" customFormat="1">
      <c r="A510">
        <v>11523497</v>
      </c>
      <c r="B510" t="s">
        <v>345</v>
      </c>
      <c r="C510" t="s">
        <v>693</v>
      </c>
      <c r="D510" t="s">
        <v>183</v>
      </c>
      <c r="E510" s="69">
        <v>40644</v>
      </c>
      <c r="F510" s="65">
        <v>0.45630787037037041</v>
      </c>
      <c r="G510" t="s">
        <v>1344</v>
      </c>
      <c r="H510" t="s">
        <v>1345</v>
      </c>
    </row>
    <row r="511" spans="1:8" s="80" customFormat="1">
      <c r="A511">
        <v>11523497</v>
      </c>
      <c r="B511" t="s">
        <v>345</v>
      </c>
      <c r="C511" t="s">
        <v>693</v>
      </c>
      <c r="D511" t="s">
        <v>183</v>
      </c>
      <c r="E511" s="69">
        <v>40644</v>
      </c>
      <c r="F511" s="65">
        <v>0.81133101851851841</v>
      </c>
      <c r="G511" t="s">
        <v>1346</v>
      </c>
      <c r="H511" t="s">
        <v>1347</v>
      </c>
    </row>
    <row r="512" spans="1:8" s="80" customFormat="1">
      <c r="A512">
        <v>11523497</v>
      </c>
      <c r="B512" t="s">
        <v>345</v>
      </c>
      <c r="C512" t="s">
        <v>693</v>
      </c>
      <c r="D512" t="s">
        <v>183</v>
      </c>
      <c r="E512" s="69">
        <v>40645</v>
      </c>
      <c r="F512" s="65">
        <v>0.301875</v>
      </c>
      <c r="G512" t="s">
        <v>1344</v>
      </c>
      <c r="H512" t="s">
        <v>1345</v>
      </c>
    </row>
    <row r="513" spans="1:8" s="80" customFormat="1">
      <c r="A513">
        <v>11523497</v>
      </c>
      <c r="B513" t="s">
        <v>345</v>
      </c>
      <c r="C513" t="s">
        <v>693</v>
      </c>
      <c r="D513" t="s">
        <v>183</v>
      </c>
      <c r="E513" s="69">
        <v>40645</v>
      </c>
      <c r="F513" s="65">
        <v>0.80799768518518522</v>
      </c>
      <c r="G513" t="s">
        <v>1346</v>
      </c>
      <c r="H513" t="s">
        <v>1347</v>
      </c>
    </row>
    <row r="514" spans="1:8" s="80" customFormat="1">
      <c r="A514">
        <v>11523497</v>
      </c>
      <c r="B514" t="s">
        <v>345</v>
      </c>
      <c r="C514" t="s">
        <v>693</v>
      </c>
      <c r="D514" t="s">
        <v>183</v>
      </c>
      <c r="E514" s="69">
        <v>40646</v>
      </c>
      <c r="F514" s="65">
        <v>0.30016203703703703</v>
      </c>
      <c r="G514" t="s">
        <v>1344</v>
      </c>
      <c r="H514" t="s">
        <v>1345</v>
      </c>
    </row>
    <row r="515" spans="1:8" s="80" customFormat="1">
      <c r="A515">
        <v>11523497</v>
      </c>
      <c r="B515" t="s">
        <v>345</v>
      </c>
      <c r="C515" t="s">
        <v>693</v>
      </c>
      <c r="D515" t="s">
        <v>183</v>
      </c>
      <c r="E515" s="69">
        <v>40646</v>
      </c>
      <c r="F515" s="65">
        <v>0.80461805555555566</v>
      </c>
      <c r="G515" t="s">
        <v>1346</v>
      </c>
      <c r="H515" t="s">
        <v>1347</v>
      </c>
    </row>
    <row r="516" spans="1:8" s="80" customFormat="1">
      <c r="A516">
        <v>11523497</v>
      </c>
      <c r="B516" t="s">
        <v>345</v>
      </c>
      <c r="C516" t="s">
        <v>693</v>
      </c>
      <c r="D516" t="s">
        <v>183</v>
      </c>
      <c r="E516" s="69">
        <v>40647</v>
      </c>
      <c r="F516" s="65">
        <v>0.30615740740740743</v>
      </c>
      <c r="G516" t="s">
        <v>1344</v>
      </c>
      <c r="H516" t="s">
        <v>1345</v>
      </c>
    </row>
    <row r="517" spans="1:8" s="80" customFormat="1">
      <c r="A517">
        <v>11523497</v>
      </c>
      <c r="B517" t="s">
        <v>345</v>
      </c>
      <c r="C517" t="s">
        <v>693</v>
      </c>
      <c r="D517" t="s">
        <v>183</v>
      </c>
      <c r="E517" s="69">
        <v>40647</v>
      </c>
      <c r="F517" s="65">
        <v>0.80834490740740739</v>
      </c>
      <c r="G517" t="s">
        <v>1346</v>
      </c>
      <c r="H517" t="s">
        <v>1347</v>
      </c>
    </row>
    <row r="518" spans="1:8" s="80" customFormat="1">
      <c r="A518">
        <v>11523497</v>
      </c>
      <c r="B518" t="s">
        <v>345</v>
      </c>
      <c r="C518" t="s">
        <v>693</v>
      </c>
      <c r="D518" t="s">
        <v>183</v>
      </c>
      <c r="E518" s="69">
        <v>40648</v>
      </c>
      <c r="F518" s="65">
        <v>0.81415509259259267</v>
      </c>
      <c r="G518" t="s">
        <v>1346</v>
      </c>
      <c r="H518" t="s">
        <v>1347</v>
      </c>
    </row>
    <row r="519" spans="1:8" s="80" customFormat="1">
      <c r="A519">
        <v>11523497</v>
      </c>
      <c r="B519" t="s">
        <v>345</v>
      </c>
      <c r="C519" t="s">
        <v>693</v>
      </c>
      <c r="D519" t="s">
        <v>183</v>
      </c>
      <c r="E519" s="69">
        <v>40648</v>
      </c>
      <c r="F519" s="65">
        <v>0.30197916666666663</v>
      </c>
      <c r="G519" t="s">
        <v>1344</v>
      </c>
      <c r="H519" t="s">
        <v>1345</v>
      </c>
    </row>
    <row r="520" spans="1:8" s="80" customFormat="1">
      <c r="A520">
        <v>11656057</v>
      </c>
      <c r="B520" t="s">
        <v>510</v>
      </c>
      <c r="C520" t="s">
        <v>508</v>
      </c>
      <c r="D520" t="s">
        <v>509</v>
      </c>
      <c r="E520" s="69">
        <v>40644</v>
      </c>
      <c r="F520" s="65">
        <v>0.92013888888888884</v>
      </c>
      <c r="G520" t="s">
        <v>1344</v>
      </c>
      <c r="H520" t="s">
        <v>1345</v>
      </c>
    </row>
    <row r="521" spans="1:8" s="80" customFormat="1">
      <c r="A521">
        <v>11656057</v>
      </c>
      <c r="B521" t="s">
        <v>510</v>
      </c>
      <c r="C521" t="s">
        <v>508</v>
      </c>
      <c r="D521" t="s">
        <v>509</v>
      </c>
      <c r="E521" s="69">
        <v>40645</v>
      </c>
      <c r="F521" s="65">
        <v>0.32199074074074074</v>
      </c>
      <c r="G521" t="s">
        <v>1346</v>
      </c>
      <c r="H521" t="s">
        <v>1347</v>
      </c>
    </row>
    <row r="522" spans="1:8" s="80" customFormat="1">
      <c r="A522">
        <v>11656057</v>
      </c>
      <c r="B522" t="s">
        <v>510</v>
      </c>
      <c r="C522" t="s">
        <v>508</v>
      </c>
      <c r="D522" t="s">
        <v>509</v>
      </c>
      <c r="E522" s="69">
        <v>40645</v>
      </c>
      <c r="F522" s="65">
        <v>0.9199652777777777</v>
      </c>
      <c r="G522" t="s">
        <v>1344</v>
      </c>
      <c r="H522" t="s">
        <v>1345</v>
      </c>
    </row>
    <row r="523" spans="1:8" s="80" customFormat="1">
      <c r="A523">
        <v>11656057</v>
      </c>
      <c r="B523" t="s">
        <v>510</v>
      </c>
      <c r="C523" t="s">
        <v>508</v>
      </c>
      <c r="D523" t="s">
        <v>509</v>
      </c>
      <c r="E523" s="69">
        <v>40646</v>
      </c>
      <c r="F523" s="65">
        <v>0.3259259259259259</v>
      </c>
      <c r="G523" t="s">
        <v>1346</v>
      </c>
      <c r="H523" t="s">
        <v>1347</v>
      </c>
    </row>
    <row r="524" spans="1:8" s="80" customFormat="1">
      <c r="A524">
        <v>11656057</v>
      </c>
      <c r="B524" t="s">
        <v>510</v>
      </c>
      <c r="C524" t="s">
        <v>508</v>
      </c>
      <c r="D524" t="s">
        <v>509</v>
      </c>
      <c r="E524" s="69">
        <v>40646</v>
      </c>
      <c r="F524" s="65">
        <v>0.91923611111111114</v>
      </c>
      <c r="G524" t="s">
        <v>1344</v>
      </c>
      <c r="H524" t="s">
        <v>1345</v>
      </c>
    </row>
    <row r="525" spans="1:8" s="80" customFormat="1">
      <c r="A525">
        <v>11656057</v>
      </c>
      <c r="B525" t="s">
        <v>510</v>
      </c>
      <c r="C525" t="s">
        <v>508</v>
      </c>
      <c r="D525" t="s">
        <v>509</v>
      </c>
      <c r="E525" s="69">
        <v>40647</v>
      </c>
      <c r="F525" s="65">
        <v>0.32678240740740744</v>
      </c>
      <c r="G525" t="s">
        <v>1346</v>
      </c>
      <c r="H525" t="s">
        <v>1347</v>
      </c>
    </row>
    <row r="526" spans="1:8" s="80" customFormat="1">
      <c r="A526">
        <v>11656057</v>
      </c>
      <c r="B526" t="s">
        <v>510</v>
      </c>
      <c r="C526" t="s">
        <v>508</v>
      </c>
      <c r="D526" t="s">
        <v>509</v>
      </c>
      <c r="E526" s="69">
        <v>40647</v>
      </c>
      <c r="F526" s="65">
        <v>0.92137731481481477</v>
      </c>
      <c r="G526" t="s">
        <v>1344</v>
      </c>
      <c r="H526" t="s">
        <v>1345</v>
      </c>
    </row>
    <row r="527" spans="1:8" s="80" customFormat="1">
      <c r="A527">
        <v>11656057</v>
      </c>
      <c r="B527" t="s">
        <v>510</v>
      </c>
      <c r="C527" t="s">
        <v>508</v>
      </c>
      <c r="D527" t="s">
        <v>509</v>
      </c>
      <c r="E527" s="69">
        <v>40648</v>
      </c>
      <c r="F527" s="65">
        <v>0.92123842592592586</v>
      </c>
      <c r="G527" t="s">
        <v>1344</v>
      </c>
      <c r="H527" t="s">
        <v>1345</v>
      </c>
    </row>
    <row r="528" spans="1:8" s="80" customFormat="1">
      <c r="A528">
        <v>11656057</v>
      </c>
      <c r="B528" t="s">
        <v>510</v>
      </c>
      <c r="C528" t="s">
        <v>508</v>
      </c>
      <c r="D528" t="s">
        <v>509</v>
      </c>
      <c r="E528" s="69">
        <v>40648</v>
      </c>
      <c r="F528" s="65">
        <v>0.32297453703703705</v>
      </c>
      <c r="G528" t="s">
        <v>1346</v>
      </c>
      <c r="H528" t="s">
        <v>1347</v>
      </c>
    </row>
    <row r="529" spans="1:8" s="80" customFormat="1">
      <c r="A529">
        <v>11656057</v>
      </c>
      <c r="B529" t="s">
        <v>510</v>
      </c>
      <c r="C529" t="s">
        <v>508</v>
      </c>
      <c r="D529" t="s">
        <v>509</v>
      </c>
      <c r="E529" s="69">
        <v>40649</v>
      </c>
      <c r="F529" s="65">
        <v>0.3210763888888889</v>
      </c>
      <c r="G529" t="s">
        <v>1346</v>
      </c>
      <c r="H529" t="s">
        <v>1347</v>
      </c>
    </row>
    <row r="530" spans="1:8" s="80" customFormat="1">
      <c r="A530">
        <v>11659510</v>
      </c>
      <c r="B530" t="s">
        <v>673</v>
      </c>
      <c r="C530" t="s">
        <v>37</v>
      </c>
      <c r="D530" t="s">
        <v>37</v>
      </c>
      <c r="E530" s="69">
        <v>40644</v>
      </c>
      <c r="F530" s="65">
        <v>0.61578703703703697</v>
      </c>
      <c r="G530" t="s">
        <v>1344</v>
      </c>
      <c r="H530" t="s">
        <v>1345</v>
      </c>
    </row>
    <row r="531" spans="1:8" s="80" customFormat="1">
      <c r="A531">
        <v>11659510</v>
      </c>
      <c r="B531" t="s">
        <v>673</v>
      </c>
      <c r="C531" t="s">
        <v>37</v>
      </c>
      <c r="D531" t="s">
        <v>37</v>
      </c>
      <c r="E531" s="69">
        <v>40644</v>
      </c>
      <c r="F531" s="65">
        <v>0.94127314814814811</v>
      </c>
      <c r="G531" t="s">
        <v>1346</v>
      </c>
      <c r="H531" t="s">
        <v>1347</v>
      </c>
    </row>
    <row r="532" spans="1:8" s="80" customFormat="1">
      <c r="A532">
        <v>11659510</v>
      </c>
      <c r="B532" t="s">
        <v>673</v>
      </c>
      <c r="C532" t="s">
        <v>37</v>
      </c>
      <c r="D532" t="s">
        <v>37</v>
      </c>
      <c r="E532" s="69">
        <v>40645</v>
      </c>
      <c r="F532" s="65">
        <v>0.61706018518518524</v>
      </c>
      <c r="G532" t="s">
        <v>1344</v>
      </c>
      <c r="H532" t="s">
        <v>1345</v>
      </c>
    </row>
    <row r="533" spans="1:8" s="80" customFormat="1">
      <c r="A533">
        <v>11659510</v>
      </c>
      <c r="B533" t="s">
        <v>673</v>
      </c>
      <c r="C533" t="s">
        <v>37</v>
      </c>
      <c r="D533" t="s">
        <v>37</v>
      </c>
      <c r="E533" s="69">
        <v>40645</v>
      </c>
      <c r="F533" s="65">
        <v>0.9446296296296296</v>
      </c>
      <c r="G533" t="s">
        <v>1346</v>
      </c>
      <c r="H533" t="s">
        <v>1347</v>
      </c>
    </row>
    <row r="534" spans="1:8" s="80" customFormat="1">
      <c r="A534">
        <v>11659510</v>
      </c>
      <c r="B534" t="s">
        <v>673</v>
      </c>
      <c r="C534" t="s">
        <v>37</v>
      </c>
      <c r="D534" t="s">
        <v>37</v>
      </c>
      <c r="E534" s="69">
        <v>40646</v>
      </c>
      <c r="F534" s="65">
        <v>0.57582175925925927</v>
      </c>
      <c r="G534" t="s">
        <v>1344</v>
      </c>
      <c r="H534" t="s">
        <v>1345</v>
      </c>
    </row>
    <row r="535" spans="1:8" s="80" customFormat="1">
      <c r="A535">
        <v>11659510</v>
      </c>
      <c r="B535" t="s">
        <v>673</v>
      </c>
      <c r="C535" t="s">
        <v>37</v>
      </c>
      <c r="D535" t="s">
        <v>37</v>
      </c>
      <c r="E535" s="69">
        <v>40646</v>
      </c>
      <c r="F535" s="65">
        <v>0.94067129629629631</v>
      </c>
      <c r="G535" t="s">
        <v>1346</v>
      </c>
      <c r="H535" t="s">
        <v>1347</v>
      </c>
    </row>
    <row r="536" spans="1:8" s="80" customFormat="1">
      <c r="A536">
        <v>11659510</v>
      </c>
      <c r="B536" t="s">
        <v>673</v>
      </c>
      <c r="C536" t="s">
        <v>37</v>
      </c>
      <c r="D536" t="s">
        <v>37</v>
      </c>
      <c r="E536" s="69">
        <v>40647</v>
      </c>
      <c r="F536" s="65">
        <v>0.61818287037037034</v>
      </c>
      <c r="G536" t="s">
        <v>1344</v>
      </c>
      <c r="H536" t="s">
        <v>1345</v>
      </c>
    </row>
    <row r="537" spans="1:8" s="80" customFormat="1">
      <c r="A537">
        <v>11659510</v>
      </c>
      <c r="B537" t="s">
        <v>673</v>
      </c>
      <c r="C537" t="s">
        <v>37</v>
      </c>
      <c r="D537" t="s">
        <v>37</v>
      </c>
      <c r="E537" s="69">
        <v>40647</v>
      </c>
      <c r="F537" s="65">
        <v>0.94292824074074078</v>
      </c>
      <c r="G537" t="s">
        <v>1346</v>
      </c>
      <c r="H537" t="s">
        <v>1347</v>
      </c>
    </row>
    <row r="538" spans="1:8" s="80" customFormat="1">
      <c r="A538">
        <v>11659510</v>
      </c>
      <c r="B538" t="s">
        <v>673</v>
      </c>
      <c r="C538" t="s">
        <v>37</v>
      </c>
      <c r="D538" t="s">
        <v>37</v>
      </c>
      <c r="E538" s="69">
        <v>40648</v>
      </c>
      <c r="F538" s="65">
        <v>0.6170254629629629</v>
      </c>
      <c r="G538" t="s">
        <v>1344</v>
      </c>
      <c r="H538" t="s">
        <v>1345</v>
      </c>
    </row>
    <row r="539" spans="1:8" s="80" customFormat="1">
      <c r="A539">
        <v>11659510</v>
      </c>
      <c r="B539" t="s">
        <v>673</v>
      </c>
      <c r="C539" t="s">
        <v>37</v>
      </c>
      <c r="D539" t="s">
        <v>37</v>
      </c>
      <c r="E539" s="69">
        <v>40648</v>
      </c>
      <c r="F539" s="65">
        <v>0.93716435185185187</v>
      </c>
      <c r="G539" t="s">
        <v>1346</v>
      </c>
      <c r="H539" t="s">
        <v>1347</v>
      </c>
    </row>
    <row r="540" spans="1:8" s="80" customFormat="1">
      <c r="A540">
        <v>11659510</v>
      </c>
      <c r="B540" t="s">
        <v>673</v>
      </c>
      <c r="C540" t="s">
        <v>37</v>
      </c>
      <c r="D540" t="s">
        <v>37</v>
      </c>
      <c r="E540" s="69">
        <v>40649</v>
      </c>
      <c r="F540" s="65">
        <v>0.888738425925926</v>
      </c>
      <c r="G540" t="s">
        <v>1346</v>
      </c>
      <c r="H540" t="s">
        <v>1347</v>
      </c>
    </row>
    <row r="541" spans="1:8" s="80" customFormat="1">
      <c r="A541">
        <v>11659510</v>
      </c>
      <c r="B541" t="s">
        <v>673</v>
      </c>
      <c r="C541" t="s">
        <v>37</v>
      </c>
      <c r="D541" t="s">
        <v>37</v>
      </c>
      <c r="E541" s="69">
        <v>40649</v>
      </c>
      <c r="F541" s="65">
        <v>0.56706018518518519</v>
      </c>
      <c r="G541" t="s">
        <v>1344</v>
      </c>
      <c r="H541" t="s">
        <v>1345</v>
      </c>
    </row>
    <row r="542" spans="1:8" s="80" customFormat="1">
      <c r="A542">
        <v>11660411</v>
      </c>
      <c r="B542" t="s">
        <v>274</v>
      </c>
      <c r="C542" t="s">
        <v>272</v>
      </c>
      <c r="D542" t="s">
        <v>273</v>
      </c>
      <c r="E542" s="69">
        <v>40644</v>
      </c>
      <c r="F542" s="65">
        <v>0.60783564814814817</v>
      </c>
      <c r="G542" t="s">
        <v>1344</v>
      </c>
      <c r="H542" t="s">
        <v>1345</v>
      </c>
    </row>
    <row r="543" spans="1:8" s="80" customFormat="1">
      <c r="A543">
        <v>11660411</v>
      </c>
      <c r="B543" t="s">
        <v>274</v>
      </c>
      <c r="C543" t="s">
        <v>272</v>
      </c>
      <c r="D543" t="s">
        <v>273</v>
      </c>
      <c r="E543" s="69">
        <v>40644</v>
      </c>
      <c r="F543" s="65">
        <v>0.9497916666666667</v>
      </c>
      <c r="G543" t="s">
        <v>1346</v>
      </c>
      <c r="H543" t="s">
        <v>1347</v>
      </c>
    </row>
    <row r="544" spans="1:8" s="80" customFormat="1">
      <c r="A544">
        <v>11660411</v>
      </c>
      <c r="B544" t="s">
        <v>274</v>
      </c>
      <c r="C544" t="s">
        <v>272</v>
      </c>
      <c r="D544" t="s">
        <v>273</v>
      </c>
      <c r="E544" s="69">
        <v>40645</v>
      </c>
      <c r="F544" s="65">
        <v>0.60820601851851852</v>
      </c>
      <c r="G544" t="s">
        <v>1344</v>
      </c>
      <c r="H544" t="s">
        <v>1345</v>
      </c>
    </row>
    <row r="545" spans="1:8" s="80" customFormat="1">
      <c r="A545">
        <v>11660411</v>
      </c>
      <c r="B545" t="s">
        <v>274</v>
      </c>
      <c r="C545" t="s">
        <v>272</v>
      </c>
      <c r="D545" t="s">
        <v>273</v>
      </c>
      <c r="E545" s="69">
        <v>40645</v>
      </c>
      <c r="F545" s="65">
        <v>0.94874999999999998</v>
      </c>
      <c r="G545" t="s">
        <v>1346</v>
      </c>
      <c r="H545" t="s">
        <v>1347</v>
      </c>
    </row>
    <row r="546" spans="1:8" s="80" customFormat="1">
      <c r="A546">
        <v>11660411</v>
      </c>
      <c r="B546" t="s">
        <v>274</v>
      </c>
      <c r="C546" t="s">
        <v>272</v>
      </c>
      <c r="D546" t="s">
        <v>273</v>
      </c>
      <c r="E546" s="69">
        <v>40646</v>
      </c>
      <c r="F546" s="65">
        <v>0.61020833333333335</v>
      </c>
      <c r="G546" t="s">
        <v>1344</v>
      </c>
      <c r="H546" t="s">
        <v>1345</v>
      </c>
    </row>
    <row r="547" spans="1:8" s="80" customFormat="1">
      <c r="A547">
        <v>11660411</v>
      </c>
      <c r="B547" t="s">
        <v>274</v>
      </c>
      <c r="C547" t="s">
        <v>272</v>
      </c>
      <c r="D547" t="s">
        <v>273</v>
      </c>
      <c r="E547" s="69">
        <v>40646</v>
      </c>
      <c r="F547" s="65">
        <v>0.94729166666666664</v>
      </c>
      <c r="G547" t="s">
        <v>1346</v>
      </c>
      <c r="H547" t="s">
        <v>1347</v>
      </c>
    </row>
    <row r="548" spans="1:8" s="80" customFormat="1">
      <c r="A548">
        <v>11660411</v>
      </c>
      <c r="B548" t="s">
        <v>274</v>
      </c>
      <c r="C548" t="s">
        <v>272</v>
      </c>
      <c r="D548" t="s">
        <v>273</v>
      </c>
      <c r="E548" s="69">
        <v>40647</v>
      </c>
      <c r="F548" s="65">
        <v>0.6130092592592592</v>
      </c>
      <c r="G548" t="s">
        <v>1344</v>
      </c>
      <c r="H548" t="s">
        <v>1345</v>
      </c>
    </row>
    <row r="549" spans="1:8" s="80" customFormat="1">
      <c r="A549">
        <v>11660411</v>
      </c>
      <c r="B549" t="s">
        <v>274</v>
      </c>
      <c r="C549" t="s">
        <v>272</v>
      </c>
      <c r="D549" t="s">
        <v>273</v>
      </c>
      <c r="E549" s="69">
        <v>40647</v>
      </c>
      <c r="F549" s="65">
        <v>0.95167824074074081</v>
      </c>
      <c r="G549" t="s">
        <v>1346</v>
      </c>
      <c r="H549" t="s">
        <v>1347</v>
      </c>
    </row>
    <row r="550" spans="1:8" s="80" customFormat="1">
      <c r="A550">
        <v>11660411</v>
      </c>
      <c r="B550" t="s">
        <v>274</v>
      </c>
      <c r="C550" t="s">
        <v>272</v>
      </c>
      <c r="D550" t="s">
        <v>273</v>
      </c>
      <c r="E550" s="69">
        <v>40648</v>
      </c>
      <c r="F550" s="65">
        <v>0.60811342592592588</v>
      </c>
      <c r="G550" t="s">
        <v>1344</v>
      </c>
      <c r="H550" t="s">
        <v>1345</v>
      </c>
    </row>
    <row r="551" spans="1:8" s="80" customFormat="1">
      <c r="A551">
        <v>11660411</v>
      </c>
      <c r="B551" t="s">
        <v>274</v>
      </c>
      <c r="C551" t="s">
        <v>272</v>
      </c>
      <c r="D551" t="s">
        <v>273</v>
      </c>
      <c r="E551" s="69">
        <v>40648</v>
      </c>
      <c r="F551" s="65">
        <v>0.95013888888888898</v>
      </c>
      <c r="G551" t="s">
        <v>1346</v>
      </c>
      <c r="H551" t="s">
        <v>1347</v>
      </c>
    </row>
    <row r="552" spans="1:8" s="80" customFormat="1">
      <c r="A552">
        <v>11660411</v>
      </c>
      <c r="B552" t="s">
        <v>274</v>
      </c>
      <c r="C552" t="s">
        <v>272</v>
      </c>
      <c r="D552" t="s">
        <v>273</v>
      </c>
      <c r="E552" s="69">
        <v>40649</v>
      </c>
      <c r="F552" s="65">
        <v>0.94651620370370371</v>
      </c>
      <c r="G552" t="s">
        <v>1346</v>
      </c>
      <c r="H552" t="s">
        <v>1347</v>
      </c>
    </row>
    <row r="553" spans="1:8" s="80" customFormat="1">
      <c r="A553">
        <v>11660411</v>
      </c>
      <c r="B553" t="s">
        <v>274</v>
      </c>
      <c r="C553" t="s">
        <v>272</v>
      </c>
      <c r="D553" t="s">
        <v>273</v>
      </c>
      <c r="E553" s="69">
        <v>40649</v>
      </c>
      <c r="F553" s="65">
        <v>0.61135416666666664</v>
      </c>
      <c r="G553" t="s">
        <v>1344</v>
      </c>
      <c r="H553" t="s">
        <v>1345</v>
      </c>
    </row>
    <row r="554" spans="1:8" s="80" customFormat="1">
      <c r="A554">
        <v>12020450</v>
      </c>
      <c r="B554" t="s">
        <v>808</v>
      </c>
      <c r="C554" t="s">
        <v>807</v>
      </c>
      <c r="D554" t="s">
        <v>791</v>
      </c>
      <c r="E554" s="69">
        <v>40644</v>
      </c>
      <c r="F554" s="65">
        <v>0.36896990740740737</v>
      </c>
      <c r="G554" t="s">
        <v>1344</v>
      </c>
      <c r="H554" t="s">
        <v>1345</v>
      </c>
    </row>
    <row r="555" spans="1:8" s="80" customFormat="1">
      <c r="A555">
        <v>12020450</v>
      </c>
      <c r="B555" t="s">
        <v>808</v>
      </c>
      <c r="C555" t="s">
        <v>807</v>
      </c>
      <c r="D555" t="s">
        <v>791</v>
      </c>
      <c r="E555" s="69">
        <v>40644</v>
      </c>
      <c r="F555" s="65">
        <v>0.77932870370370377</v>
      </c>
      <c r="G555" t="s">
        <v>1346</v>
      </c>
      <c r="H555" t="s">
        <v>1347</v>
      </c>
    </row>
    <row r="556" spans="1:8" s="80" customFormat="1">
      <c r="A556">
        <v>12020450</v>
      </c>
      <c r="B556" t="s">
        <v>808</v>
      </c>
      <c r="C556" t="s">
        <v>807</v>
      </c>
      <c r="D556" t="s">
        <v>791</v>
      </c>
      <c r="E556" s="69">
        <v>40645</v>
      </c>
      <c r="F556" s="65">
        <v>0.35831018518518515</v>
      </c>
      <c r="G556" t="s">
        <v>1344</v>
      </c>
      <c r="H556" t="s">
        <v>1345</v>
      </c>
    </row>
    <row r="557" spans="1:8" s="80" customFormat="1">
      <c r="A557">
        <v>12020450</v>
      </c>
      <c r="B557" t="s">
        <v>808</v>
      </c>
      <c r="C557" t="s">
        <v>807</v>
      </c>
      <c r="D557" t="s">
        <v>791</v>
      </c>
      <c r="E557" s="69">
        <v>40645</v>
      </c>
      <c r="F557" s="65">
        <v>0.77114583333333331</v>
      </c>
      <c r="G557" t="s">
        <v>1346</v>
      </c>
      <c r="H557" t="s">
        <v>1347</v>
      </c>
    </row>
    <row r="558" spans="1:8" s="80" customFormat="1">
      <c r="A558">
        <v>12020450</v>
      </c>
      <c r="B558" t="s">
        <v>808</v>
      </c>
      <c r="C558" t="s">
        <v>807</v>
      </c>
      <c r="D558" t="s">
        <v>791</v>
      </c>
      <c r="E558" s="69">
        <v>40646</v>
      </c>
      <c r="F558" s="65">
        <v>0.36357638888888894</v>
      </c>
      <c r="G558" t="s">
        <v>1344</v>
      </c>
      <c r="H558" t="s">
        <v>1345</v>
      </c>
    </row>
    <row r="559" spans="1:8" s="80" customFormat="1">
      <c r="A559">
        <v>12020450</v>
      </c>
      <c r="B559" t="s">
        <v>808</v>
      </c>
      <c r="C559" t="s">
        <v>807</v>
      </c>
      <c r="D559" t="s">
        <v>791</v>
      </c>
      <c r="E559" s="69">
        <v>40646</v>
      </c>
      <c r="F559" s="65">
        <v>0.773900462962963</v>
      </c>
      <c r="G559" t="s">
        <v>1346</v>
      </c>
      <c r="H559" t="s">
        <v>1347</v>
      </c>
    </row>
    <row r="560" spans="1:8" s="80" customFormat="1">
      <c r="A560">
        <v>12020450</v>
      </c>
      <c r="B560" t="s">
        <v>808</v>
      </c>
      <c r="C560" t="s">
        <v>807</v>
      </c>
      <c r="D560" t="s">
        <v>791</v>
      </c>
      <c r="E560" s="69">
        <v>40647</v>
      </c>
      <c r="F560" s="65">
        <v>0.36394675925925929</v>
      </c>
      <c r="G560" t="s">
        <v>1344</v>
      </c>
      <c r="H560" t="s">
        <v>1345</v>
      </c>
    </row>
    <row r="561" spans="1:8" s="80" customFormat="1">
      <c r="A561">
        <v>12020450</v>
      </c>
      <c r="B561" t="s">
        <v>808</v>
      </c>
      <c r="C561" t="s">
        <v>807</v>
      </c>
      <c r="D561" t="s">
        <v>791</v>
      </c>
      <c r="E561" s="69">
        <v>40647</v>
      </c>
      <c r="F561" s="65">
        <v>0.77729166666666671</v>
      </c>
      <c r="G561" t="s">
        <v>1346</v>
      </c>
      <c r="H561" t="s">
        <v>1347</v>
      </c>
    </row>
    <row r="562" spans="1:8" s="80" customFormat="1">
      <c r="A562">
        <v>12020450</v>
      </c>
      <c r="B562" t="s">
        <v>808</v>
      </c>
      <c r="C562" t="s">
        <v>807</v>
      </c>
      <c r="D562" t="s">
        <v>791</v>
      </c>
      <c r="E562" s="69">
        <v>40648</v>
      </c>
      <c r="F562" s="65">
        <v>0.75525462962962964</v>
      </c>
      <c r="G562" t="s">
        <v>1346</v>
      </c>
      <c r="H562" t="s">
        <v>1347</v>
      </c>
    </row>
    <row r="563" spans="1:8" s="80" customFormat="1">
      <c r="A563">
        <v>12020450</v>
      </c>
      <c r="B563" t="s">
        <v>808</v>
      </c>
      <c r="C563" t="s">
        <v>807</v>
      </c>
      <c r="D563" t="s">
        <v>791</v>
      </c>
      <c r="E563" s="69">
        <v>40648</v>
      </c>
      <c r="F563" s="65">
        <v>0.36821759259259257</v>
      </c>
      <c r="G563" t="s">
        <v>1344</v>
      </c>
      <c r="H563" t="s">
        <v>1345</v>
      </c>
    </row>
    <row r="564" spans="1:8" s="80" customFormat="1">
      <c r="A564">
        <v>12093149</v>
      </c>
      <c r="B564" t="s">
        <v>1147</v>
      </c>
      <c r="C564" t="s">
        <v>73</v>
      </c>
      <c r="D564" t="s">
        <v>272</v>
      </c>
      <c r="E564" s="69">
        <v>40644</v>
      </c>
      <c r="F564" s="65">
        <v>0.91502314814814811</v>
      </c>
      <c r="G564" t="s">
        <v>1344</v>
      </c>
      <c r="H564" t="s">
        <v>1345</v>
      </c>
    </row>
    <row r="565" spans="1:8" s="80" customFormat="1">
      <c r="A565">
        <v>12093149</v>
      </c>
      <c r="B565" t="s">
        <v>1147</v>
      </c>
      <c r="C565" t="s">
        <v>73</v>
      </c>
      <c r="D565" t="s">
        <v>272</v>
      </c>
      <c r="E565" s="69">
        <v>40645</v>
      </c>
      <c r="F565" s="65">
        <v>0.32420138888888889</v>
      </c>
      <c r="G565" t="s">
        <v>1346</v>
      </c>
      <c r="H565" t="s">
        <v>1347</v>
      </c>
    </row>
    <row r="566" spans="1:8" s="80" customFormat="1">
      <c r="A566">
        <v>12093149</v>
      </c>
      <c r="B566" t="s">
        <v>1147</v>
      </c>
      <c r="C566" t="s">
        <v>73</v>
      </c>
      <c r="D566" t="s">
        <v>272</v>
      </c>
      <c r="E566" s="69">
        <v>40645</v>
      </c>
      <c r="F566" s="65">
        <v>0.91811342592592593</v>
      </c>
      <c r="G566" t="s">
        <v>1344</v>
      </c>
      <c r="H566" t="s">
        <v>1345</v>
      </c>
    </row>
    <row r="567" spans="1:8" s="80" customFormat="1">
      <c r="A567">
        <v>12093149</v>
      </c>
      <c r="B567" t="s">
        <v>1147</v>
      </c>
      <c r="C567" t="s">
        <v>73</v>
      </c>
      <c r="D567" t="s">
        <v>272</v>
      </c>
      <c r="E567" s="69">
        <v>40646</v>
      </c>
      <c r="F567" s="65">
        <v>0.32450231481481479</v>
      </c>
      <c r="G567" t="s">
        <v>1346</v>
      </c>
      <c r="H567" t="s">
        <v>1347</v>
      </c>
    </row>
    <row r="568" spans="1:8" s="80" customFormat="1">
      <c r="A568">
        <v>12093149</v>
      </c>
      <c r="B568" t="s">
        <v>1147</v>
      </c>
      <c r="C568" t="s">
        <v>73</v>
      </c>
      <c r="D568" t="s">
        <v>272</v>
      </c>
      <c r="E568" s="69">
        <v>40646</v>
      </c>
      <c r="F568" s="65">
        <v>0.91859953703703701</v>
      </c>
      <c r="G568" t="s">
        <v>1344</v>
      </c>
      <c r="H568" t="s">
        <v>1345</v>
      </c>
    </row>
    <row r="569" spans="1:8" s="80" customFormat="1">
      <c r="A569">
        <v>12093149</v>
      </c>
      <c r="B569" t="s">
        <v>1147</v>
      </c>
      <c r="C569" t="s">
        <v>73</v>
      </c>
      <c r="D569" t="s">
        <v>272</v>
      </c>
      <c r="E569" s="69">
        <v>40647</v>
      </c>
      <c r="F569" s="65">
        <v>0.3288773148148148</v>
      </c>
      <c r="G569" t="s">
        <v>1346</v>
      </c>
      <c r="H569" t="s">
        <v>1347</v>
      </c>
    </row>
    <row r="570" spans="1:8" s="80" customFormat="1">
      <c r="A570">
        <v>12093149</v>
      </c>
      <c r="B570" t="s">
        <v>1147</v>
      </c>
      <c r="C570" t="s">
        <v>73</v>
      </c>
      <c r="D570" t="s">
        <v>272</v>
      </c>
      <c r="E570" s="69">
        <v>40647</v>
      </c>
      <c r="F570" s="65">
        <v>0.91442129629629632</v>
      </c>
      <c r="G570" t="s">
        <v>1344</v>
      </c>
      <c r="H570" t="s">
        <v>1345</v>
      </c>
    </row>
    <row r="571" spans="1:8" s="80" customFormat="1">
      <c r="A571">
        <v>12093149</v>
      </c>
      <c r="B571" t="s">
        <v>1147</v>
      </c>
      <c r="C571" t="s">
        <v>73</v>
      </c>
      <c r="D571" t="s">
        <v>272</v>
      </c>
      <c r="E571" s="69">
        <v>40648</v>
      </c>
      <c r="F571" s="65">
        <v>0.32385416666666667</v>
      </c>
      <c r="G571" t="s">
        <v>1346</v>
      </c>
      <c r="H571" t="s">
        <v>1347</v>
      </c>
    </row>
    <row r="572" spans="1:8" s="80" customFormat="1">
      <c r="A572">
        <v>12093149</v>
      </c>
      <c r="B572" t="s">
        <v>1147</v>
      </c>
      <c r="C572" t="s">
        <v>73</v>
      </c>
      <c r="D572" t="s">
        <v>272</v>
      </c>
      <c r="E572" s="69">
        <v>40648</v>
      </c>
      <c r="F572" s="65">
        <v>0.92718750000000005</v>
      </c>
      <c r="G572" t="s">
        <v>1344</v>
      </c>
      <c r="H572" t="s">
        <v>1345</v>
      </c>
    </row>
    <row r="573" spans="1:8" s="80" customFormat="1">
      <c r="A573">
        <v>12093149</v>
      </c>
      <c r="B573" t="s">
        <v>1147</v>
      </c>
      <c r="C573" t="s">
        <v>73</v>
      </c>
      <c r="D573" t="s">
        <v>272</v>
      </c>
      <c r="E573" s="69">
        <v>40649</v>
      </c>
      <c r="F573" s="65">
        <v>0.32806712962962964</v>
      </c>
      <c r="G573" t="s">
        <v>1346</v>
      </c>
      <c r="H573" t="s">
        <v>1347</v>
      </c>
    </row>
    <row r="574" spans="1:8" s="80" customFormat="1">
      <c r="A574">
        <v>12093228</v>
      </c>
      <c r="B574" t="s">
        <v>96</v>
      </c>
      <c r="C574" t="s">
        <v>94</v>
      </c>
      <c r="D574" t="s">
        <v>95</v>
      </c>
      <c r="E574" s="69">
        <v>40644</v>
      </c>
      <c r="F574" s="65">
        <v>0.29274305555555552</v>
      </c>
      <c r="G574" t="s">
        <v>1344</v>
      </c>
      <c r="H574" t="s">
        <v>1345</v>
      </c>
    </row>
    <row r="575" spans="1:8" s="80" customFormat="1">
      <c r="A575">
        <v>12093228</v>
      </c>
      <c r="B575" t="s">
        <v>96</v>
      </c>
      <c r="C575" t="s">
        <v>94</v>
      </c>
      <c r="D575" t="s">
        <v>95</v>
      </c>
      <c r="E575" s="69">
        <v>40644</v>
      </c>
      <c r="F575" s="65">
        <v>0.78828703703703706</v>
      </c>
      <c r="G575" t="s">
        <v>1346</v>
      </c>
      <c r="H575" t="s">
        <v>1347</v>
      </c>
    </row>
    <row r="576" spans="1:8" s="80" customFormat="1">
      <c r="A576">
        <v>12093228</v>
      </c>
      <c r="B576" t="s">
        <v>96</v>
      </c>
      <c r="C576" t="s">
        <v>94</v>
      </c>
      <c r="D576" t="s">
        <v>95</v>
      </c>
      <c r="E576" s="69">
        <v>40645</v>
      </c>
      <c r="F576" s="65">
        <v>0.29252314814814812</v>
      </c>
      <c r="G576" t="s">
        <v>1344</v>
      </c>
      <c r="H576" t="s">
        <v>1345</v>
      </c>
    </row>
    <row r="577" spans="1:8" s="80" customFormat="1">
      <c r="A577">
        <v>12093228</v>
      </c>
      <c r="B577" t="s">
        <v>96</v>
      </c>
      <c r="C577" t="s">
        <v>94</v>
      </c>
      <c r="D577" t="s">
        <v>95</v>
      </c>
      <c r="E577" s="69">
        <v>40645</v>
      </c>
      <c r="F577" s="65">
        <v>0.788599537037037</v>
      </c>
      <c r="G577" t="s">
        <v>1346</v>
      </c>
      <c r="H577" t="s">
        <v>1347</v>
      </c>
    </row>
    <row r="578" spans="1:8" s="80" customFormat="1">
      <c r="A578">
        <v>12093228</v>
      </c>
      <c r="B578" t="s">
        <v>96</v>
      </c>
      <c r="C578" t="s">
        <v>94</v>
      </c>
      <c r="D578" t="s">
        <v>95</v>
      </c>
      <c r="E578" s="69">
        <v>40646</v>
      </c>
      <c r="F578" s="65">
        <v>0.2945949074074074</v>
      </c>
      <c r="G578" t="s">
        <v>1344</v>
      </c>
      <c r="H578" t="s">
        <v>1345</v>
      </c>
    </row>
    <row r="579" spans="1:8" s="80" customFormat="1">
      <c r="A579">
        <v>12093228</v>
      </c>
      <c r="B579" t="s">
        <v>96</v>
      </c>
      <c r="C579" t="s">
        <v>94</v>
      </c>
      <c r="D579" t="s">
        <v>95</v>
      </c>
      <c r="E579" s="69">
        <v>40646</v>
      </c>
      <c r="F579" s="65">
        <v>0.7903472222222222</v>
      </c>
      <c r="G579" t="s">
        <v>1346</v>
      </c>
      <c r="H579" t="s">
        <v>1347</v>
      </c>
    </row>
    <row r="580" spans="1:8" s="80" customFormat="1">
      <c r="A580">
        <v>12093228</v>
      </c>
      <c r="B580" t="s">
        <v>96</v>
      </c>
      <c r="C580" t="s">
        <v>94</v>
      </c>
      <c r="D580" t="s">
        <v>95</v>
      </c>
      <c r="E580" s="69">
        <v>40647</v>
      </c>
      <c r="F580" s="65">
        <v>0.29274305555555552</v>
      </c>
      <c r="G580" t="s">
        <v>1344</v>
      </c>
      <c r="H580" t="s">
        <v>1345</v>
      </c>
    </row>
    <row r="581" spans="1:8" s="80" customFormat="1">
      <c r="A581">
        <v>12093228</v>
      </c>
      <c r="B581" t="s">
        <v>96</v>
      </c>
      <c r="C581" t="s">
        <v>94</v>
      </c>
      <c r="D581" t="s">
        <v>95</v>
      </c>
      <c r="E581" s="69">
        <v>40647</v>
      </c>
      <c r="F581" s="65">
        <v>0.80184027777777789</v>
      </c>
      <c r="G581" t="s">
        <v>1346</v>
      </c>
      <c r="H581" t="s">
        <v>1347</v>
      </c>
    </row>
    <row r="582" spans="1:8" s="80" customFormat="1">
      <c r="A582">
        <v>12093228</v>
      </c>
      <c r="B582" t="s">
        <v>96</v>
      </c>
      <c r="C582" t="s">
        <v>94</v>
      </c>
      <c r="D582" t="s">
        <v>95</v>
      </c>
      <c r="E582" s="69">
        <v>40648</v>
      </c>
      <c r="F582" s="65">
        <v>0.75437500000000002</v>
      </c>
      <c r="G582" t="s">
        <v>1346</v>
      </c>
      <c r="H582" t="s">
        <v>1347</v>
      </c>
    </row>
    <row r="583" spans="1:8" s="80" customFormat="1">
      <c r="A583">
        <v>12093228</v>
      </c>
      <c r="B583" t="s">
        <v>96</v>
      </c>
      <c r="C583" t="s">
        <v>94</v>
      </c>
      <c r="D583" t="s">
        <v>95</v>
      </c>
      <c r="E583" s="69">
        <v>40648</v>
      </c>
      <c r="F583" s="65">
        <v>0.30587962962962961</v>
      </c>
      <c r="G583" t="s">
        <v>1346</v>
      </c>
      <c r="H583" t="s">
        <v>1347</v>
      </c>
    </row>
    <row r="584" spans="1:8" s="80" customFormat="1">
      <c r="A584">
        <v>12210109</v>
      </c>
      <c r="B584" t="s">
        <v>1269</v>
      </c>
      <c r="C584" t="s">
        <v>1163</v>
      </c>
      <c r="D584" t="s">
        <v>706</v>
      </c>
      <c r="E584" s="69">
        <v>40644</v>
      </c>
      <c r="F584" s="65">
        <v>0.29684027777777777</v>
      </c>
      <c r="G584" t="s">
        <v>1344</v>
      </c>
      <c r="H584" t="s">
        <v>1345</v>
      </c>
    </row>
    <row r="585" spans="1:8" s="80" customFormat="1">
      <c r="A585">
        <v>12210109</v>
      </c>
      <c r="B585" t="s">
        <v>1269</v>
      </c>
      <c r="C585" t="s">
        <v>1163</v>
      </c>
      <c r="D585" t="s">
        <v>706</v>
      </c>
      <c r="E585" s="69">
        <v>40644</v>
      </c>
      <c r="F585" s="65">
        <v>0.63315972222222217</v>
      </c>
      <c r="G585" t="s">
        <v>1346</v>
      </c>
      <c r="H585" t="s">
        <v>1347</v>
      </c>
    </row>
    <row r="586" spans="1:8" s="80" customFormat="1">
      <c r="A586">
        <v>12210109</v>
      </c>
      <c r="B586" t="s">
        <v>1269</v>
      </c>
      <c r="C586" t="s">
        <v>1163</v>
      </c>
      <c r="D586" t="s">
        <v>706</v>
      </c>
      <c r="E586" s="69">
        <v>40645</v>
      </c>
      <c r="F586" s="65">
        <v>0.29693287037037036</v>
      </c>
      <c r="G586" t="s">
        <v>1344</v>
      </c>
      <c r="H586" t="s">
        <v>1345</v>
      </c>
    </row>
    <row r="587" spans="1:8" s="80" customFormat="1">
      <c r="A587">
        <v>12210109</v>
      </c>
      <c r="B587" t="s">
        <v>1269</v>
      </c>
      <c r="C587" t="s">
        <v>1163</v>
      </c>
      <c r="D587" t="s">
        <v>706</v>
      </c>
      <c r="E587" s="69">
        <v>40645</v>
      </c>
      <c r="F587" s="65">
        <v>0.63312500000000005</v>
      </c>
      <c r="G587" t="s">
        <v>1346</v>
      </c>
      <c r="H587" t="s">
        <v>1347</v>
      </c>
    </row>
    <row r="588" spans="1:8" s="80" customFormat="1">
      <c r="A588">
        <v>12210109</v>
      </c>
      <c r="B588" t="s">
        <v>1269</v>
      </c>
      <c r="C588" t="s">
        <v>1163</v>
      </c>
      <c r="D588" t="s">
        <v>706</v>
      </c>
      <c r="E588" s="69">
        <v>40646</v>
      </c>
      <c r="F588" s="65">
        <v>0.30879629629629629</v>
      </c>
      <c r="G588" t="s">
        <v>1344</v>
      </c>
      <c r="H588" t="s">
        <v>1345</v>
      </c>
    </row>
    <row r="589" spans="1:8" s="80" customFormat="1">
      <c r="A589">
        <v>12210109</v>
      </c>
      <c r="B589" t="s">
        <v>1269</v>
      </c>
      <c r="C589" t="s">
        <v>1163</v>
      </c>
      <c r="D589" t="s">
        <v>706</v>
      </c>
      <c r="E589" s="69">
        <v>40646</v>
      </c>
      <c r="F589" s="65">
        <v>0.62711805555555555</v>
      </c>
      <c r="G589" t="s">
        <v>1346</v>
      </c>
      <c r="H589" t="s">
        <v>1347</v>
      </c>
    </row>
    <row r="590" spans="1:8" s="80" customFormat="1">
      <c r="A590">
        <v>12210109</v>
      </c>
      <c r="B590" t="s">
        <v>1269</v>
      </c>
      <c r="C590" t="s">
        <v>1163</v>
      </c>
      <c r="D590" t="s">
        <v>706</v>
      </c>
      <c r="E590" s="69">
        <v>40647</v>
      </c>
      <c r="F590" s="65">
        <v>0.29684027777777777</v>
      </c>
      <c r="G590" t="s">
        <v>1344</v>
      </c>
      <c r="H590" t="s">
        <v>1345</v>
      </c>
    </row>
    <row r="591" spans="1:8" s="80" customFormat="1">
      <c r="A591">
        <v>12210109</v>
      </c>
      <c r="B591" t="s">
        <v>1269</v>
      </c>
      <c r="C591" t="s">
        <v>1163</v>
      </c>
      <c r="D591" t="s">
        <v>706</v>
      </c>
      <c r="E591" s="69">
        <v>40647</v>
      </c>
      <c r="F591" s="65">
        <v>0.63468749999999996</v>
      </c>
      <c r="G591" t="s">
        <v>1346</v>
      </c>
      <c r="H591" t="s">
        <v>1347</v>
      </c>
    </row>
    <row r="592" spans="1:8" s="80" customFormat="1">
      <c r="A592">
        <v>12210109</v>
      </c>
      <c r="B592" t="s">
        <v>1269</v>
      </c>
      <c r="C592" t="s">
        <v>1163</v>
      </c>
      <c r="D592" t="s">
        <v>706</v>
      </c>
      <c r="E592" s="69">
        <v>40648</v>
      </c>
      <c r="F592" s="65">
        <v>0.63479166666666664</v>
      </c>
      <c r="G592" t="s">
        <v>1346</v>
      </c>
      <c r="H592" t="s">
        <v>1347</v>
      </c>
    </row>
    <row r="593" spans="1:8" s="80" customFormat="1">
      <c r="A593">
        <v>12210109</v>
      </c>
      <c r="B593" t="s">
        <v>1269</v>
      </c>
      <c r="C593" t="s">
        <v>1163</v>
      </c>
      <c r="D593" t="s">
        <v>706</v>
      </c>
      <c r="E593" s="69">
        <v>40648</v>
      </c>
      <c r="F593" s="65">
        <v>0.29725694444444445</v>
      </c>
      <c r="G593" t="s">
        <v>1344</v>
      </c>
      <c r="H593" t="s">
        <v>1345</v>
      </c>
    </row>
    <row r="594" spans="1:8" s="80" customFormat="1">
      <c r="A594">
        <v>12210109</v>
      </c>
      <c r="B594" t="s">
        <v>1269</v>
      </c>
      <c r="C594" t="s">
        <v>1163</v>
      </c>
      <c r="D594" t="s">
        <v>706</v>
      </c>
      <c r="E594" s="69">
        <v>40649</v>
      </c>
      <c r="F594" s="65">
        <v>0.29531250000000003</v>
      </c>
      <c r="G594" t="s">
        <v>1344</v>
      </c>
      <c r="H594" t="s">
        <v>1345</v>
      </c>
    </row>
    <row r="595" spans="1:8" s="80" customFormat="1">
      <c r="A595">
        <v>12210109</v>
      </c>
      <c r="B595" t="s">
        <v>1269</v>
      </c>
      <c r="C595" t="s">
        <v>1163</v>
      </c>
      <c r="D595" t="s">
        <v>706</v>
      </c>
      <c r="E595" s="69">
        <v>40649</v>
      </c>
      <c r="F595" s="65">
        <v>0.63731481481481478</v>
      </c>
      <c r="G595" t="s">
        <v>1346</v>
      </c>
      <c r="H595" t="s">
        <v>1347</v>
      </c>
    </row>
    <row r="596" spans="1:8" s="80" customFormat="1">
      <c r="A596">
        <v>12500119</v>
      </c>
      <c r="B596" t="s">
        <v>982</v>
      </c>
      <c r="C596" t="s">
        <v>981</v>
      </c>
      <c r="D596" t="s">
        <v>712</v>
      </c>
      <c r="E596" s="69">
        <v>40644</v>
      </c>
      <c r="F596" s="65">
        <v>0.33761574074074074</v>
      </c>
      <c r="G596" t="s">
        <v>1344</v>
      </c>
      <c r="H596" t="s">
        <v>1345</v>
      </c>
    </row>
    <row r="597" spans="1:8" s="80" customFormat="1">
      <c r="A597">
        <v>12500119</v>
      </c>
      <c r="B597" t="s">
        <v>982</v>
      </c>
      <c r="C597" t="s">
        <v>981</v>
      </c>
      <c r="D597" t="s">
        <v>712</v>
      </c>
      <c r="E597" s="69">
        <v>40644</v>
      </c>
      <c r="F597" s="65">
        <v>0.72804398148148142</v>
      </c>
      <c r="G597" t="s">
        <v>1346</v>
      </c>
      <c r="H597" t="s">
        <v>1347</v>
      </c>
    </row>
    <row r="598" spans="1:8" s="80" customFormat="1">
      <c r="A598">
        <v>12500119</v>
      </c>
      <c r="B598" t="s">
        <v>982</v>
      </c>
      <c r="C598" t="s">
        <v>981</v>
      </c>
      <c r="D598" t="s">
        <v>712</v>
      </c>
      <c r="E598" s="69">
        <v>40645</v>
      </c>
      <c r="F598" s="65">
        <v>0.29636574074074074</v>
      </c>
      <c r="G598" t="s">
        <v>1344</v>
      </c>
      <c r="H598" t="s">
        <v>1345</v>
      </c>
    </row>
    <row r="599" spans="1:8" s="80" customFormat="1">
      <c r="A599">
        <v>12500119</v>
      </c>
      <c r="B599" t="s">
        <v>982</v>
      </c>
      <c r="C599" t="s">
        <v>981</v>
      </c>
      <c r="D599" t="s">
        <v>712</v>
      </c>
      <c r="E599" s="69">
        <v>40645</v>
      </c>
      <c r="F599" s="65">
        <v>0.47752314814814811</v>
      </c>
      <c r="G599" t="s">
        <v>1346</v>
      </c>
      <c r="H599" t="s">
        <v>1347</v>
      </c>
    </row>
    <row r="600" spans="1:8" s="80" customFormat="1">
      <c r="A600">
        <v>12500119</v>
      </c>
      <c r="B600" t="s">
        <v>982</v>
      </c>
      <c r="C600" t="s">
        <v>981</v>
      </c>
      <c r="D600" t="s">
        <v>712</v>
      </c>
      <c r="E600" s="69">
        <v>40646</v>
      </c>
      <c r="F600" s="65">
        <v>0.34084490740740742</v>
      </c>
      <c r="G600" t="s">
        <v>1344</v>
      </c>
      <c r="H600" t="s">
        <v>1345</v>
      </c>
    </row>
    <row r="601" spans="1:8" s="80" customFormat="1">
      <c r="A601">
        <v>12500119</v>
      </c>
      <c r="B601" t="s">
        <v>982</v>
      </c>
      <c r="C601" t="s">
        <v>981</v>
      </c>
      <c r="D601" t="s">
        <v>712</v>
      </c>
      <c r="E601" s="69">
        <v>40646</v>
      </c>
      <c r="F601" s="65">
        <v>0.73534722222222226</v>
      </c>
      <c r="G601" t="s">
        <v>1346</v>
      </c>
      <c r="H601" t="s">
        <v>1347</v>
      </c>
    </row>
    <row r="602" spans="1:8" s="80" customFormat="1">
      <c r="A602">
        <v>12500119</v>
      </c>
      <c r="B602" t="s">
        <v>982</v>
      </c>
      <c r="C602" t="s">
        <v>981</v>
      </c>
      <c r="D602" t="s">
        <v>712</v>
      </c>
      <c r="E602" s="69">
        <v>40647</v>
      </c>
      <c r="F602" s="65">
        <v>0.29609953703703701</v>
      </c>
      <c r="G602" t="s">
        <v>1344</v>
      </c>
      <c r="H602" t="s">
        <v>1345</v>
      </c>
    </row>
    <row r="603" spans="1:8" s="80" customFormat="1">
      <c r="A603">
        <v>12500119</v>
      </c>
      <c r="B603" t="s">
        <v>982</v>
      </c>
      <c r="C603" t="s">
        <v>981</v>
      </c>
      <c r="D603" t="s">
        <v>712</v>
      </c>
      <c r="E603" s="69">
        <v>40647</v>
      </c>
      <c r="F603" s="65">
        <v>0.7318634259259259</v>
      </c>
      <c r="G603" t="s">
        <v>1346</v>
      </c>
      <c r="H603" t="s">
        <v>1347</v>
      </c>
    </row>
    <row r="604" spans="1:8" s="80" customFormat="1">
      <c r="A604">
        <v>12500119</v>
      </c>
      <c r="B604" t="s">
        <v>982</v>
      </c>
      <c r="C604" t="s">
        <v>981</v>
      </c>
      <c r="D604" t="s">
        <v>712</v>
      </c>
      <c r="E604" s="69">
        <v>40648</v>
      </c>
      <c r="F604" s="65">
        <v>0.72800925925925919</v>
      </c>
      <c r="G604" t="s">
        <v>1346</v>
      </c>
      <c r="H604" t="s">
        <v>1347</v>
      </c>
    </row>
    <row r="605" spans="1:8" s="80" customFormat="1">
      <c r="A605">
        <v>12500119</v>
      </c>
      <c r="B605" t="s">
        <v>982</v>
      </c>
      <c r="C605" t="s">
        <v>981</v>
      </c>
      <c r="D605" t="s">
        <v>712</v>
      </c>
      <c r="E605" s="69">
        <v>40648</v>
      </c>
      <c r="F605" s="65">
        <v>0.29627314814814815</v>
      </c>
      <c r="G605" t="s">
        <v>1344</v>
      </c>
      <c r="H605" t="s">
        <v>1345</v>
      </c>
    </row>
    <row r="606" spans="1:8" s="80" customFormat="1">
      <c r="A606">
        <v>12677439</v>
      </c>
      <c r="B606" t="s">
        <v>38</v>
      </c>
      <c r="C606" t="s">
        <v>36</v>
      </c>
      <c r="D606" t="s">
        <v>37</v>
      </c>
      <c r="E606" s="69">
        <v>40644</v>
      </c>
      <c r="F606" s="65">
        <v>0.29577546296296298</v>
      </c>
      <c r="G606" t="s">
        <v>1344</v>
      </c>
      <c r="H606" t="s">
        <v>1345</v>
      </c>
    </row>
    <row r="607" spans="1:8" s="80" customFormat="1">
      <c r="A607">
        <v>12677439</v>
      </c>
      <c r="B607" t="s">
        <v>38</v>
      </c>
      <c r="C607" t="s">
        <v>36</v>
      </c>
      <c r="D607" t="s">
        <v>37</v>
      </c>
      <c r="E607" s="69">
        <v>40644</v>
      </c>
      <c r="F607" s="65">
        <v>0.63282407407407404</v>
      </c>
      <c r="G607" t="s">
        <v>1346</v>
      </c>
      <c r="H607" t="s">
        <v>1347</v>
      </c>
    </row>
    <row r="608" spans="1:8" s="80" customFormat="1">
      <c r="A608">
        <v>12677439</v>
      </c>
      <c r="B608" t="s">
        <v>38</v>
      </c>
      <c r="C608" t="s">
        <v>36</v>
      </c>
      <c r="D608" t="s">
        <v>37</v>
      </c>
      <c r="E608" s="69">
        <v>40645</v>
      </c>
      <c r="F608" s="65">
        <v>0.30804398148148149</v>
      </c>
      <c r="G608" t="s">
        <v>1344</v>
      </c>
      <c r="H608" t="s">
        <v>1345</v>
      </c>
    </row>
    <row r="609" spans="1:8" s="80" customFormat="1">
      <c r="A609">
        <v>12677439</v>
      </c>
      <c r="B609" t="s">
        <v>38</v>
      </c>
      <c r="C609" t="s">
        <v>36</v>
      </c>
      <c r="D609" t="s">
        <v>37</v>
      </c>
      <c r="E609" s="69">
        <v>40645</v>
      </c>
      <c r="F609" s="65">
        <v>0.63318287037037035</v>
      </c>
      <c r="G609" t="s">
        <v>1346</v>
      </c>
      <c r="H609" t="s">
        <v>1347</v>
      </c>
    </row>
    <row r="610" spans="1:8" s="80" customFormat="1">
      <c r="A610">
        <v>12677439</v>
      </c>
      <c r="B610" t="s">
        <v>38</v>
      </c>
      <c r="C610" t="s">
        <v>36</v>
      </c>
      <c r="D610" t="s">
        <v>37</v>
      </c>
      <c r="E610" s="69">
        <v>40646</v>
      </c>
      <c r="F610" s="65">
        <v>0.29628472222222224</v>
      </c>
      <c r="G610" t="s">
        <v>1344</v>
      </c>
      <c r="H610" t="s">
        <v>1345</v>
      </c>
    </row>
    <row r="611" spans="1:8" s="80" customFormat="1">
      <c r="A611">
        <v>12677439</v>
      </c>
      <c r="B611" t="s">
        <v>38</v>
      </c>
      <c r="C611" t="s">
        <v>36</v>
      </c>
      <c r="D611" t="s">
        <v>37</v>
      </c>
      <c r="E611" s="69">
        <v>40646</v>
      </c>
      <c r="F611" s="65">
        <v>0.6541203703703703</v>
      </c>
      <c r="G611" t="s">
        <v>1346</v>
      </c>
      <c r="H611" t="s">
        <v>1347</v>
      </c>
    </row>
    <row r="612" spans="1:8" s="80" customFormat="1">
      <c r="A612">
        <v>12677439</v>
      </c>
      <c r="B612" t="s">
        <v>38</v>
      </c>
      <c r="C612" t="s">
        <v>36</v>
      </c>
      <c r="D612" t="s">
        <v>37</v>
      </c>
      <c r="E612" s="69">
        <v>40647</v>
      </c>
      <c r="F612" s="65">
        <v>0.29650462962962965</v>
      </c>
      <c r="G612" t="s">
        <v>1344</v>
      </c>
      <c r="H612" t="s">
        <v>1345</v>
      </c>
    </row>
    <row r="613" spans="1:8" s="80" customFormat="1">
      <c r="A613">
        <v>12677439</v>
      </c>
      <c r="B613" t="s">
        <v>38</v>
      </c>
      <c r="C613" t="s">
        <v>36</v>
      </c>
      <c r="D613" t="s">
        <v>37</v>
      </c>
      <c r="E613" s="69">
        <v>40647</v>
      </c>
      <c r="F613" s="65">
        <v>0.63299768518518518</v>
      </c>
      <c r="G613" t="s">
        <v>1346</v>
      </c>
      <c r="H613" t="s">
        <v>1347</v>
      </c>
    </row>
    <row r="614" spans="1:8" s="80" customFormat="1">
      <c r="A614">
        <v>12677439</v>
      </c>
      <c r="B614" t="s">
        <v>38</v>
      </c>
      <c r="C614" t="s">
        <v>36</v>
      </c>
      <c r="D614" t="s">
        <v>37</v>
      </c>
      <c r="E614" s="69">
        <v>40648</v>
      </c>
      <c r="F614" s="65">
        <v>0.65210648148148154</v>
      </c>
      <c r="G614" t="s">
        <v>1346</v>
      </c>
      <c r="H614" t="s">
        <v>1347</v>
      </c>
    </row>
    <row r="615" spans="1:8" s="80" customFormat="1">
      <c r="A615">
        <v>12677439</v>
      </c>
      <c r="B615" t="s">
        <v>38</v>
      </c>
      <c r="C615" t="s">
        <v>36</v>
      </c>
      <c r="D615" t="s">
        <v>37</v>
      </c>
      <c r="E615" s="69">
        <v>40648</v>
      </c>
      <c r="F615" s="65">
        <v>0.29653935185185182</v>
      </c>
      <c r="G615" t="s">
        <v>1344</v>
      </c>
      <c r="H615" t="s">
        <v>1345</v>
      </c>
    </row>
    <row r="616" spans="1:8" s="80" customFormat="1">
      <c r="A616">
        <v>12677439</v>
      </c>
      <c r="B616" t="s">
        <v>38</v>
      </c>
      <c r="C616" t="s">
        <v>36</v>
      </c>
      <c r="D616" t="s">
        <v>37</v>
      </c>
      <c r="E616" s="69">
        <v>40649</v>
      </c>
      <c r="F616" s="65">
        <v>0.29484953703703703</v>
      </c>
      <c r="G616" t="s">
        <v>1344</v>
      </c>
      <c r="H616" t="s">
        <v>1345</v>
      </c>
    </row>
    <row r="617" spans="1:8" s="80" customFormat="1">
      <c r="A617">
        <v>12677439</v>
      </c>
      <c r="B617" t="s">
        <v>38</v>
      </c>
      <c r="C617" t="s">
        <v>36</v>
      </c>
      <c r="D617" t="s">
        <v>37</v>
      </c>
      <c r="E617" s="69">
        <v>40649</v>
      </c>
      <c r="F617" s="65">
        <v>0.62876157407407407</v>
      </c>
      <c r="G617" t="s">
        <v>1346</v>
      </c>
      <c r="H617" t="s">
        <v>1347</v>
      </c>
    </row>
    <row r="618" spans="1:8" s="80" customFormat="1">
      <c r="A618">
        <v>13045231</v>
      </c>
      <c r="B618" t="s">
        <v>1105</v>
      </c>
      <c r="C618" t="s">
        <v>94</v>
      </c>
      <c r="D618" t="s">
        <v>52</v>
      </c>
      <c r="E618" s="69">
        <v>40644</v>
      </c>
      <c r="F618" s="65">
        <v>0.29543981481481479</v>
      </c>
      <c r="G618" t="s">
        <v>1344</v>
      </c>
      <c r="H618" t="s">
        <v>1345</v>
      </c>
    </row>
    <row r="619" spans="1:8" s="80" customFormat="1">
      <c r="A619">
        <v>13045231</v>
      </c>
      <c r="B619" t="s">
        <v>1105</v>
      </c>
      <c r="C619" t="s">
        <v>94</v>
      </c>
      <c r="D619" t="s">
        <v>52</v>
      </c>
      <c r="E619" s="69">
        <v>40644</v>
      </c>
      <c r="F619" s="65">
        <v>0.64180555555555552</v>
      </c>
      <c r="G619" t="s">
        <v>1346</v>
      </c>
      <c r="H619" t="s">
        <v>1347</v>
      </c>
    </row>
    <row r="620" spans="1:8" s="80" customFormat="1">
      <c r="A620">
        <v>13045231</v>
      </c>
      <c r="B620" t="s">
        <v>1105</v>
      </c>
      <c r="C620" t="s">
        <v>94</v>
      </c>
      <c r="D620" t="s">
        <v>52</v>
      </c>
      <c r="E620" s="69">
        <v>40645</v>
      </c>
      <c r="F620" s="65">
        <v>0.29655092592592591</v>
      </c>
      <c r="G620" t="s">
        <v>1344</v>
      </c>
      <c r="H620" t="s">
        <v>1345</v>
      </c>
    </row>
    <row r="621" spans="1:8" s="80" customFormat="1">
      <c r="A621">
        <v>13045231</v>
      </c>
      <c r="B621" t="s">
        <v>1105</v>
      </c>
      <c r="C621" t="s">
        <v>94</v>
      </c>
      <c r="D621" t="s">
        <v>52</v>
      </c>
      <c r="E621" s="69">
        <v>40645</v>
      </c>
      <c r="F621" s="65">
        <v>0.63953703703703701</v>
      </c>
      <c r="G621" t="s">
        <v>1346</v>
      </c>
      <c r="H621" t="s">
        <v>1347</v>
      </c>
    </row>
    <row r="622" spans="1:8" s="80" customFormat="1">
      <c r="A622">
        <v>13045231</v>
      </c>
      <c r="B622" t="s">
        <v>1105</v>
      </c>
      <c r="C622" t="s">
        <v>94</v>
      </c>
      <c r="D622" t="s">
        <v>52</v>
      </c>
      <c r="E622" s="69">
        <v>40646</v>
      </c>
      <c r="F622" s="65">
        <v>0.29640046296296296</v>
      </c>
      <c r="G622" t="s">
        <v>1344</v>
      </c>
      <c r="H622" t="s">
        <v>1345</v>
      </c>
    </row>
    <row r="623" spans="1:8" s="80" customFormat="1">
      <c r="A623">
        <v>13045231</v>
      </c>
      <c r="B623" t="s">
        <v>1105</v>
      </c>
      <c r="C623" t="s">
        <v>94</v>
      </c>
      <c r="D623" t="s">
        <v>52</v>
      </c>
      <c r="E623" s="69">
        <v>40646</v>
      </c>
      <c r="F623" s="65">
        <v>0.63694444444444442</v>
      </c>
      <c r="G623" t="s">
        <v>1346</v>
      </c>
      <c r="H623" t="s">
        <v>1347</v>
      </c>
    </row>
    <row r="624" spans="1:8" s="80" customFormat="1">
      <c r="A624">
        <v>13045231</v>
      </c>
      <c r="B624" t="s">
        <v>1105</v>
      </c>
      <c r="C624" t="s">
        <v>94</v>
      </c>
      <c r="D624" t="s">
        <v>52</v>
      </c>
      <c r="E624" s="69">
        <v>40647</v>
      </c>
      <c r="F624" s="65">
        <v>0.29673611111111114</v>
      </c>
      <c r="G624" t="s">
        <v>1344</v>
      </c>
      <c r="H624" t="s">
        <v>1345</v>
      </c>
    </row>
    <row r="625" spans="1:8" s="80" customFormat="1">
      <c r="A625">
        <v>13045231</v>
      </c>
      <c r="B625" t="s">
        <v>1105</v>
      </c>
      <c r="C625" t="s">
        <v>94</v>
      </c>
      <c r="D625" t="s">
        <v>52</v>
      </c>
      <c r="E625" s="69">
        <v>40647</v>
      </c>
      <c r="F625" s="65">
        <v>0.64226851851851852</v>
      </c>
      <c r="G625" t="s">
        <v>1346</v>
      </c>
      <c r="H625" t="s">
        <v>1347</v>
      </c>
    </row>
    <row r="626" spans="1:8" s="80" customFormat="1">
      <c r="A626">
        <v>13045231</v>
      </c>
      <c r="B626" t="s">
        <v>1105</v>
      </c>
      <c r="C626" t="s">
        <v>94</v>
      </c>
      <c r="D626" t="s">
        <v>52</v>
      </c>
      <c r="E626" s="69">
        <v>40648</v>
      </c>
      <c r="F626" s="65">
        <v>0.69627314814814811</v>
      </c>
      <c r="G626" t="s">
        <v>1346</v>
      </c>
      <c r="H626" t="s">
        <v>1347</v>
      </c>
    </row>
    <row r="627" spans="1:8" s="80" customFormat="1">
      <c r="A627">
        <v>13045231</v>
      </c>
      <c r="B627" t="s">
        <v>1105</v>
      </c>
      <c r="C627" t="s">
        <v>94</v>
      </c>
      <c r="D627" t="s">
        <v>52</v>
      </c>
      <c r="E627" s="69">
        <v>40648</v>
      </c>
      <c r="F627" s="65">
        <v>0.29641203703703706</v>
      </c>
      <c r="G627" t="s">
        <v>1344</v>
      </c>
      <c r="H627" t="s">
        <v>1345</v>
      </c>
    </row>
    <row r="628" spans="1:8" s="80" customFormat="1">
      <c r="A628">
        <v>13045231</v>
      </c>
      <c r="B628" t="s">
        <v>1105</v>
      </c>
      <c r="C628" t="s">
        <v>94</v>
      </c>
      <c r="D628" t="s">
        <v>52</v>
      </c>
      <c r="E628" s="69">
        <v>40649</v>
      </c>
      <c r="F628" s="65">
        <v>0.30158564814814814</v>
      </c>
      <c r="G628" t="s">
        <v>1344</v>
      </c>
      <c r="H628" t="s">
        <v>1345</v>
      </c>
    </row>
    <row r="629" spans="1:8" s="80" customFormat="1">
      <c r="A629">
        <v>13045231</v>
      </c>
      <c r="B629" t="s">
        <v>1105</v>
      </c>
      <c r="C629" t="s">
        <v>94</v>
      </c>
      <c r="D629" t="s">
        <v>52</v>
      </c>
      <c r="E629" s="69">
        <v>40649</v>
      </c>
      <c r="F629" s="65">
        <v>0.63670138888888894</v>
      </c>
      <c r="G629" t="s">
        <v>1346</v>
      </c>
      <c r="H629" t="s">
        <v>1347</v>
      </c>
    </row>
    <row r="630" spans="1:8" s="80" customFormat="1">
      <c r="A630">
        <v>13100464</v>
      </c>
      <c r="B630" t="s">
        <v>436</v>
      </c>
      <c r="C630" t="s">
        <v>425</v>
      </c>
      <c r="D630" t="s">
        <v>435</v>
      </c>
      <c r="E630" s="69">
        <v>40644</v>
      </c>
      <c r="F630" s="65">
        <v>0.29659722222222223</v>
      </c>
      <c r="G630" t="s">
        <v>1344</v>
      </c>
      <c r="H630" t="s">
        <v>1345</v>
      </c>
    </row>
    <row r="631" spans="1:8" s="80" customFormat="1">
      <c r="A631">
        <v>13100464</v>
      </c>
      <c r="B631" t="s">
        <v>436</v>
      </c>
      <c r="C631" t="s">
        <v>425</v>
      </c>
      <c r="D631" t="s">
        <v>435</v>
      </c>
      <c r="E631" s="69">
        <v>40644</v>
      </c>
      <c r="F631" s="65">
        <v>0.63862268518518517</v>
      </c>
      <c r="G631" t="s">
        <v>1346</v>
      </c>
      <c r="H631" t="s">
        <v>1347</v>
      </c>
    </row>
    <row r="632" spans="1:8" s="80" customFormat="1">
      <c r="A632">
        <v>13100464</v>
      </c>
      <c r="B632" t="s">
        <v>436</v>
      </c>
      <c r="C632" t="s">
        <v>425</v>
      </c>
      <c r="D632" t="s">
        <v>435</v>
      </c>
      <c r="E632" s="69">
        <v>40645</v>
      </c>
      <c r="F632" s="65">
        <v>0.2951388888888889</v>
      </c>
      <c r="G632" t="s">
        <v>1344</v>
      </c>
      <c r="H632" t="s">
        <v>1345</v>
      </c>
    </row>
    <row r="633" spans="1:8" s="80" customFormat="1">
      <c r="A633">
        <v>13100464</v>
      </c>
      <c r="B633" t="s">
        <v>436</v>
      </c>
      <c r="C633" t="s">
        <v>425</v>
      </c>
      <c r="D633" t="s">
        <v>435</v>
      </c>
      <c r="E633" s="69">
        <v>40645</v>
      </c>
      <c r="F633" s="65">
        <v>0.64288194444444446</v>
      </c>
      <c r="G633" t="s">
        <v>1346</v>
      </c>
      <c r="H633" t="s">
        <v>1347</v>
      </c>
    </row>
    <row r="634" spans="1:8" s="80" customFormat="1">
      <c r="A634">
        <v>13100464</v>
      </c>
      <c r="B634" t="s">
        <v>436</v>
      </c>
      <c r="C634" t="s">
        <v>425</v>
      </c>
      <c r="D634" t="s">
        <v>435</v>
      </c>
      <c r="E634" s="69">
        <v>40646</v>
      </c>
      <c r="F634" s="65">
        <v>0.29472222222222222</v>
      </c>
      <c r="G634" t="s">
        <v>1344</v>
      </c>
      <c r="H634" t="s">
        <v>1345</v>
      </c>
    </row>
    <row r="635" spans="1:8" s="80" customFormat="1">
      <c r="A635">
        <v>13100464</v>
      </c>
      <c r="B635" t="s">
        <v>436</v>
      </c>
      <c r="C635" t="s">
        <v>425</v>
      </c>
      <c r="D635" t="s">
        <v>435</v>
      </c>
      <c r="E635" s="69">
        <v>40646</v>
      </c>
      <c r="F635" s="65">
        <v>0.64461805555555551</v>
      </c>
      <c r="G635" t="s">
        <v>1346</v>
      </c>
      <c r="H635" t="s">
        <v>1347</v>
      </c>
    </row>
    <row r="636" spans="1:8" s="80" customFormat="1">
      <c r="A636">
        <v>13100464</v>
      </c>
      <c r="B636" t="s">
        <v>436</v>
      </c>
      <c r="C636" t="s">
        <v>425</v>
      </c>
      <c r="D636" t="s">
        <v>435</v>
      </c>
      <c r="E636" s="69">
        <v>40647</v>
      </c>
      <c r="F636" s="65">
        <v>0.29421296296296295</v>
      </c>
      <c r="G636" t="s">
        <v>1344</v>
      </c>
      <c r="H636" t="s">
        <v>1345</v>
      </c>
    </row>
    <row r="637" spans="1:8" s="80" customFormat="1">
      <c r="A637">
        <v>13100464</v>
      </c>
      <c r="B637" t="s">
        <v>436</v>
      </c>
      <c r="C637" t="s">
        <v>425</v>
      </c>
      <c r="D637" t="s">
        <v>435</v>
      </c>
      <c r="E637" s="69">
        <v>40647</v>
      </c>
      <c r="F637" s="65">
        <v>0.64398148148148149</v>
      </c>
      <c r="G637" t="s">
        <v>1346</v>
      </c>
      <c r="H637" t="s">
        <v>1347</v>
      </c>
    </row>
    <row r="638" spans="1:8" s="80" customFormat="1">
      <c r="A638">
        <v>13100464</v>
      </c>
      <c r="B638" t="s">
        <v>436</v>
      </c>
      <c r="C638" t="s">
        <v>425</v>
      </c>
      <c r="D638" t="s">
        <v>435</v>
      </c>
      <c r="E638" s="69">
        <v>40648</v>
      </c>
      <c r="F638" s="65">
        <v>0.64377314814814812</v>
      </c>
      <c r="G638" t="s">
        <v>1346</v>
      </c>
      <c r="H638" t="s">
        <v>1347</v>
      </c>
    </row>
    <row r="639" spans="1:8" s="80" customFormat="1">
      <c r="A639">
        <v>13100464</v>
      </c>
      <c r="B639" t="s">
        <v>436</v>
      </c>
      <c r="C639" t="s">
        <v>425</v>
      </c>
      <c r="D639" t="s">
        <v>435</v>
      </c>
      <c r="E639" s="69">
        <v>40648</v>
      </c>
      <c r="F639" s="65">
        <v>0.29508101851851853</v>
      </c>
      <c r="G639" t="s">
        <v>1344</v>
      </c>
      <c r="H639" t="s">
        <v>1345</v>
      </c>
    </row>
    <row r="640" spans="1:8" s="80" customFormat="1">
      <c r="A640">
        <v>13100464</v>
      </c>
      <c r="B640" t="s">
        <v>436</v>
      </c>
      <c r="C640" t="s">
        <v>425</v>
      </c>
      <c r="D640" t="s">
        <v>435</v>
      </c>
      <c r="E640" s="69">
        <v>40649</v>
      </c>
      <c r="F640" s="65">
        <v>0.29398148148148145</v>
      </c>
      <c r="G640" t="s">
        <v>1344</v>
      </c>
      <c r="H640" t="s">
        <v>1345</v>
      </c>
    </row>
    <row r="641" spans="1:8" s="80" customFormat="1">
      <c r="A641">
        <v>13100464</v>
      </c>
      <c r="B641" t="s">
        <v>436</v>
      </c>
      <c r="C641" t="s">
        <v>425</v>
      </c>
      <c r="D641" t="s">
        <v>435</v>
      </c>
      <c r="E641" s="69">
        <v>40649</v>
      </c>
      <c r="F641" s="65">
        <v>0.63990740740740737</v>
      </c>
      <c r="G641" t="s">
        <v>1346</v>
      </c>
      <c r="H641" t="s">
        <v>1347</v>
      </c>
    </row>
    <row r="642" spans="1:8" s="80" customFormat="1">
      <c r="A642">
        <v>13236100</v>
      </c>
      <c r="B642" t="s">
        <v>169</v>
      </c>
      <c r="C642" t="s">
        <v>168</v>
      </c>
      <c r="D642" t="s">
        <v>87</v>
      </c>
      <c r="E642" s="69">
        <v>40644</v>
      </c>
      <c r="F642" s="65">
        <v>0.37665509259259261</v>
      </c>
      <c r="G642" t="s">
        <v>1344</v>
      </c>
      <c r="H642" t="s">
        <v>1345</v>
      </c>
    </row>
    <row r="643" spans="1:8" s="80" customFormat="1">
      <c r="A643">
        <v>13236100</v>
      </c>
      <c r="B643" t="s">
        <v>169</v>
      </c>
      <c r="C643" t="s">
        <v>168</v>
      </c>
      <c r="D643" t="s">
        <v>87</v>
      </c>
      <c r="E643" s="69">
        <v>40644</v>
      </c>
      <c r="F643" s="65">
        <v>0.76302083333333337</v>
      </c>
      <c r="G643" t="s">
        <v>1346</v>
      </c>
      <c r="H643" t="s">
        <v>1347</v>
      </c>
    </row>
    <row r="644" spans="1:8" s="80" customFormat="1">
      <c r="A644">
        <v>13236100</v>
      </c>
      <c r="B644" t="s">
        <v>169</v>
      </c>
      <c r="C644" t="s">
        <v>168</v>
      </c>
      <c r="D644" t="s">
        <v>87</v>
      </c>
      <c r="E644" s="69">
        <v>40645</v>
      </c>
      <c r="F644" s="65">
        <v>0.36283564814814812</v>
      </c>
      <c r="G644" t="s">
        <v>1344</v>
      </c>
      <c r="H644" t="s">
        <v>1345</v>
      </c>
    </row>
    <row r="645" spans="1:8" s="80" customFormat="1">
      <c r="A645">
        <v>13236100</v>
      </c>
      <c r="B645" t="s">
        <v>169</v>
      </c>
      <c r="C645" t="s">
        <v>168</v>
      </c>
      <c r="D645" t="s">
        <v>87</v>
      </c>
      <c r="E645" s="69">
        <v>40645</v>
      </c>
      <c r="F645" s="65">
        <v>0.82534722222222223</v>
      </c>
      <c r="G645" t="s">
        <v>1346</v>
      </c>
      <c r="H645" t="s">
        <v>1347</v>
      </c>
    </row>
    <row r="646" spans="1:8" s="80" customFormat="1">
      <c r="A646">
        <v>13236100</v>
      </c>
      <c r="B646" t="s">
        <v>169</v>
      </c>
      <c r="C646" t="s">
        <v>168</v>
      </c>
      <c r="D646" t="s">
        <v>87</v>
      </c>
      <c r="E646" s="69">
        <v>40646</v>
      </c>
      <c r="F646" s="65">
        <v>0.35728009259259258</v>
      </c>
      <c r="G646" t="s">
        <v>1344</v>
      </c>
      <c r="H646" t="s">
        <v>1345</v>
      </c>
    </row>
    <row r="647" spans="1:8" s="80" customFormat="1">
      <c r="A647">
        <v>13236100</v>
      </c>
      <c r="B647" t="s">
        <v>169</v>
      </c>
      <c r="C647" t="s">
        <v>168</v>
      </c>
      <c r="D647" t="s">
        <v>87</v>
      </c>
      <c r="E647" s="69">
        <v>40646</v>
      </c>
      <c r="F647" s="65">
        <v>0.8189467592592593</v>
      </c>
      <c r="G647" t="s">
        <v>1346</v>
      </c>
      <c r="H647" t="s">
        <v>1347</v>
      </c>
    </row>
    <row r="648" spans="1:8" s="80" customFormat="1">
      <c r="A648">
        <v>13236100</v>
      </c>
      <c r="B648" t="s">
        <v>169</v>
      </c>
      <c r="C648" t="s">
        <v>168</v>
      </c>
      <c r="D648" t="s">
        <v>87</v>
      </c>
      <c r="E648" s="69">
        <v>40647</v>
      </c>
      <c r="F648" s="65">
        <v>0.35567129629629629</v>
      </c>
      <c r="G648" t="s">
        <v>1344</v>
      </c>
      <c r="H648" t="s">
        <v>1345</v>
      </c>
    </row>
    <row r="649" spans="1:8" s="80" customFormat="1">
      <c r="A649">
        <v>13236100</v>
      </c>
      <c r="B649" t="s">
        <v>169</v>
      </c>
      <c r="C649" t="s">
        <v>168</v>
      </c>
      <c r="D649" t="s">
        <v>87</v>
      </c>
      <c r="E649" s="69">
        <v>40647</v>
      </c>
      <c r="F649" s="65">
        <v>0.79861111111111116</v>
      </c>
      <c r="G649" t="s">
        <v>1346</v>
      </c>
      <c r="H649" t="s">
        <v>1347</v>
      </c>
    </row>
    <row r="650" spans="1:8" s="80" customFormat="1">
      <c r="A650">
        <v>13236100</v>
      </c>
      <c r="B650" t="s">
        <v>169</v>
      </c>
      <c r="C650" t="s">
        <v>168</v>
      </c>
      <c r="D650" t="s">
        <v>87</v>
      </c>
      <c r="E650" s="69">
        <v>40648</v>
      </c>
      <c r="F650" s="65">
        <v>0.75521990740740741</v>
      </c>
      <c r="G650" t="s">
        <v>1346</v>
      </c>
      <c r="H650" t="s">
        <v>1347</v>
      </c>
    </row>
    <row r="651" spans="1:8" s="80" customFormat="1">
      <c r="A651">
        <v>13236100</v>
      </c>
      <c r="B651" t="s">
        <v>169</v>
      </c>
      <c r="C651" t="s">
        <v>168</v>
      </c>
      <c r="D651" t="s">
        <v>87</v>
      </c>
      <c r="E651" s="69">
        <v>40648</v>
      </c>
      <c r="F651" s="65">
        <v>0.36826388888888889</v>
      </c>
      <c r="G651" t="s">
        <v>1344</v>
      </c>
      <c r="H651" t="s">
        <v>1345</v>
      </c>
    </row>
    <row r="652" spans="1:8" s="80" customFormat="1">
      <c r="A652">
        <v>13295279</v>
      </c>
      <c r="B652" t="s">
        <v>1235</v>
      </c>
      <c r="C652" t="s">
        <v>1233</v>
      </c>
      <c r="D652" t="s">
        <v>1234</v>
      </c>
      <c r="E652" s="69">
        <v>40644</v>
      </c>
      <c r="F652" s="65">
        <v>1.0543981481481481E-2</v>
      </c>
      <c r="G652" t="s">
        <v>1344</v>
      </c>
      <c r="H652" t="s">
        <v>1345</v>
      </c>
    </row>
    <row r="653" spans="1:8" s="80" customFormat="1">
      <c r="A653">
        <v>13295279</v>
      </c>
      <c r="B653" t="s">
        <v>1235</v>
      </c>
      <c r="C653" t="s">
        <v>1233</v>
      </c>
      <c r="D653" t="s">
        <v>1234</v>
      </c>
      <c r="E653" s="69">
        <v>40644</v>
      </c>
      <c r="F653" s="65">
        <v>0.33414351851851848</v>
      </c>
      <c r="G653" t="s">
        <v>1346</v>
      </c>
      <c r="H653" t="s">
        <v>1347</v>
      </c>
    </row>
    <row r="654" spans="1:8" s="80" customFormat="1">
      <c r="A654">
        <v>13295279</v>
      </c>
      <c r="B654" t="s">
        <v>1235</v>
      </c>
      <c r="C654" t="s">
        <v>1233</v>
      </c>
      <c r="D654" t="s">
        <v>1234</v>
      </c>
      <c r="E654" s="69">
        <v>40644</v>
      </c>
      <c r="F654" s="65">
        <v>0.91506944444444438</v>
      </c>
      <c r="G654" t="s">
        <v>1344</v>
      </c>
      <c r="H654" t="s">
        <v>1345</v>
      </c>
    </row>
    <row r="655" spans="1:8" s="80" customFormat="1">
      <c r="A655">
        <v>13295279</v>
      </c>
      <c r="B655" t="s">
        <v>1235</v>
      </c>
      <c r="C655" t="s">
        <v>1233</v>
      </c>
      <c r="D655" t="s">
        <v>1234</v>
      </c>
      <c r="E655" s="69">
        <v>40645</v>
      </c>
      <c r="F655" s="65">
        <v>0.91802083333333329</v>
      </c>
      <c r="G655" t="s">
        <v>1344</v>
      </c>
      <c r="H655" t="s">
        <v>1345</v>
      </c>
    </row>
    <row r="656" spans="1:8" s="80" customFormat="1">
      <c r="A656">
        <v>13295279</v>
      </c>
      <c r="B656" t="s">
        <v>1235</v>
      </c>
      <c r="C656" t="s">
        <v>1233</v>
      </c>
      <c r="D656" t="s">
        <v>1234</v>
      </c>
      <c r="E656" s="69">
        <v>40645</v>
      </c>
      <c r="F656" s="65">
        <v>0.32425925925925925</v>
      </c>
      <c r="G656" t="s">
        <v>1346</v>
      </c>
      <c r="H656" t="s">
        <v>1347</v>
      </c>
    </row>
    <row r="657" spans="1:8" s="80" customFormat="1">
      <c r="A657">
        <v>13295279</v>
      </c>
      <c r="B657" t="s">
        <v>1235</v>
      </c>
      <c r="C657" t="s">
        <v>1233</v>
      </c>
      <c r="D657" t="s">
        <v>1234</v>
      </c>
      <c r="E657" s="69">
        <v>40646</v>
      </c>
      <c r="F657" s="65">
        <v>0.32768518518518519</v>
      </c>
      <c r="G657" t="s">
        <v>1346</v>
      </c>
      <c r="H657" t="s">
        <v>1347</v>
      </c>
    </row>
    <row r="658" spans="1:8" s="80" customFormat="1">
      <c r="A658">
        <v>13295279</v>
      </c>
      <c r="B658" t="s">
        <v>1235</v>
      </c>
      <c r="C658" t="s">
        <v>1233</v>
      </c>
      <c r="D658" t="s">
        <v>1234</v>
      </c>
      <c r="E658" s="69">
        <v>40646</v>
      </c>
      <c r="F658" s="65">
        <v>0.91839120370370375</v>
      </c>
      <c r="G658" t="s">
        <v>1344</v>
      </c>
      <c r="H658" t="s">
        <v>1345</v>
      </c>
    </row>
    <row r="659" spans="1:8" s="80" customFormat="1">
      <c r="A659">
        <v>13295279</v>
      </c>
      <c r="B659" t="s">
        <v>1235</v>
      </c>
      <c r="C659" t="s">
        <v>1233</v>
      </c>
      <c r="D659" t="s">
        <v>1234</v>
      </c>
      <c r="E659" s="69">
        <v>40647</v>
      </c>
      <c r="F659" s="65">
        <v>0.32872685185185185</v>
      </c>
      <c r="G659" t="s">
        <v>1346</v>
      </c>
      <c r="H659" t="s">
        <v>1347</v>
      </c>
    </row>
    <row r="660" spans="1:8" s="80" customFormat="1">
      <c r="A660">
        <v>13295279</v>
      </c>
      <c r="B660" t="s">
        <v>1235</v>
      </c>
      <c r="C660" t="s">
        <v>1233</v>
      </c>
      <c r="D660" t="s">
        <v>1234</v>
      </c>
      <c r="E660" s="69">
        <v>40647</v>
      </c>
      <c r="F660" s="65">
        <v>0.91447916666666673</v>
      </c>
      <c r="G660" t="s">
        <v>1344</v>
      </c>
      <c r="H660" t="s">
        <v>1345</v>
      </c>
    </row>
    <row r="661" spans="1:8" s="80" customFormat="1">
      <c r="A661">
        <v>13295279</v>
      </c>
      <c r="B661" t="s">
        <v>1235</v>
      </c>
      <c r="C661" t="s">
        <v>1233</v>
      </c>
      <c r="D661" t="s">
        <v>1234</v>
      </c>
      <c r="E661" s="69">
        <v>40648</v>
      </c>
      <c r="F661" s="65">
        <v>0.92722222222222228</v>
      </c>
      <c r="G661" t="s">
        <v>1344</v>
      </c>
      <c r="H661" t="s">
        <v>1345</v>
      </c>
    </row>
    <row r="662" spans="1:8" s="80" customFormat="1">
      <c r="A662">
        <v>13295279</v>
      </c>
      <c r="B662" t="s">
        <v>1235</v>
      </c>
      <c r="C662" t="s">
        <v>1233</v>
      </c>
      <c r="D662" t="s">
        <v>1234</v>
      </c>
      <c r="E662" s="69">
        <v>40648</v>
      </c>
      <c r="F662" s="65">
        <v>0.32505787037037037</v>
      </c>
      <c r="G662" t="s">
        <v>1346</v>
      </c>
      <c r="H662" t="s">
        <v>1347</v>
      </c>
    </row>
    <row r="663" spans="1:8" s="80" customFormat="1">
      <c r="A663">
        <v>13295279</v>
      </c>
      <c r="B663" t="s">
        <v>1235</v>
      </c>
      <c r="C663" t="s">
        <v>1233</v>
      </c>
      <c r="D663" t="s">
        <v>1234</v>
      </c>
      <c r="E663" s="69">
        <v>40649</v>
      </c>
      <c r="F663" s="65">
        <v>0.32791666666666669</v>
      </c>
      <c r="G663" t="s">
        <v>1346</v>
      </c>
      <c r="H663" t="s">
        <v>1347</v>
      </c>
    </row>
    <row r="664" spans="1:8" s="80" customFormat="1">
      <c r="A664">
        <v>13486907</v>
      </c>
      <c r="B664" t="s">
        <v>314</v>
      </c>
      <c r="C664" t="s">
        <v>455</v>
      </c>
      <c r="D664" t="s">
        <v>183</v>
      </c>
      <c r="E664" s="69">
        <v>40644</v>
      </c>
      <c r="F664" s="65">
        <v>0.29071759259259261</v>
      </c>
      <c r="G664" t="s">
        <v>1344</v>
      </c>
      <c r="H664" t="s">
        <v>1345</v>
      </c>
    </row>
    <row r="665" spans="1:8" s="80" customFormat="1">
      <c r="A665">
        <v>13486907</v>
      </c>
      <c r="B665" t="s">
        <v>314</v>
      </c>
      <c r="C665" t="s">
        <v>455</v>
      </c>
      <c r="D665" t="s">
        <v>183</v>
      </c>
      <c r="E665" s="69">
        <v>40644</v>
      </c>
      <c r="F665" s="65">
        <v>0.63241898148148146</v>
      </c>
      <c r="G665" t="s">
        <v>1346</v>
      </c>
      <c r="H665" t="s">
        <v>1347</v>
      </c>
    </row>
    <row r="666" spans="1:8" s="80" customFormat="1">
      <c r="A666">
        <v>13486907</v>
      </c>
      <c r="B666" t="s">
        <v>314</v>
      </c>
      <c r="C666" t="s">
        <v>455</v>
      </c>
      <c r="D666" t="s">
        <v>183</v>
      </c>
      <c r="E666" s="69">
        <v>40645</v>
      </c>
      <c r="F666" s="65">
        <v>0.29060185185185183</v>
      </c>
      <c r="G666" t="s">
        <v>1344</v>
      </c>
      <c r="H666" t="s">
        <v>1345</v>
      </c>
    </row>
    <row r="667" spans="1:8" s="80" customFormat="1">
      <c r="A667">
        <v>13486907</v>
      </c>
      <c r="B667" t="s">
        <v>314</v>
      </c>
      <c r="C667" t="s">
        <v>455</v>
      </c>
      <c r="D667" t="s">
        <v>183</v>
      </c>
      <c r="E667" s="69">
        <v>40645</v>
      </c>
      <c r="F667" s="65">
        <v>0.62767361111111108</v>
      </c>
      <c r="G667" t="s">
        <v>1346</v>
      </c>
      <c r="H667" t="s">
        <v>1347</v>
      </c>
    </row>
    <row r="668" spans="1:8" s="80" customFormat="1">
      <c r="A668">
        <v>13486907</v>
      </c>
      <c r="B668" t="s">
        <v>314</v>
      </c>
      <c r="C668" t="s">
        <v>455</v>
      </c>
      <c r="D668" t="s">
        <v>183</v>
      </c>
      <c r="E668" s="69">
        <v>40646</v>
      </c>
      <c r="F668" s="65">
        <v>0.28907407407407409</v>
      </c>
      <c r="G668" t="s">
        <v>1344</v>
      </c>
      <c r="H668" t="s">
        <v>1345</v>
      </c>
    </row>
    <row r="669" spans="1:8" s="80" customFormat="1">
      <c r="A669">
        <v>13486907</v>
      </c>
      <c r="B669" t="s">
        <v>314</v>
      </c>
      <c r="C669" t="s">
        <v>455</v>
      </c>
      <c r="D669" t="s">
        <v>183</v>
      </c>
      <c r="E669" s="69">
        <v>40646</v>
      </c>
      <c r="F669" s="65">
        <v>0.63296296296296295</v>
      </c>
      <c r="G669" t="s">
        <v>1346</v>
      </c>
      <c r="H669" t="s">
        <v>1347</v>
      </c>
    </row>
    <row r="670" spans="1:8" s="80" customFormat="1">
      <c r="A670">
        <v>13486907</v>
      </c>
      <c r="B670" t="s">
        <v>314</v>
      </c>
      <c r="C670" t="s">
        <v>455</v>
      </c>
      <c r="D670" t="s">
        <v>183</v>
      </c>
      <c r="E670" s="69">
        <v>40647</v>
      </c>
      <c r="F670" s="65">
        <v>0.29898148148148146</v>
      </c>
      <c r="G670" t="s">
        <v>1344</v>
      </c>
      <c r="H670" t="s">
        <v>1345</v>
      </c>
    </row>
    <row r="671" spans="1:8" s="80" customFormat="1">
      <c r="A671">
        <v>13486907</v>
      </c>
      <c r="B671" t="s">
        <v>314</v>
      </c>
      <c r="C671" t="s">
        <v>455</v>
      </c>
      <c r="D671" t="s">
        <v>183</v>
      </c>
      <c r="E671" s="69">
        <v>40647</v>
      </c>
      <c r="F671" s="65">
        <v>0.62357638888888889</v>
      </c>
      <c r="G671" t="s">
        <v>1346</v>
      </c>
      <c r="H671" t="s">
        <v>1347</v>
      </c>
    </row>
    <row r="672" spans="1:8" s="80" customFormat="1">
      <c r="A672">
        <v>13486907</v>
      </c>
      <c r="B672" t="s">
        <v>314</v>
      </c>
      <c r="C672" t="s">
        <v>455</v>
      </c>
      <c r="D672" t="s">
        <v>183</v>
      </c>
      <c r="E672" s="69">
        <v>40648</v>
      </c>
      <c r="F672" s="65">
        <v>0.29298611111111111</v>
      </c>
      <c r="G672" t="s">
        <v>1344</v>
      </c>
      <c r="H672" t="s">
        <v>1345</v>
      </c>
    </row>
    <row r="673" spans="1:8" s="80" customFormat="1">
      <c r="A673">
        <v>13486907</v>
      </c>
      <c r="B673" t="s">
        <v>314</v>
      </c>
      <c r="C673" t="s">
        <v>455</v>
      </c>
      <c r="D673" t="s">
        <v>183</v>
      </c>
      <c r="E673" s="69">
        <v>40648</v>
      </c>
      <c r="F673" s="65">
        <v>0.63518518518518519</v>
      </c>
      <c r="G673" t="s">
        <v>1346</v>
      </c>
      <c r="H673" t="s">
        <v>1347</v>
      </c>
    </row>
    <row r="674" spans="1:8" s="80" customFormat="1">
      <c r="A674">
        <v>13486907</v>
      </c>
      <c r="B674" t="s">
        <v>314</v>
      </c>
      <c r="C674" t="s">
        <v>455</v>
      </c>
      <c r="D674" t="s">
        <v>183</v>
      </c>
      <c r="E674" s="69">
        <v>40649</v>
      </c>
      <c r="F674" s="65">
        <v>0.62688657407407411</v>
      </c>
      <c r="G674" t="s">
        <v>1346</v>
      </c>
      <c r="H674" t="s">
        <v>1347</v>
      </c>
    </row>
    <row r="675" spans="1:8" s="80" customFormat="1">
      <c r="A675">
        <v>13486907</v>
      </c>
      <c r="B675" t="s">
        <v>314</v>
      </c>
      <c r="C675" t="s">
        <v>455</v>
      </c>
      <c r="D675" t="s">
        <v>183</v>
      </c>
      <c r="E675" s="69">
        <v>40649</v>
      </c>
      <c r="F675" s="65">
        <v>0.29138888888888886</v>
      </c>
      <c r="G675" t="s">
        <v>1344</v>
      </c>
      <c r="H675" t="s">
        <v>1345</v>
      </c>
    </row>
    <row r="676" spans="1:8" s="80" customFormat="1">
      <c r="A676">
        <v>13557248</v>
      </c>
      <c r="B676" t="s">
        <v>155</v>
      </c>
      <c r="C676" t="s">
        <v>153</v>
      </c>
      <c r="D676" t="s">
        <v>154</v>
      </c>
      <c r="E676" s="69">
        <v>40644</v>
      </c>
      <c r="F676" s="65">
        <v>4.0393518518518521E-3</v>
      </c>
      <c r="G676" t="s">
        <v>1344</v>
      </c>
      <c r="H676" t="s">
        <v>1345</v>
      </c>
    </row>
    <row r="677" spans="1:8" s="80" customFormat="1">
      <c r="A677">
        <v>13557248</v>
      </c>
      <c r="B677" t="s">
        <v>155</v>
      </c>
      <c r="C677" t="s">
        <v>153</v>
      </c>
      <c r="D677" t="s">
        <v>154</v>
      </c>
      <c r="E677" s="69">
        <v>40644</v>
      </c>
      <c r="F677" s="65">
        <v>0.35031250000000003</v>
      </c>
      <c r="G677" t="s">
        <v>1346</v>
      </c>
      <c r="H677" t="s">
        <v>1347</v>
      </c>
    </row>
    <row r="678" spans="1:8" s="80" customFormat="1">
      <c r="A678">
        <v>13557248</v>
      </c>
      <c r="B678" t="s">
        <v>155</v>
      </c>
      <c r="C678" t="s">
        <v>153</v>
      </c>
      <c r="D678" t="s">
        <v>154</v>
      </c>
      <c r="E678" s="69">
        <v>40645</v>
      </c>
      <c r="F678" s="65">
        <v>0.31578703703703703</v>
      </c>
      <c r="G678" t="s">
        <v>1344</v>
      </c>
      <c r="H678" t="s">
        <v>1345</v>
      </c>
    </row>
    <row r="679" spans="1:8" s="80" customFormat="1">
      <c r="A679">
        <v>13557248</v>
      </c>
      <c r="B679" t="s">
        <v>155</v>
      </c>
      <c r="C679" t="s">
        <v>153</v>
      </c>
      <c r="D679" t="s">
        <v>154</v>
      </c>
      <c r="E679" s="69">
        <v>40645</v>
      </c>
      <c r="F679" s="65">
        <v>0.81896990740740738</v>
      </c>
      <c r="G679" t="s">
        <v>1346</v>
      </c>
      <c r="H679" t="s">
        <v>1347</v>
      </c>
    </row>
    <row r="680" spans="1:8" s="80" customFormat="1">
      <c r="A680">
        <v>13557248</v>
      </c>
      <c r="B680" t="s">
        <v>155</v>
      </c>
      <c r="C680" t="s">
        <v>153</v>
      </c>
      <c r="D680" t="s">
        <v>154</v>
      </c>
      <c r="E680" s="69">
        <v>40646</v>
      </c>
      <c r="F680" s="65">
        <v>0.31509259259259259</v>
      </c>
      <c r="G680" t="s">
        <v>1344</v>
      </c>
      <c r="H680" t="s">
        <v>1345</v>
      </c>
    </row>
    <row r="681" spans="1:8" s="80" customFormat="1">
      <c r="A681">
        <v>13557248</v>
      </c>
      <c r="B681" t="s">
        <v>155</v>
      </c>
      <c r="C681" t="s">
        <v>153</v>
      </c>
      <c r="D681" t="s">
        <v>154</v>
      </c>
      <c r="E681" s="69">
        <v>40646</v>
      </c>
      <c r="F681" s="65">
        <v>0.85385416666666669</v>
      </c>
      <c r="G681" t="s">
        <v>1346</v>
      </c>
      <c r="H681" t="s">
        <v>1347</v>
      </c>
    </row>
    <row r="682" spans="1:8" s="80" customFormat="1">
      <c r="A682">
        <v>13557248</v>
      </c>
      <c r="B682" t="s">
        <v>155</v>
      </c>
      <c r="C682" t="s">
        <v>153</v>
      </c>
      <c r="D682" t="s">
        <v>154</v>
      </c>
      <c r="E682" s="69">
        <v>40647</v>
      </c>
      <c r="F682" s="65">
        <v>0.3162847222222222</v>
      </c>
      <c r="G682" t="s">
        <v>1344</v>
      </c>
      <c r="H682" t="s">
        <v>1345</v>
      </c>
    </row>
    <row r="683" spans="1:8" s="80" customFormat="1">
      <c r="A683">
        <v>13557248</v>
      </c>
      <c r="B683" t="s">
        <v>155</v>
      </c>
      <c r="C683" t="s">
        <v>153</v>
      </c>
      <c r="D683" t="s">
        <v>154</v>
      </c>
      <c r="E683" s="69">
        <v>40647</v>
      </c>
      <c r="F683" s="65">
        <v>0.75315972222222216</v>
      </c>
      <c r="G683" t="s">
        <v>1344</v>
      </c>
      <c r="H683" t="s">
        <v>1345</v>
      </c>
    </row>
    <row r="684" spans="1:8" s="80" customFormat="1">
      <c r="A684">
        <v>13557248</v>
      </c>
      <c r="B684" t="s">
        <v>155</v>
      </c>
      <c r="C684" t="s">
        <v>153</v>
      </c>
      <c r="D684" t="s">
        <v>154</v>
      </c>
      <c r="E684" s="69">
        <v>40648</v>
      </c>
      <c r="F684" s="65">
        <v>0.67237268518518523</v>
      </c>
      <c r="G684" t="s">
        <v>1346</v>
      </c>
      <c r="H684" t="s">
        <v>1347</v>
      </c>
    </row>
    <row r="685" spans="1:8" s="80" customFormat="1">
      <c r="A685">
        <v>13557248</v>
      </c>
      <c r="B685" t="s">
        <v>155</v>
      </c>
      <c r="C685" t="s">
        <v>153</v>
      </c>
      <c r="D685" t="s">
        <v>154</v>
      </c>
      <c r="E685" s="69">
        <v>40648</v>
      </c>
      <c r="F685" s="65">
        <v>0.31231481481481482</v>
      </c>
      <c r="G685" t="s">
        <v>1344</v>
      </c>
      <c r="H685" t="s">
        <v>1345</v>
      </c>
    </row>
    <row r="686" spans="1:8" s="80" customFormat="1">
      <c r="A686">
        <v>13681026</v>
      </c>
      <c r="B686" t="s">
        <v>745</v>
      </c>
      <c r="C686" t="s">
        <v>743</v>
      </c>
      <c r="D686" t="s">
        <v>744</v>
      </c>
      <c r="E686" s="69">
        <v>40644</v>
      </c>
      <c r="F686" s="65">
        <v>0.29075231481481484</v>
      </c>
      <c r="G686" t="s">
        <v>1344</v>
      </c>
      <c r="H686" t="s">
        <v>1345</v>
      </c>
    </row>
    <row r="687" spans="1:8" s="80" customFormat="1">
      <c r="A687">
        <v>13681026</v>
      </c>
      <c r="B687" t="s">
        <v>745</v>
      </c>
      <c r="C687" t="s">
        <v>743</v>
      </c>
      <c r="D687" t="s">
        <v>744</v>
      </c>
      <c r="E687" s="69">
        <v>40644</v>
      </c>
      <c r="F687" s="65">
        <v>0.64091435185185186</v>
      </c>
      <c r="G687" t="s">
        <v>1346</v>
      </c>
      <c r="H687" t="s">
        <v>1347</v>
      </c>
    </row>
    <row r="688" spans="1:8" s="80" customFormat="1">
      <c r="A688">
        <v>13681026</v>
      </c>
      <c r="B688" t="s">
        <v>745</v>
      </c>
      <c r="C688" t="s">
        <v>743</v>
      </c>
      <c r="D688" t="s">
        <v>744</v>
      </c>
      <c r="E688" s="69">
        <v>40645</v>
      </c>
      <c r="F688" s="65">
        <v>0.35446759259259258</v>
      </c>
      <c r="G688" t="s">
        <v>1344</v>
      </c>
      <c r="H688" t="s">
        <v>1345</v>
      </c>
    </row>
    <row r="689" spans="1:8" s="80" customFormat="1">
      <c r="A689">
        <v>13681026</v>
      </c>
      <c r="B689" t="s">
        <v>745</v>
      </c>
      <c r="C689" t="s">
        <v>743</v>
      </c>
      <c r="D689" t="s">
        <v>744</v>
      </c>
      <c r="E689" s="69">
        <v>40645</v>
      </c>
      <c r="F689" s="65">
        <v>0.6381944444444444</v>
      </c>
      <c r="G689" t="s">
        <v>1346</v>
      </c>
      <c r="H689" t="s">
        <v>1347</v>
      </c>
    </row>
    <row r="690" spans="1:8" s="80" customFormat="1">
      <c r="A690">
        <v>13681026</v>
      </c>
      <c r="B690" t="s">
        <v>745</v>
      </c>
      <c r="C690" t="s">
        <v>743</v>
      </c>
      <c r="D690" t="s">
        <v>744</v>
      </c>
      <c r="E690" s="69">
        <v>40646</v>
      </c>
      <c r="F690" s="65">
        <v>0.29596064814814815</v>
      </c>
      <c r="G690" t="s">
        <v>1344</v>
      </c>
      <c r="H690" t="s">
        <v>1345</v>
      </c>
    </row>
    <row r="691" spans="1:8" s="80" customFormat="1">
      <c r="A691">
        <v>13681026</v>
      </c>
      <c r="B691" t="s">
        <v>745</v>
      </c>
      <c r="C691" t="s">
        <v>743</v>
      </c>
      <c r="D691" t="s">
        <v>744</v>
      </c>
      <c r="E691" s="69">
        <v>40646</v>
      </c>
      <c r="F691" s="65">
        <v>0.64315972222222217</v>
      </c>
      <c r="G691" t="s">
        <v>1346</v>
      </c>
      <c r="H691" t="s">
        <v>1347</v>
      </c>
    </row>
    <row r="692" spans="1:8" s="80" customFormat="1">
      <c r="A692">
        <v>13681026</v>
      </c>
      <c r="B692" t="s">
        <v>745</v>
      </c>
      <c r="C692" t="s">
        <v>743</v>
      </c>
      <c r="D692" t="s">
        <v>744</v>
      </c>
      <c r="E692" s="69">
        <v>40647</v>
      </c>
      <c r="F692" s="65">
        <v>0.29993055555555553</v>
      </c>
      <c r="G692" t="s">
        <v>1344</v>
      </c>
      <c r="H692" t="s">
        <v>1345</v>
      </c>
    </row>
    <row r="693" spans="1:8" s="80" customFormat="1">
      <c r="A693">
        <v>13681026</v>
      </c>
      <c r="B693" t="s">
        <v>745</v>
      </c>
      <c r="C693" t="s">
        <v>743</v>
      </c>
      <c r="D693" t="s">
        <v>744</v>
      </c>
      <c r="E693" s="69">
        <v>40647</v>
      </c>
      <c r="F693" s="65">
        <v>0.63341435185185191</v>
      </c>
      <c r="G693" t="s">
        <v>1346</v>
      </c>
      <c r="H693" t="s">
        <v>1347</v>
      </c>
    </row>
    <row r="694" spans="1:8" s="80" customFormat="1">
      <c r="A694">
        <v>13681026</v>
      </c>
      <c r="B694" t="s">
        <v>745</v>
      </c>
      <c r="C694" t="s">
        <v>743</v>
      </c>
      <c r="D694" t="s">
        <v>744</v>
      </c>
      <c r="E694" s="69">
        <v>40648</v>
      </c>
      <c r="F694" s="65">
        <v>0.6390393518518519</v>
      </c>
      <c r="G694" t="s">
        <v>1346</v>
      </c>
      <c r="H694" t="s">
        <v>1347</v>
      </c>
    </row>
    <row r="695" spans="1:8" s="80" customFormat="1">
      <c r="A695">
        <v>13681026</v>
      </c>
      <c r="B695" t="s">
        <v>745</v>
      </c>
      <c r="C695" t="s">
        <v>743</v>
      </c>
      <c r="D695" t="s">
        <v>744</v>
      </c>
      <c r="E695" s="69">
        <v>40648</v>
      </c>
      <c r="F695" s="65">
        <v>0.29693287037037036</v>
      </c>
      <c r="G695" t="s">
        <v>1344</v>
      </c>
      <c r="H695" t="s">
        <v>1345</v>
      </c>
    </row>
    <row r="696" spans="1:8" s="80" customFormat="1">
      <c r="A696">
        <v>13681026</v>
      </c>
      <c r="B696" t="s">
        <v>745</v>
      </c>
      <c r="C696" t="s">
        <v>743</v>
      </c>
      <c r="D696" t="s">
        <v>744</v>
      </c>
      <c r="E696" s="69">
        <v>40649</v>
      </c>
      <c r="F696" s="65">
        <v>0.29452546296296295</v>
      </c>
      <c r="G696" t="s">
        <v>1344</v>
      </c>
      <c r="H696" t="s">
        <v>1345</v>
      </c>
    </row>
    <row r="697" spans="1:8" s="80" customFormat="1">
      <c r="A697">
        <v>13681026</v>
      </c>
      <c r="B697" t="s">
        <v>745</v>
      </c>
      <c r="C697" t="s">
        <v>743</v>
      </c>
      <c r="D697" t="s">
        <v>744</v>
      </c>
      <c r="E697" s="69">
        <v>40649</v>
      </c>
      <c r="F697" s="65">
        <v>0.62699074074074079</v>
      </c>
      <c r="G697" t="s">
        <v>1346</v>
      </c>
      <c r="H697" t="s">
        <v>1347</v>
      </c>
    </row>
    <row r="698" spans="1:8" s="80" customFormat="1">
      <c r="A698">
        <v>13701209</v>
      </c>
      <c r="B698" t="s">
        <v>986</v>
      </c>
      <c r="C698" t="s">
        <v>981</v>
      </c>
      <c r="D698" t="s">
        <v>712</v>
      </c>
      <c r="E698" s="69">
        <v>40644</v>
      </c>
      <c r="F698" s="65">
        <v>0.60895833333333338</v>
      </c>
      <c r="G698" t="s">
        <v>1344</v>
      </c>
      <c r="H698" t="s">
        <v>1345</v>
      </c>
    </row>
    <row r="699" spans="1:8" s="80" customFormat="1">
      <c r="A699">
        <v>13701209</v>
      </c>
      <c r="B699" t="s">
        <v>986</v>
      </c>
      <c r="C699" t="s">
        <v>981</v>
      </c>
      <c r="D699" t="s">
        <v>712</v>
      </c>
      <c r="E699" s="69">
        <v>40644</v>
      </c>
      <c r="F699" s="65">
        <v>0.9425</v>
      </c>
      <c r="G699" t="s">
        <v>1346</v>
      </c>
      <c r="H699" t="s">
        <v>1347</v>
      </c>
    </row>
    <row r="700" spans="1:8" s="80" customFormat="1">
      <c r="A700">
        <v>13701209</v>
      </c>
      <c r="B700" t="s">
        <v>986</v>
      </c>
      <c r="C700" t="s">
        <v>981</v>
      </c>
      <c r="D700" t="s">
        <v>712</v>
      </c>
      <c r="E700" s="69">
        <v>40645</v>
      </c>
      <c r="F700" s="65">
        <v>0.6050578703703704</v>
      </c>
      <c r="G700" t="s">
        <v>1344</v>
      </c>
      <c r="H700" t="s">
        <v>1345</v>
      </c>
    </row>
    <row r="701" spans="1:8" s="80" customFormat="1">
      <c r="A701">
        <v>13701209</v>
      </c>
      <c r="B701" t="s">
        <v>986</v>
      </c>
      <c r="C701" t="s">
        <v>981</v>
      </c>
      <c r="D701" t="s">
        <v>712</v>
      </c>
      <c r="E701" s="69">
        <v>40645</v>
      </c>
      <c r="F701" s="65">
        <v>0.94557870370370367</v>
      </c>
      <c r="G701" t="s">
        <v>1346</v>
      </c>
      <c r="H701" t="s">
        <v>1347</v>
      </c>
    </row>
    <row r="702" spans="1:8" s="80" customFormat="1">
      <c r="A702">
        <v>13701209</v>
      </c>
      <c r="B702" t="s">
        <v>986</v>
      </c>
      <c r="C702" t="s">
        <v>981</v>
      </c>
      <c r="D702" t="s">
        <v>712</v>
      </c>
      <c r="E702" s="69">
        <v>40646</v>
      </c>
      <c r="F702" s="65">
        <v>0.60796296296296293</v>
      </c>
      <c r="G702" t="s">
        <v>1344</v>
      </c>
      <c r="H702" t="s">
        <v>1345</v>
      </c>
    </row>
    <row r="703" spans="1:8" s="80" customFormat="1">
      <c r="A703">
        <v>13701209</v>
      </c>
      <c r="B703" t="s">
        <v>986</v>
      </c>
      <c r="C703" t="s">
        <v>981</v>
      </c>
      <c r="D703" t="s">
        <v>712</v>
      </c>
      <c r="E703" s="69">
        <v>40646</v>
      </c>
      <c r="F703" s="65">
        <v>0.9435069444444445</v>
      </c>
      <c r="G703" t="s">
        <v>1346</v>
      </c>
      <c r="H703" t="s">
        <v>1347</v>
      </c>
    </row>
    <row r="704" spans="1:8" s="80" customFormat="1">
      <c r="A704">
        <v>13701209</v>
      </c>
      <c r="B704" t="s">
        <v>986</v>
      </c>
      <c r="C704" t="s">
        <v>981</v>
      </c>
      <c r="D704" t="s">
        <v>712</v>
      </c>
      <c r="E704" s="69">
        <v>40647</v>
      </c>
      <c r="F704" s="65">
        <v>0.60704861111111108</v>
      </c>
      <c r="G704" t="s">
        <v>1344</v>
      </c>
      <c r="H704" t="s">
        <v>1345</v>
      </c>
    </row>
    <row r="705" spans="1:8" s="80" customFormat="1">
      <c r="A705">
        <v>13701209</v>
      </c>
      <c r="B705" t="s">
        <v>986</v>
      </c>
      <c r="C705" t="s">
        <v>981</v>
      </c>
      <c r="D705" t="s">
        <v>712</v>
      </c>
      <c r="E705" s="69">
        <v>40647</v>
      </c>
      <c r="F705" s="65">
        <v>0.94106481481481474</v>
      </c>
      <c r="G705" t="s">
        <v>1346</v>
      </c>
      <c r="H705" t="s">
        <v>1347</v>
      </c>
    </row>
    <row r="706" spans="1:8" s="80" customFormat="1">
      <c r="A706">
        <v>13701209</v>
      </c>
      <c r="B706" t="s">
        <v>986</v>
      </c>
      <c r="C706" t="s">
        <v>981</v>
      </c>
      <c r="D706" t="s">
        <v>712</v>
      </c>
      <c r="E706" s="69">
        <v>40648</v>
      </c>
      <c r="F706" s="65">
        <v>0.60616898148148146</v>
      </c>
      <c r="G706" t="s">
        <v>1344</v>
      </c>
      <c r="H706" t="s">
        <v>1345</v>
      </c>
    </row>
    <row r="707" spans="1:8" s="80" customFormat="1">
      <c r="A707">
        <v>13701209</v>
      </c>
      <c r="B707" t="s">
        <v>986</v>
      </c>
      <c r="C707" t="s">
        <v>981</v>
      </c>
      <c r="D707" t="s">
        <v>712</v>
      </c>
      <c r="E707" s="69">
        <v>40648</v>
      </c>
      <c r="F707" s="65">
        <v>0.94837962962962974</v>
      </c>
      <c r="G707" t="s">
        <v>1346</v>
      </c>
      <c r="H707" t="s">
        <v>1347</v>
      </c>
    </row>
    <row r="708" spans="1:8" s="80" customFormat="1">
      <c r="A708">
        <v>13701209</v>
      </c>
      <c r="B708" t="s">
        <v>986</v>
      </c>
      <c r="C708" t="s">
        <v>981</v>
      </c>
      <c r="D708" t="s">
        <v>712</v>
      </c>
      <c r="E708" s="69">
        <v>40649</v>
      </c>
      <c r="F708" s="65">
        <v>0.63481481481481483</v>
      </c>
      <c r="G708" t="s">
        <v>1346</v>
      </c>
      <c r="H708" t="s">
        <v>1347</v>
      </c>
    </row>
    <row r="709" spans="1:8" s="80" customFormat="1">
      <c r="A709">
        <v>13701209</v>
      </c>
      <c r="B709" t="s">
        <v>986</v>
      </c>
      <c r="C709" t="s">
        <v>981</v>
      </c>
      <c r="D709" t="s">
        <v>712</v>
      </c>
      <c r="E709" s="69">
        <v>40649</v>
      </c>
      <c r="F709" s="65">
        <v>0.2946759259259259</v>
      </c>
      <c r="G709" t="s">
        <v>1344</v>
      </c>
      <c r="H709" t="s">
        <v>1345</v>
      </c>
    </row>
    <row r="710" spans="1:8" s="80" customFormat="1">
      <c r="A710">
        <v>13769935</v>
      </c>
      <c r="B710" t="s">
        <v>540</v>
      </c>
      <c r="C710" t="s">
        <v>539</v>
      </c>
      <c r="D710" t="s">
        <v>124</v>
      </c>
      <c r="E710" s="69">
        <v>40646</v>
      </c>
      <c r="F710" s="65">
        <v>0.36288194444444444</v>
      </c>
      <c r="G710" t="s">
        <v>1344</v>
      </c>
      <c r="H710" t="s">
        <v>1345</v>
      </c>
    </row>
    <row r="711" spans="1:8" s="80" customFormat="1">
      <c r="A711">
        <v>13769935</v>
      </c>
      <c r="B711" t="s">
        <v>540</v>
      </c>
      <c r="C711" t="s">
        <v>539</v>
      </c>
      <c r="D711" t="s">
        <v>124</v>
      </c>
      <c r="E711" s="69">
        <v>40646</v>
      </c>
      <c r="F711" s="65">
        <v>0.87563657407407414</v>
      </c>
      <c r="G711" t="s">
        <v>1346</v>
      </c>
      <c r="H711" t="s">
        <v>1347</v>
      </c>
    </row>
    <row r="712" spans="1:8" s="80" customFormat="1">
      <c r="A712">
        <v>13769935</v>
      </c>
      <c r="B712" t="s">
        <v>540</v>
      </c>
      <c r="C712" t="s">
        <v>539</v>
      </c>
      <c r="D712" t="s">
        <v>124</v>
      </c>
      <c r="E712" s="69">
        <v>40647</v>
      </c>
      <c r="F712" s="65">
        <v>0.35373842592592591</v>
      </c>
      <c r="G712" t="s">
        <v>1344</v>
      </c>
      <c r="H712" t="s">
        <v>1345</v>
      </c>
    </row>
    <row r="713" spans="1:8" s="80" customFormat="1">
      <c r="A713">
        <v>13769935</v>
      </c>
      <c r="B713" t="s">
        <v>540</v>
      </c>
      <c r="C713" t="s">
        <v>539</v>
      </c>
      <c r="D713" t="s">
        <v>124</v>
      </c>
      <c r="E713" s="69">
        <v>40647</v>
      </c>
      <c r="F713" s="65">
        <v>0.78866898148148146</v>
      </c>
      <c r="G713" t="s">
        <v>1346</v>
      </c>
      <c r="H713" t="s">
        <v>1347</v>
      </c>
    </row>
    <row r="714" spans="1:8" s="80" customFormat="1">
      <c r="A714">
        <v>13769935</v>
      </c>
      <c r="B714" t="s">
        <v>540</v>
      </c>
      <c r="C714" t="s">
        <v>539</v>
      </c>
      <c r="D714" t="s">
        <v>124</v>
      </c>
      <c r="E714" s="69">
        <v>40648</v>
      </c>
      <c r="F714" s="65">
        <v>0.3583796296296296</v>
      </c>
      <c r="G714" t="s">
        <v>1344</v>
      </c>
      <c r="H714" t="s">
        <v>1345</v>
      </c>
    </row>
    <row r="715" spans="1:8" s="80" customFormat="1">
      <c r="A715">
        <v>13769935</v>
      </c>
      <c r="B715" t="s">
        <v>540</v>
      </c>
      <c r="C715" t="s">
        <v>539</v>
      </c>
      <c r="D715" t="s">
        <v>124</v>
      </c>
      <c r="E715" s="69">
        <v>40648</v>
      </c>
      <c r="F715" s="65">
        <v>0.72745370370370377</v>
      </c>
      <c r="G715" t="s">
        <v>1346</v>
      </c>
      <c r="H715" t="s">
        <v>1347</v>
      </c>
    </row>
    <row r="716" spans="1:8" s="80" customFormat="1">
      <c r="A716">
        <v>13834251</v>
      </c>
      <c r="B716" t="s">
        <v>627</v>
      </c>
      <c r="C716" t="s">
        <v>301</v>
      </c>
      <c r="D716" t="s">
        <v>273</v>
      </c>
      <c r="E716" s="69">
        <v>40644</v>
      </c>
      <c r="F716" s="65">
        <v>0.32402777777777775</v>
      </c>
      <c r="G716" t="s">
        <v>1344</v>
      </c>
      <c r="H716" t="s">
        <v>1345</v>
      </c>
    </row>
    <row r="717" spans="1:8" s="80" customFormat="1">
      <c r="A717">
        <v>13834251</v>
      </c>
      <c r="B717" t="s">
        <v>627</v>
      </c>
      <c r="C717" t="s">
        <v>301</v>
      </c>
      <c r="D717" t="s">
        <v>273</v>
      </c>
      <c r="E717" s="69">
        <v>40644</v>
      </c>
      <c r="F717" s="65">
        <v>0.77585648148148145</v>
      </c>
      <c r="G717" t="s">
        <v>1346</v>
      </c>
      <c r="H717" t="s">
        <v>1347</v>
      </c>
    </row>
    <row r="718" spans="1:8" s="80" customFormat="1">
      <c r="A718">
        <v>13834251</v>
      </c>
      <c r="B718" t="s">
        <v>627</v>
      </c>
      <c r="C718" t="s">
        <v>301</v>
      </c>
      <c r="D718" t="s">
        <v>273</v>
      </c>
      <c r="E718" s="69">
        <v>40645</v>
      </c>
      <c r="F718" s="65">
        <v>0.33493055555555556</v>
      </c>
      <c r="G718" t="s">
        <v>1344</v>
      </c>
      <c r="H718" t="s">
        <v>1345</v>
      </c>
    </row>
    <row r="719" spans="1:8" s="80" customFormat="1">
      <c r="A719">
        <v>13834251</v>
      </c>
      <c r="B719" t="s">
        <v>627</v>
      </c>
      <c r="C719" t="s">
        <v>301</v>
      </c>
      <c r="D719" t="s">
        <v>273</v>
      </c>
      <c r="E719" s="69">
        <v>40645</v>
      </c>
      <c r="F719" s="65">
        <v>0.78962962962962957</v>
      </c>
      <c r="G719" t="s">
        <v>1346</v>
      </c>
      <c r="H719" t="s">
        <v>1347</v>
      </c>
    </row>
    <row r="720" spans="1:8" s="80" customFormat="1">
      <c r="A720">
        <v>13834251</v>
      </c>
      <c r="B720" t="s">
        <v>627</v>
      </c>
      <c r="C720" t="s">
        <v>301</v>
      </c>
      <c r="D720" t="s">
        <v>273</v>
      </c>
      <c r="E720" s="69">
        <v>40646</v>
      </c>
      <c r="F720" s="65">
        <v>0.33402777777777781</v>
      </c>
      <c r="G720" t="s">
        <v>1344</v>
      </c>
      <c r="H720" t="s">
        <v>1345</v>
      </c>
    </row>
    <row r="721" spans="1:8" s="80" customFormat="1">
      <c r="A721">
        <v>13834251</v>
      </c>
      <c r="B721" t="s">
        <v>627</v>
      </c>
      <c r="C721" t="s">
        <v>301</v>
      </c>
      <c r="D721" t="s">
        <v>273</v>
      </c>
      <c r="E721" s="69">
        <v>40646</v>
      </c>
      <c r="F721" s="65">
        <v>0.78012731481481479</v>
      </c>
      <c r="G721" t="s">
        <v>1346</v>
      </c>
      <c r="H721" t="s">
        <v>1347</v>
      </c>
    </row>
    <row r="722" spans="1:8" s="80" customFormat="1">
      <c r="A722">
        <v>13834251</v>
      </c>
      <c r="B722" t="s">
        <v>627</v>
      </c>
      <c r="C722" t="s">
        <v>301</v>
      </c>
      <c r="D722" t="s">
        <v>273</v>
      </c>
      <c r="E722" s="69">
        <v>40647</v>
      </c>
      <c r="F722" s="65">
        <v>0.33357638888888891</v>
      </c>
      <c r="G722" t="s">
        <v>1344</v>
      </c>
      <c r="H722" t="s">
        <v>1345</v>
      </c>
    </row>
    <row r="723" spans="1:8" s="80" customFormat="1">
      <c r="A723">
        <v>13834251</v>
      </c>
      <c r="B723" t="s">
        <v>627</v>
      </c>
      <c r="C723" t="s">
        <v>301</v>
      </c>
      <c r="D723" t="s">
        <v>273</v>
      </c>
      <c r="E723" s="69">
        <v>40647</v>
      </c>
      <c r="F723" s="65">
        <v>0.78521990740740744</v>
      </c>
      <c r="G723" t="s">
        <v>1346</v>
      </c>
      <c r="H723" t="s">
        <v>1347</v>
      </c>
    </row>
    <row r="724" spans="1:8" s="80" customFormat="1">
      <c r="A724">
        <v>13834251</v>
      </c>
      <c r="B724" t="s">
        <v>627</v>
      </c>
      <c r="C724" t="s">
        <v>301</v>
      </c>
      <c r="D724" t="s">
        <v>273</v>
      </c>
      <c r="E724" s="69">
        <v>40648</v>
      </c>
      <c r="F724" s="65">
        <v>0.75075231481481486</v>
      </c>
      <c r="G724" t="s">
        <v>1346</v>
      </c>
      <c r="H724" t="s">
        <v>1347</v>
      </c>
    </row>
    <row r="725" spans="1:8" s="80" customFormat="1">
      <c r="A725">
        <v>13834251</v>
      </c>
      <c r="B725" t="s">
        <v>627</v>
      </c>
      <c r="C725" t="s">
        <v>301</v>
      </c>
      <c r="D725" t="s">
        <v>273</v>
      </c>
      <c r="E725" s="69">
        <v>40648</v>
      </c>
      <c r="F725" s="65">
        <v>0.33604166666666663</v>
      </c>
      <c r="G725" t="s">
        <v>1344</v>
      </c>
      <c r="H725" t="s">
        <v>1345</v>
      </c>
    </row>
    <row r="726" spans="1:8" s="80" customFormat="1">
      <c r="A726">
        <v>13834251</v>
      </c>
      <c r="B726" t="s">
        <v>627</v>
      </c>
      <c r="C726" t="s">
        <v>301</v>
      </c>
      <c r="D726" t="s">
        <v>273</v>
      </c>
      <c r="E726" s="69">
        <v>40649</v>
      </c>
      <c r="F726" s="65">
        <v>0.29982638888888891</v>
      </c>
      <c r="G726" t="s">
        <v>1344</v>
      </c>
      <c r="H726" t="s">
        <v>1345</v>
      </c>
    </row>
    <row r="727" spans="1:8" s="80" customFormat="1">
      <c r="A727">
        <v>13834251</v>
      </c>
      <c r="B727" t="s">
        <v>627</v>
      </c>
      <c r="C727" t="s">
        <v>301</v>
      </c>
      <c r="D727" t="s">
        <v>273</v>
      </c>
      <c r="E727" s="69">
        <v>40649</v>
      </c>
      <c r="F727" s="65">
        <v>0.63504629629629628</v>
      </c>
      <c r="G727" t="s">
        <v>1346</v>
      </c>
      <c r="H727" t="s">
        <v>1347</v>
      </c>
    </row>
    <row r="728" spans="1:8" s="80" customFormat="1">
      <c r="A728">
        <v>13899407</v>
      </c>
      <c r="B728" t="s">
        <v>173</v>
      </c>
      <c r="C728" t="s">
        <v>168</v>
      </c>
      <c r="D728" t="s">
        <v>87</v>
      </c>
      <c r="E728" s="69">
        <v>40644</v>
      </c>
      <c r="F728" s="65">
        <v>1.0763888888888889E-3</v>
      </c>
      <c r="G728" t="s">
        <v>1344</v>
      </c>
      <c r="H728" t="s">
        <v>1345</v>
      </c>
    </row>
    <row r="729" spans="1:8" s="80" customFormat="1">
      <c r="A729">
        <v>13899407</v>
      </c>
      <c r="B729" t="s">
        <v>173</v>
      </c>
      <c r="C729" t="s">
        <v>168</v>
      </c>
      <c r="D729" t="s">
        <v>87</v>
      </c>
      <c r="E729" s="69">
        <v>40644</v>
      </c>
      <c r="F729" s="65">
        <v>0.31135416666666665</v>
      </c>
      <c r="G729" t="s">
        <v>1346</v>
      </c>
      <c r="H729" t="s">
        <v>1347</v>
      </c>
    </row>
    <row r="730" spans="1:8" s="80" customFormat="1">
      <c r="A730">
        <v>13899407</v>
      </c>
      <c r="B730" t="s">
        <v>173</v>
      </c>
      <c r="C730" t="s">
        <v>168</v>
      </c>
      <c r="D730" t="s">
        <v>87</v>
      </c>
      <c r="E730" s="69">
        <v>40644</v>
      </c>
      <c r="F730" s="65">
        <v>0.92151620370370368</v>
      </c>
      <c r="G730" t="s">
        <v>1344</v>
      </c>
      <c r="H730" t="s">
        <v>1345</v>
      </c>
    </row>
    <row r="731" spans="1:8" s="80" customFormat="1">
      <c r="A731">
        <v>13899407</v>
      </c>
      <c r="B731" t="s">
        <v>173</v>
      </c>
      <c r="C731" t="s">
        <v>168</v>
      </c>
      <c r="D731" t="s">
        <v>87</v>
      </c>
      <c r="E731" s="69">
        <v>40645</v>
      </c>
      <c r="F731" s="65">
        <v>0.31472222222222224</v>
      </c>
      <c r="G731" t="s">
        <v>1346</v>
      </c>
      <c r="H731" t="s">
        <v>1347</v>
      </c>
    </row>
    <row r="732" spans="1:8" s="80" customFormat="1">
      <c r="A732">
        <v>13899407</v>
      </c>
      <c r="B732" t="s">
        <v>173</v>
      </c>
      <c r="C732" t="s">
        <v>168</v>
      </c>
      <c r="D732" t="s">
        <v>87</v>
      </c>
      <c r="E732" s="69">
        <v>40645</v>
      </c>
      <c r="F732" s="65">
        <v>0.91983796296296294</v>
      </c>
      <c r="G732" t="s">
        <v>1344</v>
      </c>
      <c r="H732" t="s">
        <v>1345</v>
      </c>
    </row>
    <row r="733" spans="1:8" s="80" customFormat="1">
      <c r="A733">
        <v>13899407</v>
      </c>
      <c r="B733" t="s">
        <v>173</v>
      </c>
      <c r="C733" t="s">
        <v>168</v>
      </c>
      <c r="D733" t="s">
        <v>87</v>
      </c>
      <c r="E733" s="69">
        <v>40646</v>
      </c>
      <c r="F733" s="65">
        <v>0.31684027777777779</v>
      </c>
      <c r="G733" t="s">
        <v>1346</v>
      </c>
      <c r="H733" t="s">
        <v>1347</v>
      </c>
    </row>
    <row r="734" spans="1:8" s="80" customFormat="1">
      <c r="A734">
        <v>13899407</v>
      </c>
      <c r="B734" t="s">
        <v>173</v>
      </c>
      <c r="C734" t="s">
        <v>168</v>
      </c>
      <c r="D734" t="s">
        <v>87</v>
      </c>
      <c r="E734" s="69">
        <v>40646</v>
      </c>
      <c r="F734" s="65">
        <v>0.9215740740740741</v>
      </c>
      <c r="G734" t="s">
        <v>1344</v>
      </c>
      <c r="H734" t="s">
        <v>1345</v>
      </c>
    </row>
    <row r="735" spans="1:8" s="80" customFormat="1">
      <c r="A735">
        <v>13899407</v>
      </c>
      <c r="B735" t="s">
        <v>173</v>
      </c>
      <c r="C735" t="s">
        <v>168</v>
      </c>
      <c r="D735" t="s">
        <v>87</v>
      </c>
      <c r="E735" s="69">
        <v>40647</v>
      </c>
      <c r="F735" s="65">
        <v>0.32067129629629632</v>
      </c>
      <c r="G735" t="s">
        <v>1346</v>
      </c>
      <c r="H735" t="s">
        <v>1347</v>
      </c>
    </row>
    <row r="736" spans="1:8" s="80" customFormat="1">
      <c r="A736">
        <v>13899407</v>
      </c>
      <c r="B736" t="s">
        <v>173</v>
      </c>
      <c r="C736" t="s">
        <v>168</v>
      </c>
      <c r="D736" t="s">
        <v>87</v>
      </c>
      <c r="E736" s="69">
        <v>40647</v>
      </c>
      <c r="F736" s="65">
        <v>0.92206018518518518</v>
      </c>
      <c r="G736" t="s">
        <v>1344</v>
      </c>
      <c r="H736" t="s">
        <v>1345</v>
      </c>
    </row>
    <row r="737" spans="1:8" s="80" customFormat="1">
      <c r="A737">
        <v>13899407</v>
      </c>
      <c r="B737" t="s">
        <v>173</v>
      </c>
      <c r="C737" t="s">
        <v>168</v>
      </c>
      <c r="D737" t="s">
        <v>87</v>
      </c>
      <c r="E737" s="69">
        <v>40648</v>
      </c>
      <c r="F737" s="65">
        <v>0.92115740740740737</v>
      </c>
      <c r="G737" t="s">
        <v>1344</v>
      </c>
      <c r="H737" t="s">
        <v>1345</v>
      </c>
    </row>
    <row r="738" spans="1:8" s="80" customFormat="1">
      <c r="A738">
        <v>13899407</v>
      </c>
      <c r="B738" t="s">
        <v>173</v>
      </c>
      <c r="C738" t="s">
        <v>168</v>
      </c>
      <c r="D738" t="s">
        <v>87</v>
      </c>
      <c r="E738" s="69">
        <v>40648</v>
      </c>
      <c r="F738" s="65">
        <v>0.31702546296296297</v>
      </c>
      <c r="G738" t="s">
        <v>1346</v>
      </c>
      <c r="H738" t="s">
        <v>1347</v>
      </c>
    </row>
    <row r="739" spans="1:8" s="80" customFormat="1">
      <c r="A739">
        <v>13899407</v>
      </c>
      <c r="B739" t="s">
        <v>173</v>
      </c>
      <c r="C739" t="s">
        <v>168</v>
      </c>
      <c r="D739" t="s">
        <v>87</v>
      </c>
      <c r="E739" s="69">
        <v>40649</v>
      </c>
      <c r="F739" s="65">
        <v>0.32406249999999998</v>
      </c>
      <c r="G739" t="s">
        <v>1346</v>
      </c>
      <c r="H739" t="s">
        <v>1347</v>
      </c>
    </row>
    <row r="740" spans="1:8" s="80" customFormat="1">
      <c r="A740">
        <v>14005587</v>
      </c>
      <c r="B740" t="s">
        <v>1224</v>
      </c>
      <c r="C740" t="s">
        <v>212</v>
      </c>
      <c r="D740" t="s">
        <v>1223</v>
      </c>
      <c r="E740" s="69">
        <v>40644</v>
      </c>
      <c r="F740" s="65">
        <v>0.30306712962962962</v>
      </c>
      <c r="G740" t="s">
        <v>1344</v>
      </c>
      <c r="H740" t="s">
        <v>1345</v>
      </c>
    </row>
    <row r="741" spans="1:8" s="80" customFormat="1">
      <c r="A741">
        <v>14005587</v>
      </c>
      <c r="B741" t="s">
        <v>1224</v>
      </c>
      <c r="C741" t="s">
        <v>212</v>
      </c>
      <c r="D741" t="s">
        <v>1223</v>
      </c>
      <c r="E741" s="69">
        <v>40644</v>
      </c>
      <c r="F741" s="65">
        <v>0.6243171296296296</v>
      </c>
      <c r="G741" t="s">
        <v>1346</v>
      </c>
      <c r="H741" t="s">
        <v>1347</v>
      </c>
    </row>
    <row r="742" spans="1:8" s="80" customFormat="1">
      <c r="A742">
        <v>14005587</v>
      </c>
      <c r="B742" t="s">
        <v>1224</v>
      </c>
      <c r="C742" t="s">
        <v>212</v>
      </c>
      <c r="D742" t="s">
        <v>1223</v>
      </c>
      <c r="E742" s="69">
        <v>40645</v>
      </c>
      <c r="F742" s="65">
        <v>0.30820601851851853</v>
      </c>
      <c r="G742" t="s">
        <v>1344</v>
      </c>
      <c r="H742" t="s">
        <v>1345</v>
      </c>
    </row>
    <row r="743" spans="1:8" s="80" customFormat="1">
      <c r="A743">
        <v>14005587</v>
      </c>
      <c r="B743" t="s">
        <v>1224</v>
      </c>
      <c r="C743" t="s">
        <v>212</v>
      </c>
      <c r="D743" t="s">
        <v>1223</v>
      </c>
      <c r="E743" s="69">
        <v>40645</v>
      </c>
      <c r="F743" s="65">
        <v>0.62797453703703698</v>
      </c>
      <c r="G743" t="s">
        <v>1346</v>
      </c>
      <c r="H743" t="s">
        <v>1347</v>
      </c>
    </row>
    <row r="744" spans="1:8" s="80" customFormat="1">
      <c r="A744">
        <v>14005587</v>
      </c>
      <c r="B744" t="s">
        <v>1224</v>
      </c>
      <c r="C744" t="s">
        <v>212</v>
      </c>
      <c r="D744" t="s">
        <v>1223</v>
      </c>
      <c r="E744" s="69">
        <v>40646</v>
      </c>
      <c r="F744" s="65">
        <v>0.30555555555555552</v>
      </c>
      <c r="G744" t="s">
        <v>1344</v>
      </c>
      <c r="H744" t="s">
        <v>1345</v>
      </c>
    </row>
    <row r="745" spans="1:8" s="80" customFormat="1">
      <c r="A745">
        <v>14005587</v>
      </c>
      <c r="B745" t="s">
        <v>1224</v>
      </c>
      <c r="C745" t="s">
        <v>212</v>
      </c>
      <c r="D745" t="s">
        <v>1223</v>
      </c>
      <c r="E745" s="69">
        <v>40646</v>
      </c>
      <c r="F745" s="65">
        <v>0.63289351851851849</v>
      </c>
      <c r="G745" t="s">
        <v>1346</v>
      </c>
      <c r="H745" t="s">
        <v>1347</v>
      </c>
    </row>
    <row r="746" spans="1:8" s="80" customFormat="1">
      <c r="A746">
        <v>14005587</v>
      </c>
      <c r="B746" t="s">
        <v>1224</v>
      </c>
      <c r="C746" t="s">
        <v>212</v>
      </c>
      <c r="D746" t="s">
        <v>1223</v>
      </c>
      <c r="E746" s="69">
        <v>40647</v>
      </c>
      <c r="F746" s="65">
        <v>0.30920138888888887</v>
      </c>
      <c r="G746" t="s">
        <v>1344</v>
      </c>
      <c r="H746" t="s">
        <v>1345</v>
      </c>
    </row>
    <row r="747" spans="1:8" s="80" customFormat="1">
      <c r="A747">
        <v>14005587</v>
      </c>
      <c r="B747" t="s">
        <v>1224</v>
      </c>
      <c r="C747" t="s">
        <v>212</v>
      </c>
      <c r="D747" t="s">
        <v>1223</v>
      </c>
      <c r="E747" s="69">
        <v>40647</v>
      </c>
      <c r="F747" s="65">
        <v>0.6312268518518519</v>
      </c>
      <c r="G747" t="s">
        <v>1346</v>
      </c>
      <c r="H747" t="s">
        <v>1347</v>
      </c>
    </row>
    <row r="748" spans="1:8" s="80" customFormat="1">
      <c r="A748">
        <v>14005587</v>
      </c>
      <c r="B748" t="s">
        <v>1224</v>
      </c>
      <c r="C748" t="s">
        <v>212</v>
      </c>
      <c r="D748" t="s">
        <v>1223</v>
      </c>
      <c r="E748" s="69">
        <v>40648</v>
      </c>
      <c r="F748" s="65">
        <v>0.30851851851851853</v>
      </c>
      <c r="G748" t="s">
        <v>1344</v>
      </c>
      <c r="H748" t="s">
        <v>1345</v>
      </c>
    </row>
    <row r="749" spans="1:8" s="80" customFormat="1">
      <c r="A749">
        <v>14005587</v>
      </c>
      <c r="B749" t="s">
        <v>1224</v>
      </c>
      <c r="C749" t="s">
        <v>212</v>
      </c>
      <c r="D749" t="s">
        <v>1223</v>
      </c>
      <c r="E749" s="69">
        <v>40649</v>
      </c>
      <c r="F749" s="65">
        <v>0.30900462962962966</v>
      </c>
      <c r="G749" t="s">
        <v>1344</v>
      </c>
      <c r="H749" t="s">
        <v>1345</v>
      </c>
    </row>
    <row r="750" spans="1:8" s="80" customFormat="1">
      <c r="A750">
        <v>14005587</v>
      </c>
      <c r="B750" t="s">
        <v>1224</v>
      </c>
      <c r="C750" t="s">
        <v>212</v>
      </c>
      <c r="D750" t="s">
        <v>1223</v>
      </c>
      <c r="E750" s="69">
        <v>40649</v>
      </c>
      <c r="F750" s="65">
        <v>0.62903935185185189</v>
      </c>
      <c r="G750" t="s">
        <v>1346</v>
      </c>
      <c r="H750" t="s">
        <v>1347</v>
      </c>
    </row>
    <row r="751" spans="1:8" s="80" customFormat="1">
      <c r="A751">
        <v>14017495</v>
      </c>
      <c r="B751" t="s">
        <v>749</v>
      </c>
      <c r="C751" t="s">
        <v>435</v>
      </c>
      <c r="D751" t="s">
        <v>183</v>
      </c>
      <c r="E751" s="69">
        <v>40644</v>
      </c>
      <c r="F751" s="65">
        <v>0.3122685185185185</v>
      </c>
      <c r="G751" t="s">
        <v>1344</v>
      </c>
      <c r="H751" t="s">
        <v>1345</v>
      </c>
    </row>
    <row r="752" spans="1:8" s="80" customFormat="1">
      <c r="A752">
        <v>14017495</v>
      </c>
      <c r="B752" t="s">
        <v>749</v>
      </c>
      <c r="C752" t="s">
        <v>435</v>
      </c>
      <c r="D752" t="s">
        <v>183</v>
      </c>
      <c r="E752" s="69">
        <v>40644</v>
      </c>
      <c r="F752" s="65">
        <v>0.63633101851851859</v>
      </c>
      <c r="G752" t="s">
        <v>1346</v>
      </c>
      <c r="H752" t="s">
        <v>1347</v>
      </c>
    </row>
    <row r="753" spans="1:8" s="80" customFormat="1">
      <c r="A753">
        <v>14017495</v>
      </c>
      <c r="B753" t="s">
        <v>749</v>
      </c>
      <c r="C753" t="s">
        <v>435</v>
      </c>
      <c r="D753" t="s">
        <v>183</v>
      </c>
      <c r="E753" s="69">
        <v>40645</v>
      </c>
      <c r="F753" s="65">
        <v>0.31221064814814814</v>
      </c>
      <c r="G753" t="s">
        <v>1344</v>
      </c>
      <c r="H753" t="s">
        <v>1345</v>
      </c>
    </row>
    <row r="754" spans="1:8" s="80" customFormat="1">
      <c r="A754">
        <v>14017495</v>
      </c>
      <c r="B754" t="s">
        <v>749</v>
      </c>
      <c r="C754" t="s">
        <v>435</v>
      </c>
      <c r="D754" t="s">
        <v>183</v>
      </c>
      <c r="E754" s="69">
        <v>40645</v>
      </c>
      <c r="F754" s="65">
        <v>0.73342592592592604</v>
      </c>
      <c r="G754" t="s">
        <v>1346</v>
      </c>
      <c r="H754" t="s">
        <v>1347</v>
      </c>
    </row>
    <row r="755" spans="1:8" s="80" customFormat="1">
      <c r="A755">
        <v>14017495</v>
      </c>
      <c r="B755" t="s">
        <v>749</v>
      </c>
      <c r="C755" t="s">
        <v>435</v>
      </c>
      <c r="D755" t="s">
        <v>183</v>
      </c>
      <c r="E755" s="69">
        <v>40646</v>
      </c>
      <c r="F755" s="65">
        <v>0.31634259259259262</v>
      </c>
      <c r="G755" t="s">
        <v>1344</v>
      </c>
      <c r="H755" t="s">
        <v>1345</v>
      </c>
    </row>
    <row r="756" spans="1:8" s="80" customFormat="1">
      <c r="A756">
        <v>14017495</v>
      </c>
      <c r="B756" t="s">
        <v>749</v>
      </c>
      <c r="C756" t="s">
        <v>435</v>
      </c>
      <c r="D756" t="s">
        <v>183</v>
      </c>
      <c r="E756" s="69">
        <v>40646</v>
      </c>
      <c r="F756" s="65">
        <v>0.75291666666666668</v>
      </c>
      <c r="G756" t="s">
        <v>1346</v>
      </c>
      <c r="H756" t="s">
        <v>1347</v>
      </c>
    </row>
    <row r="757" spans="1:8" s="80" customFormat="1">
      <c r="A757">
        <v>14017495</v>
      </c>
      <c r="B757" t="s">
        <v>749</v>
      </c>
      <c r="C757" t="s">
        <v>435</v>
      </c>
      <c r="D757" t="s">
        <v>183</v>
      </c>
      <c r="E757" s="69">
        <v>40647</v>
      </c>
      <c r="F757" s="65">
        <v>0.31753472222222223</v>
      </c>
      <c r="G757" t="s">
        <v>1344</v>
      </c>
      <c r="H757" t="s">
        <v>1345</v>
      </c>
    </row>
    <row r="758" spans="1:8" s="80" customFormat="1">
      <c r="A758">
        <v>14017495</v>
      </c>
      <c r="B758" t="s">
        <v>749</v>
      </c>
      <c r="C758" t="s">
        <v>435</v>
      </c>
      <c r="D758" t="s">
        <v>183</v>
      </c>
      <c r="E758" s="69">
        <v>40647</v>
      </c>
      <c r="F758" s="65">
        <v>0.67658564814814814</v>
      </c>
      <c r="G758" t="s">
        <v>1346</v>
      </c>
      <c r="H758" t="s">
        <v>1347</v>
      </c>
    </row>
    <row r="759" spans="1:8" s="80" customFormat="1">
      <c r="A759">
        <v>14017495</v>
      </c>
      <c r="B759" t="s">
        <v>749</v>
      </c>
      <c r="C759" t="s">
        <v>435</v>
      </c>
      <c r="D759" t="s">
        <v>183</v>
      </c>
      <c r="E759" s="69">
        <v>40648</v>
      </c>
      <c r="F759" s="65">
        <v>0.65478009259259262</v>
      </c>
      <c r="G759" t="s">
        <v>1346</v>
      </c>
      <c r="H759" t="s">
        <v>1347</v>
      </c>
    </row>
    <row r="760" spans="1:8" s="80" customFormat="1">
      <c r="A760">
        <v>14017495</v>
      </c>
      <c r="B760" t="s">
        <v>749</v>
      </c>
      <c r="C760" t="s">
        <v>435</v>
      </c>
      <c r="D760" t="s">
        <v>183</v>
      </c>
      <c r="E760" s="69">
        <v>40648</v>
      </c>
      <c r="F760" s="65">
        <v>0.3197800925925926</v>
      </c>
      <c r="G760" t="s">
        <v>1344</v>
      </c>
      <c r="H760" t="s">
        <v>1345</v>
      </c>
    </row>
    <row r="761" spans="1:8" s="80" customFormat="1">
      <c r="A761">
        <v>14017495</v>
      </c>
      <c r="B761" t="s">
        <v>749</v>
      </c>
      <c r="C761" t="s">
        <v>435</v>
      </c>
      <c r="D761" t="s">
        <v>183</v>
      </c>
      <c r="E761" s="69">
        <v>40649</v>
      </c>
      <c r="F761" s="65">
        <v>0.33626157407407403</v>
      </c>
      <c r="G761" t="s">
        <v>1344</v>
      </c>
      <c r="H761" t="s">
        <v>1345</v>
      </c>
    </row>
    <row r="762" spans="1:8" s="80" customFormat="1">
      <c r="A762">
        <v>14017495</v>
      </c>
      <c r="B762" t="s">
        <v>749</v>
      </c>
      <c r="C762" t="s">
        <v>435</v>
      </c>
      <c r="D762" t="s">
        <v>183</v>
      </c>
      <c r="E762" s="69">
        <v>40649</v>
      </c>
      <c r="F762" s="65">
        <v>0.55983796296296295</v>
      </c>
      <c r="G762" t="s">
        <v>1346</v>
      </c>
      <c r="H762" t="s">
        <v>1347</v>
      </c>
    </row>
    <row r="763" spans="1:8" s="80" customFormat="1">
      <c r="A763">
        <v>14095347</v>
      </c>
      <c r="B763" t="s">
        <v>196</v>
      </c>
      <c r="C763" t="s">
        <v>194</v>
      </c>
      <c r="D763" t="s">
        <v>195</v>
      </c>
      <c r="E763" s="69">
        <v>40644</v>
      </c>
      <c r="F763" s="65">
        <v>0.30149305555555556</v>
      </c>
      <c r="G763" t="s">
        <v>1344</v>
      </c>
      <c r="H763" t="s">
        <v>1345</v>
      </c>
    </row>
    <row r="764" spans="1:8" s="80" customFormat="1">
      <c r="A764">
        <v>14095347</v>
      </c>
      <c r="B764" t="s">
        <v>196</v>
      </c>
      <c r="C764" t="s">
        <v>194</v>
      </c>
      <c r="D764" t="s">
        <v>195</v>
      </c>
      <c r="E764" s="69">
        <v>40644</v>
      </c>
      <c r="F764" s="65">
        <v>0.63978009259259261</v>
      </c>
      <c r="G764" t="s">
        <v>1346</v>
      </c>
      <c r="H764" t="s">
        <v>1347</v>
      </c>
    </row>
    <row r="765" spans="1:8" s="80" customFormat="1">
      <c r="A765">
        <v>14095347</v>
      </c>
      <c r="B765" t="s">
        <v>196</v>
      </c>
      <c r="C765" t="s">
        <v>194</v>
      </c>
      <c r="D765" t="s">
        <v>195</v>
      </c>
      <c r="E765" s="69">
        <v>40645</v>
      </c>
      <c r="F765" s="65">
        <v>0.32074074074074072</v>
      </c>
      <c r="G765" t="s">
        <v>1344</v>
      </c>
      <c r="H765" t="s">
        <v>1345</v>
      </c>
    </row>
    <row r="766" spans="1:8" s="80" customFormat="1">
      <c r="A766">
        <v>14095347</v>
      </c>
      <c r="B766" t="s">
        <v>196</v>
      </c>
      <c r="C766" t="s">
        <v>194</v>
      </c>
      <c r="D766" t="s">
        <v>195</v>
      </c>
      <c r="E766" s="69">
        <v>40645</v>
      </c>
      <c r="F766" s="65">
        <v>0.64292824074074073</v>
      </c>
      <c r="G766" t="s">
        <v>1346</v>
      </c>
      <c r="H766" t="s">
        <v>1347</v>
      </c>
    </row>
    <row r="767" spans="1:8" s="80" customFormat="1">
      <c r="A767">
        <v>14095347</v>
      </c>
      <c r="B767" t="s">
        <v>196</v>
      </c>
      <c r="C767" t="s">
        <v>194</v>
      </c>
      <c r="D767" t="s">
        <v>195</v>
      </c>
      <c r="E767" s="69">
        <v>40646</v>
      </c>
      <c r="F767" s="65">
        <v>0.30579861111111112</v>
      </c>
      <c r="G767" t="s">
        <v>1344</v>
      </c>
      <c r="H767" t="s">
        <v>1345</v>
      </c>
    </row>
    <row r="768" spans="1:8" s="80" customFormat="1">
      <c r="A768">
        <v>14095347</v>
      </c>
      <c r="B768" t="s">
        <v>196</v>
      </c>
      <c r="C768" t="s">
        <v>194</v>
      </c>
      <c r="D768" t="s">
        <v>195</v>
      </c>
      <c r="E768" s="69">
        <v>40646</v>
      </c>
      <c r="F768" s="65">
        <v>0.64306712962962964</v>
      </c>
      <c r="G768" t="s">
        <v>1346</v>
      </c>
      <c r="H768" t="s">
        <v>1347</v>
      </c>
    </row>
    <row r="769" spans="1:8" s="80" customFormat="1">
      <c r="A769">
        <v>14095347</v>
      </c>
      <c r="B769" t="s">
        <v>196</v>
      </c>
      <c r="C769" t="s">
        <v>194</v>
      </c>
      <c r="D769" t="s">
        <v>195</v>
      </c>
      <c r="E769" s="69">
        <v>40647</v>
      </c>
      <c r="F769" s="65">
        <v>0.3082523148148148</v>
      </c>
      <c r="G769" t="s">
        <v>1344</v>
      </c>
      <c r="H769" t="s">
        <v>1345</v>
      </c>
    </row>
    <row r="770" spans="1:8" s="80" customFormat="1">
      <c r="A770">
        <v>14095347</v>
      </c>
      <c r="B770" t="s">
        <v>196</v>
      </c>
      <c r="C770" t="s">
        <v>194</v>
      </c>
      <c r="D770" t="s">
        <v>195</v>
      </c>
      <c r="E770" s="69">
        <v>40647</v>
      </c>
      <c r="F770" s="65">
        <v>0.64391203703703703</v>
      </c>
      <c r="G770" t="s">
        <v>1346</v>
      </c>
      <c r="H770" t="s">
        <v>1347</v>
      </c>
    </row>
    <row r="771" spans="1:8" s="80" customFormat="1">
      <c r="A771">
        <v>14095347</v>
      </c>
      <c r="B771" t="s">
        <v>196</v>
      </c>
      <c r="C771" t="s">
        <v>194</v>
      </c>
      <c r="D771" t="s">
        <v>195</v>
      </c>
      <c r="E771" s="69">
        <v>40648</v>
      </c>
      <c r="F771" s="65">
        <v>0.64336805555555554</v>
      </c>
      <c r="G771" t="s">
        <v>1346</v>
      </c>
      <c r="H771" t="s">
        <v>1347</v>
      </c>
    </row>
    <row r="772" spans="1:8" s="80" customFormat="1">
      <c r="A772">
        <v>14095347</v>
      </c>
      <c r="B772" t="s">
        <v>196</v>
      </c>
      <c r="C772" t="s">
        <v>194</v>
      </c>
      <c r="D772" t="s">
        <v>195</v>
      </c>
      <c r="E772" s="69">
        <v>40648</v>
      </c>
      <c r="F772" s="65">
        <v>0.31296296296296294</v>
      </c>
      <c r="G772" t="s">
        <v>1344</v>
      </c>
      <c r="H772" t="s">
        <v>1345</v>
      </c>
    </row>
    <row r="773" spans="1:8" s="80" customFormat="1">
      <c r="A773">
        <v>14095347</v>
      </c>
      <c r="B773" t="s">
        <v>196</v>
      </c>
      <c r="C773" t="s">
        <v>194</v>
      </c>
      <c r="D773" t="s">
        <v>195</v>
      </c>
      <c r="E773" s="69">
        <v>40649</v>
      </c>
      <c r="F773" s="65">
        <v>0.30371527777777779</v>
      </c>
      <c r="G773" t="s">
        <v>1344</v>
      </c>
      <c r="H773" t="s">
        <v>1345</v>
      </c>
    </row>
    <row r="774" spans="1:8" s="80" customFormat="1">
      <c r="A774">
        <v>14095347</v>
      </c>
      <c r="B774" t="s">
        <v>196</v>
      </c>
      <c r="C774" t="s">
        <v>194</v>
      </c>
      <c r="D774" t="s">
        <v>195</v>
      </c>
      <c r="E774" s="69">
        <v>40649</v>
      </c>
      <c r="F774" s="65">
        <v>0.62667824074074074</v>
      </c>
      <c r="G774" t="s">
        <v>1346</v>
      </c>
      <c r="H774" t="s">
        <v>1347</v>
      </c>
    </row>
    <row r="775" spans="1:8" s="80" customFormat="1">
      <c r="A775">
        <v>14095347</v>
      </c>
      <c r="B775" t="s">
        <v>196</v>
      </c>
      <c r="C775" t="s">
        <v>194</v>
      </c>
      <c r="D775" t="s">
        <v>195</v>
      </c>
      <c r="E775" s="69">
        <v>40650</v>
      </c>
      <c r="F775" s="65">
        <v>0.98672453703703711</v>
      </c>
      <c r="G775" t="s">
        <v>1344</v>
      </c>
      <c r="H775" t="s">
        <v>1345</v>
      </c>
    </row>
    <row r="776" spans="1:8" s="80" customFormat="1">
      <c r="A776">
        <v>14181387</v>
      </c>
      <c r="B776" t="s">
        <v>309</v>
      </c>
      <c r="C776" t="s">
        <v>307</v>
      </c>
      <c r="D776" t="s">
        <v>308</v>
      </c>
      <c r="E776" s="69">
        <v>40644</v>
      </c>
      <c r="F776" s="65">
        <v>0.92061342592592599</v>
      </c>
      <c r="G776" t="s">
        <v>1344</v>
      </c>
      <c r="H776" t="s">
        <v>1345</v>
      </c>
    </row>
    <row r="777" spans="1:8" s="80" customFormat="1">
      <c r="A777">
        <v>14181387</v>
      </c>
      <c r="B777" t="s">
        <v>309</v>
      </c>
      <c r="C777" t="s">
        <v>307</v>
      </c>
      <c r="D777" t="s">
        <v>308</v>
      </c>
      <c r="E777" s="69">
        <v>40645</v>
      </c>
      <c r="F777" s="65">
        <v>0.3177314814814815</v>
      </c>
      <c r="G777" t="s">
        <v>1346</v>
      </c>
      <c r="H777" t="s">
        <v>1347</v>
      </c>
    </row>
    <row r="778" spans="1:8" s="80" customFormat="1">
      <c r="A778">
        <v>14181387</v>
      </c>
      <c r="B778" t="s">
        <v>309</v>
      </c>
      <c r="C778" t="s">
        <v>307</v>
      </c>
      <c r="D778" t="s">
        <v>308</v>
      </c>
      <c r="E778" s="69">
        <v>40645</v>
      </c>
      <c r="F778" s="65">
        <v>0.92034722222222232</v>
      </c>
      <c r="G778" t="s">
        <v>1344</v>
      </c>
      <c r="H778" t="s">
        <v>1345</v>
      </c>
    </row>
    <row r="779" spans="1:8" s="80" customFormat="1">
      <c r="A779">
        <v>14181387</v>
      </c>
      <c r="B779" t="s">
        <v>309</v>
      </c>
      <c r="C779" t="s">
        <v>307</v>
      </c>
      <c r="D779" t="s">
        <v>308</v>
      </c>
      <c r="E779" s="69">
        <v>40646</v>
      </c>
      <c r="F779" s="65">
        <v>0.32197916666666665</v>
      </c>
      <c r="G779" t="s">
        <v>1346</v>
      </c>
      <c r="H779" t="s">
        <v>1347</v>
      </c>
    </row>
    <row r="780" spans="1:8" s="80" customFormat="1">
      <c r="A780">
        <v>14181387</v>
      </c>
      <c r="B780" t="s">
        <v>309</v>
      </c>
      <c r="C780" t="s">
        <v>307</v>
      </c>
      <c r="D780" t="s">
        <v>308</v>
      </c>
      <c r="E780" s="69">
        <v>40646</v>
      </c>
      <c r="F780" s="65">
        <v>0.91972222222222222</v>
      </c>
      <c r="G780" t="s">
        <v>1344</v>
      </c>
      <c r="H780" t="s">
        <v>1345</v>
      </c>
    </row>
    <row r="781" spans="1:8" s="80" customFormat="1">
      <c r="A781">
        <v>14181387</v>
      </c>
      <c r="B781" t="s">
        <v>309</v>
      </c>
      <c r="C781" t="s">
        <v>307</v>
      </c>
      <c r="D781" t="s">
        <v>308</v>
      </c>
      <c r="E781" s="69">
        <v>40647</v>
      </c>
      <c r="F781" s="65">
        <v>0.31783564814814813</v>
      </c>
      <c r="G781" t="s">
        <v>1346</v>
      </c>
      <c r="H781" t="s">
        <v>1347</v>
      </c>
    </row>
    <row r="782" spans="1:8" s="80" customFormat="1">
      <c r="A782">
        <v>14181387</v>
      </c>
      <c r="B782" t="s">
        <v>309</v>
      </c>
      <c r="C782" t="s">
        <v>307</v>
      </c>
      <c r="D782" t="s">
        <v>308</v>
      </c>
      <c r="E782" s="69">
        <v>40647</v>
      </c>
      <c r="F782" s="65">
        <v>0.92179398148148151</v>
      </c>
      <c r="G782" t="s">
        <v>1344</v>
      </c>
      <c r="H782" t="s">
        <v>1345</v>
      </c>
    </row>
    <row r="783" spans="1:8" s="80" customFormat="1">
      <c r="A783">
        <v>14181387</v>
      </c>
      <c r="B783" t="s">
        <v>309</v>
      </c>
      <c r="C783" t="s">
        <v>307</v>
      </c>
      <c r="D783" t="s">
        <v>308</v>
      </c>
      <c r="E783" s="69">
        <v>40648</v>
      </c>
      <c r="F783" s="65">
        <v>0.92148148148148146</v>
      </c>
      <c r="G783" t="s">
        <v>1344</v>
      </c>
      <c r="H783" t="s">
        <v>1345</v>
      </c>
    </row>
    <row r="784" spans="1:8" s="80" customFormat="1">
      <c r="A784">
        <v>14181387</v>
      </c>
      <c r="B784" t="s">
        <v>309</v>
      </c>
      <c r="C784" t="s">
        <v>307</v>
      </c>
      <c r="D784" t="s">
        <v>308</v>
      </c>
      <c r="E784" s="69">
        <v>40648</v>
      </c>
      <c r="F784" s="65">
        <v>0.31498842592592591</v>
      </c>
      <c r="G784" t="s">
        <v>1346</v>
      </c>
      <c r="H784" t="s">
        <v>1347</v>
      </c>
    </row>
    <row r="785" spans="1:8" s="80" customFormat="1">
      <c r="A785">
        <v>14181387</v>
      </c>
      <c r="B785" t="s">
        <v>309</v>
      </c>
      <c r="C785" t="s">
        <v>307</v>
      </c>
      <c r="D785" t="s">
        <v>308</v>
      </c>
      <c r="E785" s="69">
        <v>40649</v>
      </c>
      <c r="F785" s="65">
        <v>0.31837962962962962</v>
      </c>
      <c r="G785" t="s">
        <v>1346</v>
      </c>
      <c r="H785" t="s">
        <v>1347</v>
      </c>
    </row>
    <row r="786" spans="1:8" s="80" customFormat="1">
      <c r="A786">
        <v>14185109</v>
      </c>
      <c r="B786" t="s">
        <v>883</v>
      </c>
      <c r="C786" t="s">
        <v>80</v>
      </c>
      <c r="D786" t="s">
        <v>403</v>
      </c>
      <c r="E786" s="69">
        <v>40644</v>
      </c>
      <c r="F786" s="65">
        <v>0.61427083333333332</v>
      </c>
      <c r="G786" t="s">
        <v>1344</v>
      </c>
      <c r="H786" t="s">
        <v>1345</v>
      </c>
    </row>
    <row r="787" spans="1:8" s="80" customFormat="1">
      <c r="A787">
        <v>14185109</v>
      </c>
      <c r="B787" t="s">
        <v>883</v>
      </c>
      <c r="C787" t="s">
        <v>80</v>
      </c>
      <c r="D787" t="s">
        <v>403</v>
      </c>
      <c r="E787" s="69">
        <v>40644</v>
      </c>
      <c r="F787" s="65">
        <v>0.94415509259259256</v>
      </c>
      <c r="G787" t="s">
        <v>1346</v>
      </c>
      <c r="H787" t="s">
        <v>1347</v>
      </c>
    </row>
    <row r="788" spans="1:8" s="80" customFormat="1">
      <c r="A788">
        <v>14185109</v>
      </c>
      <c r="B788" t="s">
        <v>883</v>
      </c>
      <c r="C788" t="s">
        <v>80</v>
      </c>
      <c r="D788" t="s">
        <v>403</v>
      </c>
      <c r="E788" s="69">
        <v>40645</v>
      </c>
      <c r="F788" s="65">
        <v>0.61346064814814816</v>
      </c>
      <c r="G788" t="s">
        <v>1344</v>
      </c>
      <c r="H788" t="s">
        <v>1345</v>
      </c>
    </row>
    <row r="789" spans="1:8" s="80" customFormat="1">
      <c r="A789">
        <v>14185109</v>
      </c>
      <c r="B789" t="s">
        <v>883</v>
      </c>
      <c r="C789" t="s">
        <v>80</v>
      </c>
      <c r="D789" t="s">
        <v>403</v>
      </c>
      <c r="E789" s="69">
        <v>40645</v>
      </c>
      <c r="F789" s="65">
        <v>0.94187500000000002</v>
      </c>
      <c r="G789" t="s">
        <v>1346</v>
      </c>
      <c r="H789" t="s">
        <v>1347</v>
      </c>
    </row>
    <row r="790" spans="1:8" s="80" customFormat="1">
      <c r="A790">
        <v>14185109</v>
      </c>
      <c r="B790" t="s">
        <v>883</v>
      </c>
      <c r="C790" t="s">
        <v>80</v>
      </c>
      <c r="D790" t="s">
        <v>403</v>
      </c>
      <c r="E790" s="69">
        <v>40646</v>
      </c>
      <c r="F790" s="65">
        <v>0.61510416666666667</v>
      </c>
      <c r="G790" t="s">
        <v>1344</v>
      </c>
      <c r="H790" t="s">
        <v>1345</v>
      </c>
    </row>
    <row r="791" spans="1:8" s="80" customFormat="1">
      <c r="A791">
        <v>14185109</v>
      </c>
      <c r="B791" t="s">
        <v>883</v>
      </c>
      <c r="C791" t="s">
        <v>80</v>
      </c>
      <c r="D791" t="s">
        <v>403</v>
      </c>
      <c r="E791" s="69">
        <v>40646</v>
      </c>
      <c r="F791" s="65">
        <v>0.94302083333333331</v>
      </c>
      <c r="G791" t="s">
        <v>1346</v>
      </c>
      <c r="H791" t="s">
        <v>1347</v>
      </c>
    </row>
    <row r="792" spans="1:8" s="80" customFormat="1">
      <c r="A792">
        <v>14185109</v>
      </c>
      <c r="B792" t="s">
        <v>883</v>
      </c>
      <c r="C792" t="s">
        <v>80</v>
      </c>
      <c r="D792" t="s">
        <v>403</v>
      </c>
      <c r="E792" s="69">
        <v>40647</v>
      </c>
      <c r="F792" s="65">
        <v>0.61974537037037036</v>
      </c>
      <c r="G792" t="s">
        <v>1344</v>
      </c>
      <c r="H792" t="s">
        <v>1345</v>
      </c>
    </row>
    <row r="793" spans="1:8" s="80" customFormat="1">
      <c r="A793">
        <v>14185109</v>
      </c>
      <c r="B793" t="s">
        <v>883</v>
      </c>
      <c r="C793" t="s">
        <v>80</v>
      </c>
      <c r="D793" t="s">
        <v>403</v>
      </c>
      <c r="E793" s="69">
        <v>40647</v>
      </c>
      <c r="F793" s="65">
        <v>0.94271990740740741</v>
      </c>
      <c r="G793" t="s">
        <v>1346</v>
      </c>
      <c r="H793" t="s">
        <v>1347</v>
      </c>
    </row>
    <row r="794" spans="1:8" s="80" customFormat="1">
      <c r="A794">
        <v>14185109</v>
      </c>
      <c r="B794" t="s">
        <v>883</v>
      </c>
      <c r="C794" t="s">
        <v>80</v>
      </c>
      <c r="D794" t="s">
        <v>403</v>
      </c>
      <c r="E794" s="69">
        <v>40648</v>
      </c>
      <c r="F794" s="65">
        <v>0.94420138888888883</v>
      </c>
      <c r="G794" t="s">
        <v>1346</v>
      </c>
      <c r="H794" t="s">
        <v>1347</v>
      </c>
    </row>
    <row r="795" spans="1:8" s="80" customFormat="1">
      <c r="A795">
        <v>14185109</v>
      </c>
      <c r="B795" t="s">
        <v>883</v>
      </c>
      <c r="C795" t="s">
        <v>80</v>
      </c>
      <c r="D795" t="s">
        <v>403</v>
      </c>
      <c r="E795" s="69">
        <v>40648</v>
      </c>
      <c r="F795" s="65">
        <v>0.6170254629629629</v>
      </c>
      <c r="G795" t="s">
        <v>1344</v>
      </c>
      <c r="H795" t="s">
        <v>1345</v>
      </c>
    </row>
    <row r="796" spans="1:8" s="80" customFormat="1">
      <c r="A796">
        <v>14185109</v>
      </c>
      <c r="B796" t="s">
        <v>883</v>
      </c>
      <c r="C796" t="s">
        <v>80</v>
      </c>
      <c r="D796" t="s">
        <v>403</v>
      </c>
      <c r="E796" s="69">
        <v>40649</v>
      </c>
      <c r="F796" s="65">
        <v>0.30542824074074076</v>
      </c>
      <c r="G796" t="s">
        <v>1344</v>
      </c>
      <c r="H796" t="s">
        <v>1345</v>
      </c>
    </row>
    <row r="797" spans="1:8" s="80" customFormat="1">
      <c r="A797">
        <v>14185109</v>
      </c>
      <c r="B797" t="s">
        <v>883</v>
      </c>
      <c r="C797" t="s">
        <v>80</v>
      </c>
      <c r="D797" t="s">
        <v>403</v>
      </c>
      <c r="E797" s="69">
        <v>40649</v>
      </c>
      <c r="F797" s="65">
        <v>0.63031249999999994</v>
      </c>
      <c r="G797" t="s">
        <v>1346</v>
      </c>
      <c r="H797" t="s">
        <v>1347</v>
      </c>
    </row>
    <row r="798" spans="1:8" s="80" customFormat="1">
      <c r="A798">
        <v>14336364</v>
      </c>
      <c r="B798" t="s">
        <v>495</v>
      </c>
      <c r="C798" t="s">
        <v>273</v>
      </c>
      <c r="D798" t="s">
        <v>130</v>
      </c>
      <c r="E798" s="69">
        <v>40644</v>
      </c>
      <c r="F798" s="65">
        <v>0.32226851851851851</v>
      </c>
      <c r="G798" t="s">
        <v>1346</v>
      </c>
      <c r="H798" t="s">
        <v>1347</v>
      </c>
    </row>
    <row r="799" spans="1:8" s="80" customFormat="1">
      <c r="A799">
        <v>14336364</v>
      </c>
      <c r="B799" t="s">
        <v>495</v>
      </c>
      <c r="C799" t="s">
        <v>273</v>
      </c>
      <c r="D799" t="s">
        <v>130</v>
      </c>
      <c r="E799" s="69">
        <v>40644</v>
      </c>
      <c r="F799" s="65">
        <v>0.92590277777777785</v>
      </c>
      <c r="G799" t="s">
        <v>1344</v>
      </c>
      <c r="H799" t="s">
        <v>1345</v>
      </c>
    </row>
    <row r="800" spans="1:8" s="80" customFormat="1">
      <c r="A800">
        <v>14336364</v>
      </c>
      <c r="B800" t="s">
        <v>495</v>
      </c>
      <c r="C800" t="s">
        <v>273</v>
      </c>
      <c r="D800" t="s">
        <v>130</v>
      </c>
      <c r="E800" s="69">
        <v>40645</v>
      </c>
      <c r="F800" s="65">
        <v>0.30138888888888887</v>
      </c>
      <c r="G800" t="s">
        <v>1346</v>
      </c>
      <c r="H800" t="s">
        <v>1347</v>
      </c>
    </row>
    <row r="801" spans="1:8" s="80" customFormat="1">
      <c r="A801">
        <v>14336364</v>
      </c>
      <c r="B801" t="s">
        <v>495</v>
      </c>
      <c r="C801" t="s">
        <v>273</v>
      </c>
      <c r="D801" t="s">
        <v>130</v>
      </c>
      <c r="E801" s="69">
        <v>40645</v>
      </c>
      <c r="F801" s="65">
        <v>0.92158564814814825</v>
      </c>
      <c r="G801" t="s">
        <v>1344</v>
      </c>
      <c r="H801" t="s">
        <v>1345</v>
      </c>
    </row>
    <row r="802" spans="1:8" s="80" customFormat="1">
      <c r="A802">
        <v>14336364</v>
      </c>
      <c r="B802" t="s">
        <v>495</v>
      </c>
      <c r="C802" t="s">
        <v>273</v>
      </c>
      <c r="D802" t="s">
        <v>130</v>
      </c>
      <c r="E802" s="69">
        <v>40646</v>
      </c>
      <c r="F802" s="65">
        <v>0.30432870370370374</v>
      </c>
      <c r="G802" t="s">
        <v>1346</v>
      </c>
      <c r="H802" t="s">
        <v>1347</v>
      </c>
    </row>
    <row r="803" spans="1:8" s="80" customFormat="1">
      <c r="A803">
        <v>14336364</v>
      </c>
      <c r="B803" t="s">
        <v>495</v>
      </c>
      <c r="C803" t="s">
        <v>273</v>
      </c>
      <c r="D803" t="s">
        <v>130</v>
      </c>
      <c r="E803" s="69">
        <v>40646</v>
      </c>
      <c r="F803" s="65">
        <v>0.9252893518518519</v>
      </c>
      <c r="G803" t="s">
        <v>1344</v>
      </c>
      <c r="H803" t="s">
        <v>1345</v>
      </c>
    </row>
    <row r="804" spans="1:8" s="80" customFormat="1">
      <c r="A804">
        <v>14336364</v>
      </c>
      <c r="B804" t="s">
        <v>495</v>
      </c>
      <c r="C804" t="s">
        <v>273</v>
      </c>
      <c r="D804" t="s">
        <v>130</v>
      </c>
      <c r="E804" s="69">
        <v>40647</v>
      </c>
      <c r="F804" s="65">
        <v>0.3059027777777778</v>
      </c>
      <c r="G804" t="s">
        <v>1346</v>
      </c>
      <c r="H804" t="s">
        <v>1347</v>
      </c>
    </row>
    <row r="805" spans="1:8" s="80" customFormat="1">
      <c r="A805">
        <v>14336364</v>
      </c>
      <c r="B805" t="s">
        <v>495</v>
      </c>
      <c r="C805" t="s">
        <v>273</v>
      </c>
      <c r="D805" t="s">
        <v>130</v>
      </c>
      <c r="E805" s="69">
        <v>40647</v>
      </c>
      <c r="F805" s="65">
        <v>0.9284027777777778</v>
      </c>
      <c r="G805" t="s">
        <v>1344</v>
      </c>
      <c r="H805" t="s">
        <v>1345</v>
      </c>
    </row>
    <row r="806" spans="1:8" s="80" customFormat="1">
      <c r="A806">
        <v>14336364</v>
      </c>
      <c r="B806" t="s">
        <v>495</v>
      </c>
      <c r="C806" t="s">
        <v>273</v>
      </c>
      <c r="D806" t="s">
        <v>130</v>
      </c>
      <c r="E806" s="69">
        <v>40648</v>
      </c>
      <c r="F806" s="65">
        <v>0.92721064814814813</v>
      </c>
      <c r="G806" t="s">
        <v>1344</v>
      </c>
      <c r="H806" t="s">
        <v>1345</v>
      </c>
    </row>
    <row r="807" spans="1:8" s="80" customFormat="1">
      <c r="A807">
        <v>14336364</v>
      </c>
      <c r="B807" t="s">
        <v>495</v>
      </c>
      <c r="C807" t="s">
        <v>273</v>
      </c>
      <c r="D807" t="s">
        <v>130</v>
      </c>
      <c r="E807" s="69">
        <v>40648</v>
      </c>
      <c r="F807" s="65">
        <v>0.31287037037037035</v>
      </c>
      <c r="G807" t="s">
        <v>1346</v>
      </c>
      <c r="H807" t="s">
        <v>1347</v>
      </c>
    </row>
    <row r="808" spans="1:8" s="80" customFormat="1">
      <c r="A808">
        <v>14336364</v>
      </c>
      <c r="B808" t="s">
        <v>495</v>
      </c>
      <c r="C808" t="s">
        <v>273</v>
      </c>
      <c r="D808" t="s">
        <v>130</v>
      </c>
      <c r="E808" s="69">
        <v>40649</v>
      </c>
      <c r="F808" s="65">
        <v>0.31425925925925924</v>
      </c>
      <c r="G808" t="s">
        <v>1346</v>
      </c>
      <c r="H808" t="s">
        <v>1347</v>
      </c>
    </row>
    <row r="809" spans="1:8" s="80" customFormat="1">
      <c r="A809">
        <v>14336364</v>
      </c>
      <c r="B809" t="s">
        <v>495</v>
      </c>
      <c r="C809" t="s">
        <v>273</v>
      </c>
      <c r="D809" t="s">
        <v>130</v>
      </c>
      <c r="E809" s="69">
        <v>40650</v>
      </c>
      <c r="F809" s="65">
        <v>0.98758101851851843</v>
      </c>
      <c r="G809" t="s">
        <v>1344</v>
      </c>
      <c r="H809" t="s">
        <v>1345</v>
      </c>
    </row>
    <row r="810" spans="1:8" s="80" customFormat="1">
      <c r="A810">
        <v>15102640</v>
      </c>
      <c r="B810" t="s">
        <v>345</v>
      </c>
      <c r="C810" t="s">
        <v>591</v>
      </c>
      <c r="D810" t="s">
        <v>854</v>
      </c>
      <c r="E810" s="69">
        <v>40644</v>
      </c>
      <c r="F810" s="65">
        <v>0.29646990740740742</v>
      </c>
      <c r="G810" t="s">
        <v>1344</v>
      </c>
      <c r="H810" t="s">
        <v>1345</v>
      </c>
    </row>
    <row r="811" spans="1:8" s="80" customFormat="1">
      <c r="A811">
        <v>15102640</v>
      </c>
      <c r="B811" t="s">
        <v>345</v>
      </c>
      <c r="C811" t="s">
        <v>591</v>
      </c>
      <c r="D811" t="s">
        <v>854</v>
      </c>
      <c r="E811" s="69">
        <v>40644</v>
      </c>
      <c r="F811" s="65">
        <v>0.63822916666666674</v>
      </c>
      <c r="G811" t="s">
        <v>1346</v>
      </c>
      <c r="H811" t="s">
        <v>1347</v>
      </c>
    </row>
    <row r="812" spans="1:8" s="80" customFormat="1">
      <c r="A812">
        <v>15102640</v>
      </c>
      <c r="B812" t="s">
        <v>345</v>
      </c>
      <c r="C812" t="s">
        <v>591</v>
      </c>
      <c r="D812" t="s">
        <v>854</v>
      </c>
      <c r="E812" s="69">
        <v>40645</v>
      </c>
      <c r="F812" s="65">
        <v>0.29685185185185187</v>
      </c>
      <c r="G812" t="s">
        <v>1344</v>
      </c>
      <c r="H812" t="s">
        <v>1345</v>
      </c>
    </row>
    <row r="813" spans="1:8" s="80" customFormat="1">
      <c r="A813">
        <v>15102640</v>
      </c>
      <c r="B813" t="s">
        <v>345</v>
      </c>
      <c r="C813" t="s">
        <v>591</v>
      </c>
      <c r="D813" t="s">
        <v>854</v>
      </c>
      <c r="E813" s="69">
        <v>40645</v>
      </c>
      <c r="F813" s="65">
        <v>0.63597222222222227</v>
      </c>
      <c r="G813" t="s">
        <v>1346</v>
      </c>
      <c r="H813" t="s">
        <v>1347</v>
      </c>
    </row>
    <row r="814" spans="1:8" s="80" customFormat="1">
      <c r="A814">
        <v>15102640</v>
      </c>
      <c r="B814" t="s">
        <v>345</v>
      </c>
      <c r="C814" t="s">
        <v>591</v>
      </c>
      <c r="D814" t="s">
        <v>854</v>
      </c>
      <c r="E814" s="69">
        <v>40646</v>
      </c>
      <c r="F814" s="65">
        <v>0.60865740740740748</v>
      </c>
      <c r="G814" t="s">
        <v>1344</v>
      </c>
      <c r="H814" t="s">
        <v>1345</v>
      </c>
    </row>
    <row r="815" spans="1:8" s="80" customFormat="1">
      <c r="A815">
        <v>15102640</v>
      </c>
      <c r="B815" t="s">
        <v>345</v>
      </c>
      <c r="C815" t="s">
        <v>591</v>
      </c>
      <c r="D815" t="s">
        <v>854</v>
      </c>
      <c r="E815" s="69">
        <v>40646</v>
      </c>
      <c r="F815" s="65">
        <v>0.94074074074074077</v>
      </c>
      <c r="G815" t="s">
        <v>1346</v>
      </c>
      <c r="H815" t="s">
        <v>1347</v>
      </c>
    </row>
    <row r="816" spans="1:8" s="80" customFormat="1">
      <c r="A816">
        <v>15102640</v>
      </c>
      <c r="B816" t="s">
        <v>345</v>
      </c>
      <c r="C816" t="s">
        <v>591</v>
      </c>
      <c r="D816" t="s">
        <v>854</v>
      </c>
      <c r="E816" s="69">
        <v>40647</v>
      </c>
      <c r="F816" s="65">
        <v>0.30398148148148146</v>
      </c>
      <c r="G816" t="s">
        <v>1344</v>
      </c>
      <c r="H816" t="s">
        <v>1345</v>
      </c>
    </row>
    <row r="817" spans="1:8" s="80" customFormat="1">
      <c r="A817">
        <v>15102640</v>
      </c>
      <c r="B817" t="s">
        <v>345</v>
      </c>
      <c r="C817" t="s">
        <v>591</v>
      </c>
      <c r="D817" t="s">
        <v>854</v>
      </c>
      <c r="E817" s="69">
        <v>40647</v>
      </c>
      <c r="F817" s="65">
        <v>0.64700231481481485</v>
      </c>
      <c r="G817" t="s">
        <v>1346</v>
      </c>
      <c r="H817" t="s">
        <v>1347</v>
      </c>
    </row>
    <row r="818" spans="1:8" s="80" customFormat="1">
      <c r="A818">
        <v>15102640</v>
      </c>
      <c r="B818" t="s">
        <v>345</v>
      </c>
      <c r="C818" t="s">
        <v>591</v>
      </c>
      <c r="D818" t="s">
        <v>854</v>
      </c>
      <c r="E818" s="69">
        <v>40648</v>
      </c>
      <c r="F818" s="65">
        <v>0.63795138888888892</v>
      </c>
      <c r="G818" t="s">
        <v>1346</v>
      </c>
      <c r="H818" t="s">
        <v>1347</v>
      </c>
    </row>
    <row r="819" spans="1:8" s="80" customFormat="1">
      <c r="A819">
        <v>15102640</v>
      </c>
      <c r="B819" t="s">
        <v>345</v>
      </c>
      <c r="C819" t="s">
        <v>591</v>
      </c>
      <c r="D819" t="s">
        <v>854</v>
      </c>
      <c r="E819" s="69">
        <v>40648</v>
      </c>
      <c r="F819" s="65">
        <v>0.3084722222222222</v>
      </c>
      <c r="G819" t="s">
        <v>1344</v>
      </c>
      <c r="H819" t="s">
        <v>1345</v>
      </c>
    </row>
    <row r="820" spans="1:8" s="80" customFormat="1">
      <c r="A820">
        <v>15102640</v>
      </c>
      <c r="B820" t="s">
        <v>345</v>
      </c>
      <c r="C820" t="s">
        <v>591</v>
      </c>
      <c r="D820" t="s">
        <v>854</v>
      </c>
      <c r="E820" s="69">
        <v>40649</v>
      </c>
      <c r="F820" s="65">
        <v>0.29783564814814817</v>
      </c>
      <c r="G820" t="s">
        <v>1344</v>
      </c>
      <c r="H820" t="s">
        <v>1345</v>
      </c>
    </row>
    <row r="821" spans="1:8" s="80" customFormat="1">
      <c r="A821">
        <v>15102640</v>
      </c>
      <c r="B821" t="s">
        <v>345</v>
      </c>
      <c r="C821" t="s">
        <v>591</v>
      </c>
      <c r="D821" t="s">
        <v>854</v>
      </c>
      <c r="E821" s="69">
        <v>40649</v>
      </c>
      <c r="F821" s="65">
        <v>0.62898148148148147</v>
      </c>
      <c r="G821" t="s">
        <v>1346</v>
      </c>
      <c r="H821" t="s">
        <v>1347</v>
      </c>
    </row>
    <row r="822" spans="1:8" s="80" customFormat="1">
      <c r="A822">
        <v>15327501</v>
      </c>
      <c r="B822" t="s">
        <v>1073</v>
      </c>
      <c r="C822" t="s">
        <v>859</v>
      </c>
      <c r="D822" t="s">
        <v>1072</v>
      </c>
      <c r="E822" s="69">
        <v>40644</v>
      </c>
      <c r="F822" s="65">
        <v>0.29548611111111112</v>
      </c>
      <c r="G822" t="s">
        <v>1344</v>
      </c>
      <c r="H822" t="s">
        <v>1345</v>
      </c>
    </row>
    <row r="823" spans="1:8" s="80" customFormat="1">
      <c r="A823">
        <v>15327501</v>
      </c>
      <c r="B823" t="s">
        <v>1073</v>
      </c>
      <c r="C823" t="s">
        <v>859</v>
      </c>
      <c r="D823" t="s">
        <v>1072</v>
      </c>
      <c r="E823" s="69">
        <v>40644</v>
      </c>
      <c r="F823" s="65">
        <v>0.6403240740740741</v>
      </c>
      <c r="G823" t="s">
        <v>1346</v>
      </c>
      <c r="H823" t="s">
        <v>1347</v>
      </c>
    </row>
    <row r="824" spans="1:8" s="80" customFormat="1">
      <c r="A824">
        <v>15327501</v>
      </c>
      <c r="B824" t="s">
        <v>1073</v>
      </c>
      <c r="C824" t="s">
        <v>859</v>
      </c>
      <c r="D824" t="s">
        <v>1072</v>
      </c>
      <c r="E824" s="69">
        <v>40645</v>
      </c>
      <c r="F824" s="65">
        <v>0.2949074074074074</v>
      </c>
      <c r="G824" t="s">
        <v>1344</v>
      </c>
      <c r="H824" t="s">
        <v>1345</v>
      </c>
    </row>
    <row r="825" spans="1:8" s="80" customFormat="1">
      <c r="A825">
        <v>15327501</v>
      </c>
      <c r="B825" t="s">
        <v>1073</v>
      </c>
      <c r="C825" t="s">
        <v>859</v>
      </c>
      <c r="D825" t="s">
        <v>1072</v>
      </c>
      <c r="E825" s="69">
        <v>40645</v>
      </c>
      <c r="F825" s="65">
        <v>0.6365277777777778</v>
      </c>
      <c r="G825" t="s">
        <v>1346</v>
      </c>
      <c r="H825" t="s">
        <v>1347</v>
      </c>
    </row>
    <row r="826" spans="1:8" s="80" customFormat="1">
      <c r="A826">
        <v>15327501</v>
      </c>
      <c r="B826" t="s">
        <v>1073</v>
      </c>
      <c r="C826" t="s">
        <v>859</v>
      </c>
      <c r="D826" t="s">
        <v>1072</v>
      </c>
      <c r="E826" s="69">
        <v>40646</v>
      </c>
      <c r="F826" s="65">
        <v>0.29488425925925926</v>
      </c>
      <c r="G826" t="s">
        <v>1344</v>
      </c>
      <c r="H826" t="s">
        <v>1345</v>
      </c>
    </row>
    <row r="827" spans="1:8" s="80" customFormat="1">
      <c r="A827">
        <v>15327501</v>
      </c>
      <c r="B827" t="s">
        <v>1073</v>
      </c>
      <c r="C827" t="s">
        <v>859</v>
      </c>
      <c r="D827" t="s">
        <v>1072</v>
      </c>
      <c r="E827" s="69">
        <v>40646</v>
      </c>
      <c r="F827" s="65">
        <v>0.63638888888888889</v>
      </c>
      <c r="G827" t="s">
        <v>1346</v>
      </c>
      <c r="H827" t="s">
        <v>1347</v>
      </c>
    </row>
    <row r="828" spans="1:8" s="80" customFormat="1">
      <c r="A828">
        <v>15327501</v>
      </c>
      <c r="B828" t="s">
        <v>1073</v>
      </c>
      <c r="C828" t="s">
        <v>859</v>
      </c>
      <c r="D828" t="s">
        <v>1072</v>
      </c>
      <c r="E828" s="69">
        <v>40647</v>
      </c>
      <c r="F828" s="65">
        <v>0.63791666666666669</v>
      </c>
      <c r="G828" t="s">
        <v>1346</v>
      </c>
      <c r="H828" t="s">
        <v>1347</v>
      </c>
    </row>
    <row r="829" spans="1:8" s="80" customFormat="1">
      <c r="A829">
        <v>15327501</v>
      </c>
      <c r="B829" t="s">
        <v>1073</v>
      </c>
      <c r="C829" t="s">
        <v>859</v>
      </c>
      <c r="D829" t="s">
        <v>1072</v>
      </c>
      <c r="E829" s="69">
        <v>40647</v>
      </c>
      <c r="F829" s="65">
        <v>0.29390046296296296</v>
      </c>
      <c r="G829" t="s">
        <v>1344</v>
      </c>
      <c r="H829" t="s">
        <v>1345</v>
      </c>
    </row>
    <row r="830" spans="1:8" s="80" customFormat="1">
      <c r="A830">
        <v>15327501</v>
      </c>
      <c r="B830" t="s">
        <v>1073</v>
      </c>
      <c r="C830" t="s">
        <v>859</v>
      </c>
      <c r="D830" t="s">
        <v>1072</v>
      </c>
      <c r="E830" s="69">
        <v>40648</v>
      </c>
      <c r="F830" s="65">
        <v>0.29590277777777779</v>
      </c>
      <c r="G830" t="s">
        <v>1344</v>
      </c>
      <c r="H830" t="s">
        <v>1345</v>
      </c>
    </row>
    <row r="831" spans="1:8" s="80" customFormat="1">
      <c r="A831">
        <v>15327501</v>
      </c>
      <c r="B831" t="s">
        <v>1073</v>
      </c>
      <c r="C831" t="s">
        <v>859</v>
      </c>
      <c r="D831" t="s">
        <v>1072</v>
      </c>
      <c r="E831" s="69">
        <v>40648</v>
      </c>
      <c r="F831" s="65">
        <v>0.64309027777777772</v>
      </c>
      <c r="G831" t="s">
        <v>1346</v>
      </c>
      <c r="H831" t="s">
        <v>1347</v>
      </c>
    </row>
    <row r="832" spans="1:8" s="80" customFormat="1">
      <c r="A832">
        <v>15327501</v>
      </c>
      <c r="B832" t="s">
        <v>1073</v>
      </c>
      <c r="C832" t="s">
        <v>859</v>
      </c>
      <c r="D832" t="s">
        <v>1072</v>
      </c>
      <c r="E832" s="69">
        <v>40649</v>
      </c>
      <c r="F832" s="65">
        <v>0.29414351851851855</v>
      </c>
      <c r="G832" t="s">
        <v>1344</v>
      </c>
      <c r="H832" t="s">
        <v>1345</v>
      </c>
    </row>
    <row r="833" spans="1:8" s="80" customFormat="1">
      <c r="A833">
        <v>15327501</v>
      </c>
      <c r="B833" t="s">
        <v>1073</v>
      </c>
      <c r="C833" t="s">
        <v>859</v>
      </c>
      <c r="D833" t="s">
        <v>1072</v>
      </c>
      <c r="E833" s="69">
        <v>40649</v>
      </c>
      <c r="F833" s="65">
        <v>0.63804398148148145</v>
      </c>
      <c r="G833" t="s">
        <v>1346</v>
      </c>
      <c r="H833" t="s">
        <v>1347</v>
      </c>
    </row>
    <row r="834" spans="1:8" s="80" customFormat="1">
      <c r="A834" s="80">
        <v>15437429</v>
      </c>
      <c r="B834" s="80" t="s">
        <v>688</v>
      </c>
      <c r="C834" s="80" t="s">
        <v>686</v>
      </c>
      <c r="D834" s="80" t="s">
        <v>687</v>
      </c>
      <c r="E834" s="90">
        <v>40644</v>
      </c>
      <c r="F834" s="81">
        <v>0.35378472222222218</v>
      </c>
      <c r="G834" s="80" t="s">
        <v>1344</v>
      </c>
      <c r="H834" s="80" t="s">
        <v>1345</v>
      </c>
    </row>
    <row r="835" spans="1:8" s="80" customFormat="1">
      <c r="A835" s="80">
        <v>15437429</v>
      </c>
      <c r="B835" s="80" t="s">
        <v>688</v>
      </c>
      <c r="C835" s="80" t="s">
        <v>686</v>
      </c>
      <c r="D835" s="80" t="s">
        <v>687</v>
      </c>
      <c r="E835" s="90">
        <v>40644</v>
      </c>
      <c r="F835" s="81">
        <v>0.73265046296296299</v>
      </c>
      <c r="G835" s="80" t="s">
        <v>1346</v>
      </c>
      <c r="H835" s="80" t="s">
        <v>1347</v>
      </c>
    </row>
    <row r="836" spans="1:8" s="80" customFormat="1">
      <c r="A836" s="80">
        <v>15437429</v>
      </c>
      <c r="B836" s="80" t="s">
        <v>688</v>
      </c>
      <c r="C836" s="80" t="s">
        <v>686</v>
      </c>
      <c r="D836" s="80" t="s">
        <v>687</v>
      </c>
      <c r="E836" s="90">
        <v>40645</v>
      </c>
      <c r="F836" s="81">
        <v>0.34534722222222225</v>
      </c>
      <c r="G836" s="80" t="s">
        <v>1344</v>
      </c>
      <c r="H836" s="80" t="s">
        <v>1345</v>
      </c>
    </row>
    <row r="837" spans="1:8" s="80" customFormat="1">
      <c r="A837" s="80">
        <v>15437429</v>
      </c>
      <c r="B837" s="80" t="s">
        <v>688</v>
      </c>
      <c r="C837" s="80" t="s">
        <v>686</v>
      </c>
      <c r="D837" s="80" t="s">
        <v>687</v>
      </c>
      <c r="E837" s="90">
        <v>40645</v>
      </c>
      <c r="F837" s="81">
        <v>0.73062499999999997</v>
      </c>
      <c r="G837" s="80" t="s">
        <v>1346</v>
      </c>
      <c r="H837" s="80" t="s">
        <v>1347</v>
      </c>
    </row>
    <row r="838" spans="1:8" s="80" customFormat="1">
      <c r="A838" s="80">
        <v>15437429</v>
      </c>
      <c r="B838" s="80" t="s">
        <v>688</v>
      </c>
      <c r="C838" s="80" t="s">
        <v>686</v>
      </c>
      <c r="D838" s="80" t="s">
        <v>687</v>
      </c>
      <c r="E838" s="90">
        <v>40646</v>
      </c>
      <c r="F838" s="81">
        <v>0.34967592592592595</v>
      </c>
      <c r="G838" s="80" t="s">
        <v>1344</v>
      </c>
      <c r="H838" s="80" t="s">
        <v>1345</v>
      </c>
    </row>
    <row r="839" spans="1:8" s="80" customFormat="1">
      <c r="A839" s="80">
        <v>15437429</v>
      </c>
      <c r="B839" s="80" t="s">
        <v>688</v>
      </c>
      <c r="C839" s="80" t="s">
        <v>686</v>
      </c>
      <c r="D839" s="80" t="s">
        <v>687</v>
      </c>
      <c r="E839" s="90">
        <v>40646</v>
      </c>
      <c r="F839" s="81">
        <v>0.73314814814814822</v>
      </c>
      <c r="G839" s="80" t="s">
        <v>1346</v>
      </c>
      <c r="H839" s="80" t="s">
        <v>1347</v>
      </c>
    </row>
    <row r="840" spans="1:8" s="80" customFormat="1">
      <c r="A840" s="80">
        <v>15437429</v>
      </c>
      <c r="B840" s="80" t="s">
        <v>688</v>
      </c>
      <c r="C840" s="80" t="s">
        <v>686</v>
      </c>
      <c r="D840" s="80" t="s">
        <v>687</v>
      </c>
      <c r="E840" s="90">
        <v>40647</v>
      </c>
      <c r="F840" s="81">
        <v>0.3478472222222222</v>
      </c>
      <c r="G840" s="80" t="s">
        <v>1344</v>
      </c>
      <c r="H840" s="80" t="s">
        <v>1345</v>
      </c>
    </row>
    <row r="841" spans="1:8" s="80" customFormat="1">
      <c r="A841" s="80">
        <v>15437429</v>
      </c>
      <c r="B841" s="80" t="s">
        <v>688</v>
      </c>
      <c r="C841" s="80" t="s">
        <v>686</v>
      </c>
      <c r="D841" s="80" t="s">
        <v>687</v>
      </c>
      <c r="E841" s="90">
        <v>40647</v>
      </c>
      <c r="F841" s="81">
        <v>0.73568287037037028</v>
      </c>
      <c r="G841" s="80" t="s">
        <v>1346</v>
      </c>
      <c r="H841" s="80" t="s">
        <v>1347</v>
      </c>
    </row>
    <row r="842" spans="1:8" s="80" customFormat="1">
      <c r="A842" s="80">
        <v>15437429</v>
      </c>
      <c r="B842" s="80" t="s">
        <v>688</v>
      </c>
      <c r="C842" s="80" t="s">
        <v>686</v>
      </c>
      <c r="D842" s="80" t="s">
        <v>687</v>
      </c>
      <c r="E842" s="90">
        <v>40648</v>
      </c>
      <c r="F842" s="81">
        <v>0.73166666666666658</v>
      </c>
      <c r="G842" s="80" t="s">
        <v>1346</v>
      </c>
      <c r="H842" s="80" t="s">
        <v>1347</v>
      </c>
    </row>
    <row r="843" spans="1:8" s="80" customFormat="1">
      <c r="A843" s="80">
        <v>15437429</v>
      </c>
      <c r="B843" s="80" t="s">
        <v>688</v>
      </c>
      <c r="C843" s="80" t="s">
        <v>686</v>
      </c>
      <c r="D843" s="80" t="s">
        <v>687</v>
      </c>
      <c r="E843" s="90">
        <v>40648</v>
      </c>
      <c r="F843" s="81">
        <v>0.34766203703703707</v>
      </c>
      <c r="G843" s="80" t="s">
        <v>1344</v>
      </c>
      <c r="H843" s="80" t="s">
        <v>1345</v>
      </c>
    </row>
    <row r="844" spans="1:8" s="80" customFormat="1">
      <c r="A844" s="80">
        <v>15437429</v>
      </c>
      <c r="B844" s="80" t="s">
        <v>688</v>
      </c>
      <c r="C844" s="80" t="s">
        <v>686</v>
      </c>
      <c r="D844" s="80" t="s">
        <v>687</v>
      </c>
      <c r="E844" s="90">
        <v>40649</v>
      </c>
      <c r="F844" s="81">
        <v>0.35677083333333331</v>
      </c>
      <c r="G844" s="80" t="s">
        <v>1344</v>
      </c>
      <c r="H844" s="80" t="s">
        <v>1345</v>
      </c>
    </row>
    <row r="845" spans="1:8" s="80" customFormat="1">
      <c r="A845" s="80">
        <v>15437429</v>
      </c>
      <c r="B845" s="80" t="s">
        <v>688</v>
      </c>
      <c r="C845" s="80" t="s">
        <v>686</v>
      </c>
      <c r="D845" s="80" t="s">
        <v>687</v>
      </c>
      <c r="E845" s="90">
        <v>40649</v>
      </c>
      <c r="F845" s="81">
        <v>0.60563657407407401</v>
      </c>
      <c r="G845" s="80" t="s">
        <v>1346</v>
      </c>
      <c r="H845" s="80" t="s">
        <v>1347</v>
      </c>
    </row>
    <row r="846" spans="1:8" s="80" customFormat="1">
      <c r="A846">
        <v>15439409</v>
      </c>
      <c r="B846" t="s">
        <v>1129</v>
      </c>
      <c r="C846" t="s">
        <v>1128</v>
      </c>
      <c r="D846" t="s">
        <v>932</v>
      </c>
      <c r="E846" s="69">
        <v>40644</v>
      </c>
      <c r="F846" s="65">
        <v>0.30375000000000002</v>
      </c>
      <c r="G846" t="s">
        <v>1344</v>
      </c>
      <c r="H846" t="s">
        <v>1345</v>
      </c>
    </row>
    <row r="847" spans="1:8" s="80" customFormat="1">
      <c r="A847">
        <v>15439409</v>
      </c>
      <c r="B847" t="s">
        <v>1129</v>
      </c>
      <c r="C847" t="s">
        <v>1128</v>
      </c>
      <c r="D847" t="s">
        <v>932</v>
      </c>
      <c r="E847" s="69">
        <v>40644</v>
      </c>
      <c r="F847" s="65">
        <v>0.63436342592592598</v>
      </c>
      <c r="G847" t="s">
        <v>1346</v>
      </c>
      <c r="H847" t="s">
        <v>1347</v>
      </c>
    </row>
    <row r="848" spans="1:8" s="80" customFormat="1">
      <c r="A848">
        <v>15439409</v>
      </c>
      <c r="B848" t="s">
        <v>1129</v>
      </c>
      <c r="C848" t="s">
        <v>1128</v>
      </c>
      <c r="D848" t="s">
        <v>932</v>
      </c>
      <c r="E848" s="69">
        <v>40645</v>
      </c>
      <c r="F848" s="65">
        <v>0.2956597222222222</v>
      </c>
      <c r="G848" t="s">
        <v>1344</v>
      </c>
      <c r="H848" t="s">
        <v>1345</v>
      </c>
    </row>
    <row r="849" spans="1:8" s="80" customFormat="1">
      <c r="A849">
        <v>15439409</v>
      </c>
      <c r="B849" t="s">
        <v>1129</v>
      </c>
      <c r="C849" t="s">
        <v>1128</v>
      </c>
      <c r="D849" t="s">
        <v>932</v>
      </c>
      <c r="E849" s="69">
        <v>40645</v>
      </c>
      <c r="F849" s="65">
        <v>0.63446759259259256</v>
      </c>
      <c r="G849" t="s">
        <v>1346</v>
      </c>
      <c r="H849" t="s">
        <v>1347</v>
      </c>
    </row>
    <row r="850" spans="1:8" s="80" customFormat="1">
      <c r="A850">
        <v>15439409</v>
      </c>
      <c r="B850" t="s">
        <v>1129</v>
      </c>
      <c r="C850" t="s">
        <v>1128</v>
      </c>
      <c r="D850" t="s">
        <v>932</v>
      </c>
      <c r="E850" s="69">
        <v>40646</v>
      </c>
      <c r="F850" s="65">
        <v>0.30031249999999998</v>
      </c>
      <c r="G850" t="s">
        <v>1344</v>
      </c>
      <c r="H850" t="s">
        <v>1345</v>
      </c>
    </row>
    <row r="851" spans="1:8" s="80" customFormat="1">
      <c r="A851">
        <v>15439409</v>
      </c>
      <c r="B851" t="s">
        <v>1129</v>
      </c>
      <c r="C851" t="s">
        <v>1128</v>
      </c>
      <c r="D851" t="s">
        <v>932</v>
      </c>
      <c r="E851" s="69">
        <v>40646</v>
      </c>
      <c r="F851" s="65">
        <v>0.63512731481481477</v>
      </c>
      <c r="G851" t="s">
        <v>1346</v>
      </c>
      <c r="H851" t="s">
        <v>1347</v>
      </c>
    </row>
    <row r="852" spans="1:8" s="80" customFormat="1">
      <c r="A852">
        <v>15439409</v>
      </c>
      <c r="B852" t="s">
        <v>1129</v>
      </c>
      <c r="C852" t="s">
        <v>1128</v>
      </c>
      <c r="D852" t="s">
        <v>932</v>
      </c>
      <c r="E852" s="69">
        <v>40648</v>
      </c>
      <c r="F852" s="65">
        <v>0.29645833333333332</v>
      </c>
      <c r="G852" t="s">
        <v>1344</v>
      </c>
      <c r="H852" t="s">
        <v>1345</v>
      </c>
    </row>
    <row r="853" spans="1:8" s="80" customFormat="1">
      <c r="A853">
        <v>15439409</v>
      </c>
      <c r="B853" t="s">
        <v>1129</v>
      </c>
      <c r="C853" t="s">
        <v>1128</v>
      </c>
      <c r="D853" t="s">
        <v>932</v>
      </c>
      <c r="E853" s="69">
        <v>40648</v>
      </c>
      <c r="F853" s="65">
        <v>0.63607638888888884</v>
      </c>
      <c r="G853" t="s">
        <v>1346</v>
      </c>
      <c r="H853" t="s">
        <v>1347</v>
      </c>
    </row>
    <row r="854" spans="1:8" s="80" customFormat="1">
      <c r="A854">
        <v>15441831</v>
      </c>
      <c r="B854" t="s">
        <v>1246</v>
      </c>
      <c r="C854" t="s">
        <v>1244</v>
      </c>
      <c r="D854" t="s">
        <v>1245</v>
      </c>
      <c r="E854" s="69">
        <v>40644</v>
      </c>
      <c r="F854" s="65">
        <v>0.31550925925925927</v>
      </c>
      <c r="G854" t="s">
        <v>1344</v>
      </c>
      <c r="H854" t="s">
        <v>1345</v>
      </c>
    </row>
    <row r="855" spans="1:8" s="80" customFormat="1">
      <c r="A855">
        <v>15441831</v>
      </c>
      <c r="B855" t="s">
        <v>1246</v>
      </c>
      <c r="C855" t="s">
        <v>1244</v>
      </c>
      <c r="D855" t="s">
        <v>1245</v>
      </c>
      <c r="E855" s="69">
        <v>40644</v>
      </c>
      <c r="F855" s="65">
        <v>0.63901620370370371</v>
      </c>
      <c r="G855" t="s">
        <v>1346</v>
      </c>
      <c r="H855" t="s">
        <v>1347</v>
      </c>
    </row>
    <row r="856" spans="1:8" s="80" customFormat="1">
      <c r="A856">
        <v>15441831</v>
      </c>
      <c r="B856" t="s">
        <v>1246</v>
      </c>
      <c r="C856" t="s">
        <v>1244</v>
      </c>
      <c r="D856" t="s">
        <v>1245</v>
      </c>
      <c r="E856" s="69">
        <v>40645</v>
      </c>
      <c r="F856" s="65">
        <v>0.30662037037037038</v>
      </c>
      <c r="G856" t="s">
        <v>1344</v>
      </c>
      <c r="H856" t="s">
        <v>1345</v>
      </c>
    </row>
    <row r="857" spans="1:8" s="80" customFormat="1">
      <c r="A857">
        <v>15441831</v>
      </c>
      <c r="B857" t="s">
        <v>1246</v>
      </c>
      <c r="C857" t="s">
        <v>1244</v>
      </c>
      <c r="D857" t="s">
        <v>1245</v>
      </c>
      <c r="E857" s="69">
        <v>40645</v>
      </c>
      <c r="F857" s="65">
        <v>0.63868055555555558</v>
      </c>
      <c r="G857" t="s">
        <v>1346</v>
      </c>
      <c r="H857" t="s">
        <v>1347</v>
      </c>
    </row>
    <row r="858" spans="1:8" s="80" customFormat="1">
      <c r="A858">
        <v>15441831</v>
      </c>
      <c r="B858" t="s">
        <v>1246</v>
      </c>
      <c r="C858" t="s">
        <v>1244</v>
      </c>
      <c r="D858" t="s">
        <v>1245</v>
      </c>
      <c r="E858" s="69">
        <v>40646</v>
      </c>
      <c r="F858" s="65">
        <v>0.32120370370370371</v>
      </c>
      <c r="G858" t="s">
        <v>1344</v>
      </c>
      <c r="H858" t="s">
        <v>1345</v>
      </c>
    </row>
    <row r="859" spans="1:8" s="80" customFormat="1">
      <c r="A859">
        <v>15441831</v>
      </c>
      <c r="B859" t="s">
        <v>1246</v>
      </c>
      <c r="C859" t="s">
        <v>1244</v>
      </c>
      <c r="D859" t="s">
        <v>1245</v>
      </c>
      <c r="E859" s="69">
        <v>40646</v>
      </c>
      <c r="F859" s="65">
        <v>0.63594907407407408</v>
      </c>
      <c r="G859" t="s">
        <v>1346</v>
      </c>
      <c r="H859" t="s">
        <v>1347</v>
      </c>
    </row>
    <row r="860" spans="1:8" s="80" customFormat="1">
      <c r="A860">
        <v>15441831</v>
      </c>
      <c r="B860" t="s">
        <v>1246</v>
      </c>
      <c r="C860" t="s">
        <v>1244</v>
      </c>
      <c r="D860" t="s">
        <v>1245</v>
      </c>
      <c r="E860" s="69">
        <v>40647</v>
      </c>
      <c r="F860" s="65">
        <v>0.31199074074074074</v>
      </c>
      <c r="G860" t="s">
        <v>1344</v>
      </c>
      <c r="H860" t="s">
        <v>1345</v>
      </c>
    </row>
    <row r="861" spans="1:8" s="80" customFormat="1">
      <c r="A861">
        <v>15441831</v>
      </c>
      <c r="B861" t="s">
        <v>1246</v>
      </c>
      <c r="C861" t="s">
        <v>1244</v>
      </c>
      <c r="D861" t="s">
        <v>1245</v>
      </c>
      <c r="E861" s="69">
        <v>40647</v>
      </c>
      <c r="F861" s="65">
        <v>0.63370370370370377</v>
      </c>
      <c r="G861" t="s">
        <v>1346</v>
      </c>
      <c r="H861" t="s">
        <v>1347</v>
      </c>
    </row>
    <row r="862" spans="1:8" s="80" customFormat="1">
      <c r="A862">
        <v>15441831</v>
      </c>
      <c r="B862" t="s">
        <v>1246</v>
      </c>
      <c r="C862" t="s">
        <v>1244</v>
      </c>
      <c r="D862" t="s">
        <v>1245</v>
      </c>
      <c r="E862" s="69">
        <v>40648</v>
      </c>
      <c r="F862" s="65">
        <v>0.63831018518518523</v>
      </c>
      <c r="G862" t="s">
        <v>1346</v>
      </c>
      <c r="H862" t="s">
        <v>1347</v>
      </c>
    </row>
    <row r="863" spans="1:8" s="80" customFormat="1">
      <c r="A863">
        <v>15441831</v>
      </c>
      <c r="B863" t="s">
        <v>1246</v>
      </c>
      <c r="C863" t="s">
        <v>1244</v>
      </c>
      <c r="D863" t="s">
        <v>1245</v>
      </c>
      <c r="E863" s="69">
        <v>40648</v>
      </c>
      <c r="F863" s="65">
        <v>0.3037037037037037</v>
      </c>
      <c r="G863" t="s">
        <v>1344</v>
      </c>
      <c r="H863" t="s">
        <v>1345</v>
      </c>
    </row>
    <row r="864" spans="1:8" s="80" customFormat="1">
      <c r="A864">
        <v>15441831</v>
      </c>
      <c r="B864" t="s">
        <v>1246</v>
      </c>
      <c r="C864" t="s">
        <v>1244</v>
      </c>
      <c r="D864" t="s">
        <v>1245</v>
      </c>
      <c r="E864" s="69">
        <v>40649</v>
      </c>
      <c r="F864" s="65">
        <v>0.31130787037037039</v>
      </c>
      <c r="G864" t="s">
        <v>1344</v>
      </c>
      <c r="H864" t="s">
        <v>1345</v>
      </c>
    </row>
    <row r="865" spans="1:8" s="80" customFormat="1">
      <c r="A865">
        <v>15441831</v>
      </c>
      <c r="B865" t="s">
        <v>1246</v>
      </c>
      <c r="C865" t="s">
        <v>1244</v>
      </c>
      <c r="D865" t="s">
        <v>1245</v>
      </c>
      <c r="E865" s="69">
        <v>40649</v>
      </c>
      <c r="F865" s="65">
        <v>0.64354166666666668</v>
      </c>
      <c r="G865" t="s">
        <v>1346</v>
      </c>
      <c r="H865" t="s">
        <v>1347</v>
      </c>
    </row>
    <row r="866" spans="1:8" s="80" customFormat="1">
      <c r="A866">
        <v>15444951</v>
      </c>
      <c r="B866" t="s">
        <v>826</v>
      </c>
      <c r="C866" t="s">
        <v>820</v>
      </c>
      <c r="D866" t="s">
        <v>118</v>
      </c>
      <c r="E866" s="69">
        <v>40644</v>
      </c>
      <c r="F866" s="65">
        <v>0.93306712962962957</v>
      </c>
      <c r="G866" t="s">
        <v>1344</v>
      </c>
      <c r="H866" t="s">
        <v>1345</v>
      </c>
    </row>
    <row r="867" spans="1:8" s="80" customFormat="1">
      <c r="A867">
        <v>15444951</v>
      </c>
      <c r="B867" t="s">
        <v>826</v>
      </c>
      <c r="C867" t="s">
        <v>820</v>
      </c>
      <c r="D867" t="s">
        <v>118</v>
      </c>
      <c r="E867" s="69">
        <v>40645</v>
      </c>
      <c r="F867" s="65">
        <v>0.31768518518518518</v>
      </c>
      <c r="G867" t="s">
        <v>1346</v>
      </c>
      <c r="H867" t="s">
        <v>1347</v>
      </c>
    </row>
    <row r="868" spans="1:8" s="80" customFormat="1">
      <c r="A868">
        <v>15444951</v>
      </c>
      <c r="B868" t="s">
        <v>826</v>
      </c>
      <c r="C868" t="s">
        <v>820</v>
      </c>
      <c r="D868" t="s">
        <v>118</v>
      </c>
      <c r="E868" s="69">
        <v>40645</v>
      </c>
      <c r="F868" s="65">
        <v>0.93319444444444455</v>
      </c>
      <c r="G868" t="s">
        <v>1344</v>
      </c>
      <c r="H868" t="s">
        <v>1345</v>
      </c>
    </row>
    <row r="869" spans="1:8" s="80" customFormat="1">
      <c r="A869">
        <v>15444951</v>
      </c>
      <c r="B869" t="s">
        <v>826</v>
      </c>
      <c r="C869" t="s">
        <v>820</v>
      </c>
      <c r="D869" t="s">
        <v>118</v>
      </c>
      <c r="E869" s="69">
        <v>40646</v>
      </c>
      <c r="F869" s="65">
        <v>0.32193287037037038</v>
      </c>
      <c r="G869" t="s">
        <v>1346</v>
      </c>
      <c r="H869" t="s">
        <v>1347</v>
      </c>
    </row>
    <row r="870" spans="1:8" s="80" customFormat="1">
      <c r="A870">
        <v>15444951</v>
      </c>
      <c r="B870" t="s">
        <v>826</v>
      </c>
      <c r="C870" t="s">
        <v>820</v>
      </c>
      <c r="D870" t="s">
        <v>118</v>
      </c>
      <c r="E870" s="69">
        <v>40646</v>
      </c>
      <c r="F870" s="65">
        <v>0.92903935185185194</v>
      </c>
      <c r="G870" t="s">
        <v>1344</v>
      </c>
      <c r="H870" t="s">
        <v>1345</v>
      </c>
    </row>
    <row r="871" spans="1:8" s="80" customFormat="1">
      <c r="A871">
        <v>15444951</v>
      </c>
      <c r="B871" t="s">
        <v>826</v>
      </c>
      <c r="C871" t="s">
        <v>820</v>
      </c>
      <c r="D871" t="s">
        <v>118</v>
      </c>
      <c r="E871" s="69">
        <v>40647</v>
      </c>
      <c r="F871" s="65">
        <v>0.31777777777777777</v>
      </c>
      <c r="G871" t="s">
        <v>1346</v>
      </c>
      <c r="H871" t="s">
        <v>1347</v>
      </c>
    </row>
    <row r="872" spans="1:8" s="80" customFormat="1">
      <c r="A872">
        <v>15444951</v>
      </c>
      <c r="B872" t="s">
        <v>826</v>
      </c>
      <c r="C872" t="s">
        <v>820</v>
      </c>
      <c r="D872" t="s">
        <v>118</v>
      </c>
      <c r="E872" s="69">
        <v>40647</v>
      </c>
      <c r="F872" s="65">
        <v>0.93417824074074074</v>
      </c>
      <c r="G872" t="s">
        <v>1344</v>
      </c>
      <c r="H872" t="s">
        <v>1345</v>
      </c>
    </row>
    <row r="873" spans="1:8" s="80" customFormat="1">
      <c r="A873">
        <v>15444951</v>
      </c>
      <c r="B873" t="s">
        <v>826</v>
      </c>
      <c r="C873" t="s">
        <v>820</v>
      </c>
      <c r="D873" t="s">
        <v>118</v>
      </c>
      <c r="E873" s="69">
        <v>40648</v>
      </c>
      <c r="F873" s="65">
        <v>0.95870370370370372</v>
      </c>
      <c r="G873" t="s">
        <v>1344</v>
      </c>
      <c r="H873" t="s">
        <v>1345</v>
      </c>
    </row>
    <row r="874" spans="1:8" s="80" customFormat="1">
      <c r="A874">
        <v>15444951</v>
      </c>
      <c r="B874" t="s">
        <v>826</v>
      </c>
      <c r="C874" t="s">
        <v>820</v>
      </c>
      <c r="D874" t="s">
        <v>118</v>
      </c>
      <c r="E874" s="69">
        <v>40648</v>
      </c>
      <c r="F874" s="65">
        <v>0.31493055555555555</v>
      </c>
      <c r="G874" t="s">
        <v>1346</v>
      </c>
      <c r="H874" t="s">
        <v>1347</v>
      </c>
    </row>
    <row r="875" spans="1:8" s="80" customFormat="1">
      <c r="A875">
        <v>15444951</v>
      </c>
      <c r="B875" t="s">
        <v>826</v>
      </c>
      <c r="C875" t="s">
        <v>820</v>
      </c>
      <c r="D875" t="s">
        <v>118</v>
      </c>
      <c r="E875" s="69">
        <v>40649</v>
      </c>
      <c r="F875" s="65">
        <v>0.31848379629629631</v>
      </c>
      <c r="G875" t="s">
        <v>1346</v>
      </c>
      <c r="H875" t="s">
        <v>1347</v>
      </c>
    </row>
    <row r="876" spans="1:8" s="80" customFormat="1">
      <c r="A876">
        <v>15445100</v>
      </c>
      <c r="B876" t="s">
        <v>755</v>
      </c>
      <c r="C876" t="s">
        <v>1183</v>
      </c>
      <c r="D876" t="s">
        <v>601</v>
      </c>
      <c r="E876" s="69">
        <v>40644</v>
      </c>
      <c r="F876" s="65">
        <v>0.60718749999999999</v>
      </c>
      <c r="G876" t="s">
        <v>1344</v>
      </c>
      <c r="H876" t="s">
        <v>1345</v>
      </c>
    </row>
    <row r="877" spans="1:8" s="80" customFormat="1">
      <c r="A877">
        <v>15445100</v>
      </c>
      <c r="B877" t="s">
        <v>755</v>
      </c>
      <c r="C877" t="s">
        <v>1183</v>
      </c>
      <c r="D877" t="s">
        <v>601</v>
      </c>
      <c r="E877" s="69">
        <v>40644</v>
      </c>
      <c r="F877" s="65">
        <v>0.94936342592592593</v>
      </c>
      <c r="G877" t="s">
        <v>1346</v>
      </c>
      <c r="H877" t="s">
        <v>1347</v>
      </c>
    </row>
    <row r="878" spans="1:8" s="80" customFormat="1">
      <c r="A878">
        <v>15445100</v>
      </c>
      <c r="B878" t="s">
        <v>755</v>
      </c>
      <c r="C878" t="s">
        <v>1183</v>
      </c>
      <c r="D878" t="s">
        <v>601</v>
      </c>
      <c r="E878" s="69">
        <v>40645</v>
      </c>
      <c r="F878" s="65">
        <v>0.60704861111111108</v>
      </c>
      <c r="G878" t="s">
        <v>1344</v>
      </c>
      <c r="H878" t="s">
        <v>1345</v>
      </c>
    </row>
    <row r="879" spans="1:8" s="80" customFormat="1">
      <c r="A879">
        <v>15445100</v>
      </c>
      <c r="B879" t="s">
        <v>755</v>
      </c>
      <c r="C879" t="s">
        <v>1183</v>
      </c>
      <c r="D879" t="s">
        <v>601</v>
      </c>
      <c r="E879" s="69">
        <v>40645</v>
      </c>
      <c r="F879" s="65">
        <v>0.94769675925925922</v>
      </c>
      <c r="G879" t="s">
        <v>1346</v>
      </c>
      <c r="H879" t="s">
        <v>1347</v>
      </c>
    </row>
    <row r="880" spans="1:8" s="80" customFormat="1">
      <c r="A880">
        <v>15445100</v>
      </c>
      <c r="B880" t="s">
        <v>755</v>
      </c>
      <c r="C880" t="s">
        <v>1183</v>
      </c>
      <c r="D880" t="s">
        <v>601</v>
      </c>
      <c r="E880" s="69">
        <v>40646</v>
      </c>
      <c r="F880" s="65">
        <v>0.30549768518518522</v>
      </c>
      <c r="G880" t="s">
        <v>1344</v>
      </c>
      <c r="H880" t="s">
        <v>1345</v>
      </c>
    </row>
    <row r="881" spans="1:8" s="80" customFormat="1">
      <c r="A881">
        <v>15445100</v>
      </c>
      <c r="B881" t="s">
        <v>755</v>
      </c>
      <c r="C881" t="s">
        <v>1183</v>
      </c>
      <c r="D881" t="s">
        <v>601</v>
      </c>
      <c r="E881" s="69">
        <v>40646</v>
      </c>
      <c r="F881" s="65">
        <v>0.63975694444444442</v>
      </c>
      <c r="G881" t="s">
        <v>1346</v>
      </c>
      <c r="H881" t="s">
        <v>1347</v>
      </c>
    </row>
    <row r="882" spans="1:8" s="80" customFormat="1">
      <c r="A882">
        <v>15445100</v>
      </c>
      <c r="B882" t="s">
        <v>755</v>
      </c>
      <c r="C882" t="s">
        <v>1183</v>
      </c>
      <c r="D882" t="s">
        <v>601</v>
      </c>
      <c r="E882" s="69">
        <v>40647</v>
      </c>
      <c r="F882" s="65">
        <v>0.60824074074074075</v>
      </c>
      <c r="G882" t="s">
        <v>1344</v>
      </c>
      <c r="H882" t="s">
        <v>1345</v>
      </c>
    </row>
    <row r="883" spans="1:8" s="80" customFormat="1">
      <c r="A883">
        <v>15445100</v>
      </c>
      <c r="B883" t="s">
        <v>755</v>
      </c>
      <c r="C883" t="s">
        <v>1183</v>
      </c>
      <c r="D883" t="s">
        <v>601</v>
      </c>
      <c r="E883" s="69">
        <v>40647</v>
      </c>
      <c r="F883" s="65">
        <v>0.95207175925925924</v>
      </c>
      <c r="G883" t="s">
        <v>1346</v>
      </c>
      <c r="H883" t="s">
        <v>1347</v>
      </c>
    </row>
    <row r="884" spans="1:8" s="80" customFormat="1">
      <c r="A884">
        <v>15445100</v>
      </c>
      <c r="B884" t="s">
        <v>755</v>
      </c>
      <c r="C884" t="s">
        <v>1183</v>
      </c>
      <c r="D884" t="s">
        <v>601</v>
      </c>
      <c r="E884" s="69">
        <v>40648</v>
      </c>
      <c r="F884" s="65">
        <v>0.6097569444444445</v>
      </c>
      <c r="G884" t="s">
        <v>1344</v>
      </c>
      <c r="H884" t="s">
        <v>1345</v>
      </c>
    </row>
    <row r="885" spans="1:8" s="80" customFormat="1">
      <c r="A885">
        <v>15445100</v>
      </c>
      <c r="B885" t="s">
        <v>755</v>
      </c>
      <c r="C885" t="s">
        <v>1183</v>
      </c>
      <c r="D885" t="s">
        <v>601</v>
      </c>
      <c r="E885" s="69">
        <v>40648</v>
      </c>
      <c r="F885" s="65">
        <v>0.94756944444444446</v>
      </c>
      <c r="G885" t="s">
        <v>1346</v>
      </c>
      <c r="H885" t="s">
        <v>1347</v>
      </c>
    </row>
    <row r="886" spans="1:8" s="80" customFormat="1">
      <c r="A886">
        <v>15445100</v>
      </c>
      <c r="B886" t="s">
        <v>755</v>
      </c>
      <c r="C886" t="s">
        <v>1183</v>
      </c>
      <c r="D886" t="s">
        <v>601</v>
      </c>
      <c r="E886" s="69">
        <v>40649</v>
      </c>
      <c r="F886" s="65">
        <v>0.94738425925925929</v>
      </c>
      <c r="G886" t="s">
        <v>1346</v>
      </c>
      <c r="H886" t="s">
        <v>1347</v>
      </c>
    </row>
    <row r="887" spans="1:8" s="80" customFormat="1">
      <c r="A887">
        <v>15445100</v>
      </c>
      <c r="B887" t="s">
        <v>755</v>
      </c>
      <c r="C887" t="s">
        <v>1183</v>
      </c>
      <c r="D887" t="s">
        <v>601</v>
      </c>
      <c r="E887" s="69">
        <v>40649</v>
      </c>
      <c r="F887" s="65">
        <v>0.6274305555555556</v>
      </c>
      <c r="G887" t="s">
        <v>1344</v>
      </c>
      <c r="H887" t="s">
        <v>1345</v>
      </c>
    </row>
    <row r="888" spans="1:8" s="80" customFormat="1">
      <c r="A888">
        <v>15449281</v>
      </c>
      <c r="B888" t="s">
        <v>1159</v>
      </c>
      <c r="C888" t="s">
        <v>349</v>
      </c>
      <c r="D888" t="s">
        <v>771</v>
      </c>
      <c r="E888" s="69">
        <v>40644</v>
      </c>
      <c r="F888" s="65">
        <v>0.92087962962962966</v>
      </c>
      <c r="G888" t="s">
        <v>1344</v>
      </c>
      <c r="H888" t="s">
        <v>1345</v>
      </c>
    </row>
    <row r="889" spans="1:8" s="80" customFormat="1">
      <c r="A889">
        <v>15449281</v>
      </c>
      <c r="B889" t="s">
        <v>1159</v>
      </c>
      <c r="C889" t="s">
        <v>349</v>
      </c>
      <c r="D889" t="s">
        <v>771</v>
      </c>
      <c r="E889" s="69">
        <v>40645</v>
      </c>
      <c r="F889" s="65">
        <v>0.32471064814814815</v>
      </c>
      <c r="G889" t="s">
        <v>1346</v>
      </c>
      <c r="H889" t="s">
        <v>1347</v>
      </c>
    </row>
    <row r="890" spans="1:8" s="80" customFormat="1">
      <c r="A890">
        <v>15449281</v>
      </c>
      <c r="B890" t="s">
        <v>1159</v>
      </c>
      <c r="C890" t="s">
        <v>349</v>
      </c>
      <c r="D890" t="s">
        <v>771</v>
      </c>
      <c r="E890" s="69">
        <v>40645</v>
      </c>
      <c r="F890" s="65">
        <v>0.91895833333333332</v>
      </c>
      <c r="G890" t="s">
        <v>1344</v>
      </c>
      <c r="H890" t="s">
        <v>1345</v>
      </c>
    </row>
    <row r="891" spans="1:8" s="80" customFormat="1">
      <c r="A891">
        <v>15449281</v>
      </c>
      <c r="B891" t="s">
        <v>1159</v>
      </c>
      <c r="C891" t="s">
        <v>349</v>
      </c>
      <c r="D891" t="s">
        <v>771</v>
      </c>
      <c r="E891" s="69">
        <v>40646</v>
      </c>
      <c r="F891" s="65">
        <v>0.32175925925925924</v>
      </c>
      <c r="G891" t="s">
        <v>1346</v>
      </c>
      <c r="H891" t="s">
        <v>1347</v>
      </c>
    </row>
    <row r="892" spans="1:8" s="80" customFormat="1">
      <c r="A892">
        <v>15449281</v>
      </c>
      <c r="B892" t="s">
        <v>1159</v>
      </c>
      <c r="C892" t="s">
        <v>349</v>
      </c>
      <c r="D892" t="s">
        <v>771</v>
      </c>
      <c r="E892" s="69">
        <v>40646</v>
      </c>
      <c r="F892" s="65">
        <v>0.92113425925925929</v>
      </c>
      <c r="G892" t="s">
        <v>1344</v>
      </c>
      <c r="H892" t="s">
        <v>1345</v>
      </c>
    </row>
    <row r="893" spans="1:8" s="80" customFormat="1">
      <c r="A893">
        <v>15449281</v>
      </c>
      <c r="B893" t="s">
        <v>1159</v>
      </c>
      <c r="C893" t="s">
        <v>349</v>
      </c>
      <c r="D893" t="s">
        <v>771</v>
      </c>
      <c r="E893" s="69">
        <v>40647</v>
      </c>
      <c r="F893" s="65">
        <v>0.32278935185185187</v>
      </c>
      <c r="G893" t="s">
        <v>1346</v>
      </c>
      <c r="H893" t="s">
        <v>1347</v>
      </c>
    </row>
    <row r="894" spans="1:8" s="80" customFormat="1">
      <c r="A894">
        <v>15449281</v>
      </c>
      <c r="B894" t="s">
        <v>1159</v>
      </c>
      <c r="C894" t="s">
        <v>349</v>
      </c>
      <c r="D894" t="s">
        <v>771</v>
      </c>
      <c r="E894" s="69">
        <v>40647</v>
      </c>
      <c r="F894" s="65">
        <v>0.92033564814814817</v>
      </c>
      <c r="G894" t="s">
        <v>1344</v>
      </c>
      <c r="H894" t="s">
        <v>1345</v>
      </c>
    </row>
    <row r="895" spans="1:8" s="80" customFormat="1">
      <c r="A895">
        <v>15449281</v>
      </c>
      <c r="B895" t="s">
        <v>1159</v>
      </c>
      <c r="C895" t="s">
        <v>349</v>
      </c>
      <c r="D895" t="s">
        <v>771</v>
      </c>
      <c r="E895" s="69">
        <v>40648</v>
      </c>
      <c r="F895" s="65">
        <v>0.92052083333333334</v>
      </c>
      <c r="G895" t="s">
        <v>1344</v>
      </c>
      <c r="H895" t="s">
        <v>1345</v>
      </c>
    </row>
    <row r="896" spans="1:8" s="80" customFormat="1">
      <c r="A896">
        <v>15449281</v>
      </c>
      <c r="B896" t="s">
        <v>1159</v>
      </c>
      <c r="C896" t="s">
        <v>349</v>
      </c>
      <c r="D896" t="s">
        <v>771</v>
      </c>
      <c r="E896" s="69">
        <v>40648</v>
      </c>
      <c r="F896" s="65">
        <v>0.32153935185185184</v>
      </c>
      <c r="G896" t="s">
        <v>1346</v>
      </c>
      <c r="H896" t="s">
        <v>1347</v>
      </c>
    </row>
    <row r="897" spans="1:8" s="80" customFormat="1">
      <c r="A897">
        <v>15449281</v>
      </c>
      <c r="B897" t="s">
        <v>1159</v>
      </c>
      <c r="C897" t="s">
        <v>349</v>
      </c>
      <c r="D897" t="s">
        <v>771</v>
      </c>
      <c r="E897" s="69">
        <v>40649</v>
      </c>
      <c r="F897" s="65">
        <v>0.31881944444444443</v>
      </c>
      <c r="G897" t="s">
        <v>1346</v>
      </c>
      <c r="H897" t="s">
        <v>1347</v>
      </c>
    </row>
    <row r="898" spans="1:8" s="80" customFormat="1">
      <c r="A898">
        <v>15533689</v>
      </c>
      <c r="B898" t="s">
        <v>808</v>
      </c>
      <c r="C898" t="s">
        <v>349</v>
      </c>
      <c r="D898" t="s">
        <v>1128</v>
      </c>
      <c r="E898" s="69">
        <v>40648</v>
      </c>
      <c r="F898" s="65">
        <v>0.31149305555555556</v>
      </c>
      <c r="G898" t="s">
        <v>1344</v>
      </c>
      <c r="H898" t="s">
        <v>1345</v>
      </c>
    </row>
    <row r="899" spans="1:8" s="80" customFormat="1">
      <c r="A899">
        <v>15533689</v>
      </c>
      <c r="B899" t="s">
        <v>808</v>
      </c>
      <c r="C899" t="s">
        <v>349</v>
      </c>
      <c r="D899" t="s">
        <v>1128</v>
      </c>
      <c r="E899" s="69">
        <v>40648</v>
      </c>
      <c r="F899" s="65">
        <v>0.70156249999999998</v>
      </c>
      <c r="G899" t="s">
        <v>1346</v>
      </c>
      <c r="H899" t="s">
        <v>1347</v>
      </c>
    </row>
    <row r="900" spans="1:8" s="80" customFormat="1">
      <c r="A900">
        <v>15891790</v>
      </c>
      <c r="B900" t="s">
        <v>137</v>
      </c>
      <c r="C900" t="s">
        <v>967</v>
      </c>
      <c r="D900" t="s">
        <v>975</v>
      </c>
      <c r="E900" s="69">
        <v>40644</v>
      </c>
      <c r="F900" s="65">
        <v>0.31711805555555556</v>
      </c>
      <c r="G900" t="s">
        <v>1344</v>
      </c>
      <c r="H900" t="s">
        <v>1345</v>
      </c>
    </row>
    <row r="901" spans="1:8" s="80" customFormat="1">
      <c r="A901">
        <v>15891790</v>
      </c>
      <c r="B901" t="s">
        <v>137</v>
      </c>
      <c r="C901" t="s">
        <v>967</v>
      </c>
      <c r="D901" t="s">
        <v>975</v>
      </c>
      <c r="E901" s="69">
        <v>40644</v>
      </c>
      <c r="F901" s="65">
        <v>0.63336805555555553</v>
      </c>
      <c r="G901" t="s">
        <v>1346</v>
      </c>
      <c r="H901" t="s">
        <v>1347</v>
      </c>
    </row>
    <row r="902" spans="1:8" s="80" customFormat="1">
      <c r="A902">
        <v>15891790</v>
      </c>
      <c r="B902" t="s">
        <v>137</v>
      </c>
      <c r="C902" t="s">
        <v>967</v>
      </c>
      <c r="D902" t="s">
        <v>975</v>
      </c>
      <c r="E902" s="69">
        <v>40645</v>
      </c>
      <c r="F902" s="65">
        <v>0.31069444444444444</v>
      </c>
      <c r="G902" t="s">
        <v>1344</v>
      </c>
      <c r="H902" t="s">
        <v>1345</v>
      </c>
    </row>
    <row r="903" spans="1:8" s="80" customFormat="1">
      <c r="A903">
        <v>15891790</v>
      </c>
      <c r="B903" t="s">
        <v>137</v>
      </c>
      <c r="C903" t="s">
        <v>967</v>
      </c>
      <c r="D903" t="s">
        <v>975</v>
      </c>
      <c r="E903" s="69">
        <v>40645</v>
      </c>
      <c r="F903" s="65">
        <v>0.71466435185185195</v>
      </c>
      <c r="G903" t="s">
        <v>1346</v>
      </c>
      <c r="H903" t="s">
        <v>1347</v>
      </c>
    </row>
    <row r="904" spans="1:8" s="80" customFormat="1">
      <c r="A904">
        <v>15891790</v>
      </c>
      <c r="B904" t="s">
        <v>137</v>
      </c>
      <c r="C904" t="s">
        <v>967</v>
      </c>
      <c r="D904" t="s">
        <v>975</v>
      </c>
      <c r="E904" s="69">
        <v>40646</v>
      </c>
      <c r="F904" s="65">
        <v>0.31155092592592593</v>
      </c>
      <c r="G904" t="s">
        <v>1344</v>
      </c>
      <c r="H904" t="s">
        <v>1345</v>
      </c>
    </row>
    <row r="905" spans="1:8" s="80" customFormat="1">
      <c r="A905">
        <v>15891790</v>
      </c>
      <c r="B905" t="s">
        <v>137</v>
      </c>
      <c r="C905" t="s">
        <v>967</v>
      </c>
      <c r="D905" t="s">
        <v>975</v>
      </c>
      <c r="E905" s="69">
        <v>40646</v>
      </c>
      <c r="F905" s="65">
        <v>0.71090277777777777</v>
      </c>
      <c r="G905" t="s">
        <v>1346</v>
      </c>
      <c r="H905" t="s">
        <v>1347</v>
      </c>
    </row>
    <row r="906" spans="1:8" s="80" customFormat="1">
      <c r="A906">
        <v>15891790</v>
      </c>
      <c r="B906" t="s">
        <v>137</v>
      </c>
      <c r="C906" t="s">
        <v>967</v>
      </c>
      <c r="D906" t="s">
        <v>975</v>
      </c>
      <c r="E906" s="69">
        <v>40648</v>
      </c>
      <c r="F906" s="65">
        <v>0.62523148148148155</v>
      </c>
      <c r="G906" t="s">
        <v>1346</v>
      </c>
      <c r="H906" t="s">
        <v>1347</v>
      </c>
    </row>
    <row r="907" spans="1:8" s="80" customFormat="1">
      <c r="A907">
        <v>15891790</v>
      </c>
      <c r="B907" t="s">
        <v>137</v>
      </c>
      <c r="C907" t="s">
        <v>967</v>
      </c>
      <c r="D907" t="s">
        <v>975</v>
      </c>
      <c r="E907" s="69">
        <v>40648</v>
      </c>
      <c r="F907" s="65">
        <v>0.32341435185185186</v>
      </c>
      <c r="G907" t="s">
        <v>1344</v>
      </c>
      <c r="H907" t="s">
        <v>1345</v>
      </c>
    </row>
    <row r="908" spans="1:8" s="80" customFormat="1">
      <c r="A908">
        <v>15891790</v>
      </c>
      <c r="B908" t="s">
        <v>137</v>
      </c>
      <c r="C908" t="s">
        <v>967</v>
      </c>
      <c r="D908" t="s">
        <v>975</v>
      </c>
      <c r="E908" s="69">
        <v>40649</v>
      </c>
      <c r="F908" s="65">
        <v>0.32061342592592595</v>
      </c>
      <c r="G908" t="s">
        <v>1344</v>
      </c>
      <c r="H908" t="s">
        <v>1345</v>
      </c>
    </row>
    <row r="909" spans="1:8" s="80" customFormat="1">
      <c r="A909">
        <v>15891790</v>
      </c>
      <c r="B909" t="s">
        <v>137</v>
      </c>
      <c r="C909" t="s">
        <v>967</v>
      </c>
      <c r="D909" t="s">
        <v>975</v>
      </c>
      <c r="E909" s="69">
        <v>40649</v>
      </c>
      <c r="F909" s="65">
        <v>0.63129629629629636</v>
      </c>
      <c r="G909" t="s">
        <v>1346</v>
      </c>
      <c r="H909" t="s">
        <v>1347</v>
      </c>
    </row>
    <row r="910" spans="1:8" s="80" customFormat="1">
      <c r="A910">
        <v>16031949</v>
      </c>
      <c r="B910" t="s">
        <v>1348</v>
      </c>
      <c r="C910" t="s">
        <v>363</v>
      </c>
      <c r="D910" t="s">
        <v>364</v>
      </c>
      <c r="E910" s="69">
        <v>40644</v>
      </c>
      <c r="F910" s="65">
        <v>0.29099537037037038</v>
      </c>
      <c r="G910" t="s">
        <v>1344</v>
      </c>
      <c r="H910" t="s">
        <v>1345</v>
      </c>
    </row>
    <row r="911" spans="1:8" s="80" customFormat="1">
      <c r="A911">
        <v>16031949</v>
      </c>
      <c r="B911" t="s">
        <v>1348</v>
      </c>
      <c r="C911" t="s">
        <v>363</v>
      </c>
      <c r="D911" t="s">
        <v>364</v>
      </c>
      <c r="E911" s="69">
        <v>40644</v>
      </c>
      <c r="F911" s="65">
        <v>0.63254629629629633</v>
      </c>
      <c r="G911" t="s">
        <v>1346</v>
      </c>
      <c r="H911" t="s">
        <v>1347</v>
      </c>
    </row>
    <row r="912" spans="1:8" s="80" customFormat="1">
      <c r="A912">
        <v>16031949</v>
      </c>
      <c r="B912" t="s">
        <v>1348</v>
      </c>
      <c r="C912" t="s">
        <v>363</v>
      </c>
      <c r="D912" t="s">
        <v>364</v>
      </c>
      <c r="E912" s="69">
        <v>40645</v>
      </c>
      <c r="F912" s="65">
        <v>0.29658564814814814</v>
      </c>
      <c r="G912" t="s">
        <v>1344</v>
      </c>
      <c r="H912" t="s">
        <v>1345</v>
      </c>
    </row>
    <row r="913" spans="1:8" s="80" customFormat="1">
      <c r="A913">
        <v>16031949</v>
      </c>
      <c r="B913" t="s">
        <v>1348</v>
      </c>
      <c r="C913" t="s">
        <v>363</v>
      </c>
      <c r="D913" t="s">
        <v>364</v>
      </c>
      <c r="E913" s="69">
        <v>40645</v>
      </c>
      <c r="F913" s="65">
        <v>0.62417824074074069</v>
      </c>
      <c r="G913" t="s">
        <v>1346</v>
      </c>
      <c r="H913" t="s">
        <v>1347</v>
      </c>
    </row>
    <row r="914" spans="1:8" s="80" customFormat="1">
      <c r="A914">
        <v>16031949</v>
      </c>
      <c r="B914" t="s">
        <v>1348</v>
      </c>
      <c r="C914" t="s">
        <v>363</v>
      </c>
      <c r="D914" t="s">
        <v>364</v>
      </c>
      <c r="E914" s="69">
        <v>40646</v>
      </c>
      <c r="F914" s="65">
        <v>0.29635416666666664</v>
      </c>
      <c r="G914" t="s">
        <v>1344</v>
      </c>
      <c r="H914" t="s">
        <v>1345</v>
      </c>
    </row>
    <row r="915" spans="1:8" s="80" customFormat="1">
      <c r="A915">
        <v>16031949</v>
      </c>
      <c r="B915" t="s">
        <v>1348</v>
      </c>
      <c r="C915" t="s">
        <v>363</v>
      </c>
      <c r="D915" t="s">
        <v>364</v>
      </c>
      <c r="E915" s="69">
        <v>40646</v>
      </c>
      <c r="F915" s="65">
        <v>0.63276620370370373</v>
      </c>
      <c r="G915" t="s">
        <v>1346</v>
      </c>
      <c r="H915" t="s">
        <v>1347</v>
      </c>
    </row>
    <row r="916" spans="1:8" s="80" customFormat="1">
      <c r="A916">
        <v>16031949</v>
      </c>
      <c r="B916" t="s">
        <v>1348</v>
      </c>
      <c r="C916" t="s">
        <v>363</v>
      </c>
      <c r="D916" t="s">
        <v>364</v>
      </c>
      <c r="E916" s="69">
        <v>40647</v>
      </c>
      <c r="F916" s="65">
        <v>0.29668981481481482</v>
      </c>
      <c r="G916" t="s">
        <v>1344</v>
      </c>
      <c r="H916" t="s">
        <v>1345</v>
      </c>
    </row>
    <row r="917" spans="1:8" s="80" customFormat="1">
      <c r="A917">
        <v>16031949</v>
      </c>
      <c r="B917" t="s">
        <v>1348</v>
      </c>
      <c r="C917" t="s">
        <v>363</v>
      </c>
      <c r="D917" t="s">
        <v>364</v>
      </c>
      <c r="E917" s="69">
        <v>40647</v>
      </c>
      <c r="F917" s="65">
        <v>0.63611111111111118</v>
      </c>
      <c r="G917" t="s">
        <v>1346</v>
      </c>
      <c r="H917" t="s">
        <v>1347</v>
      </c>
    </row>
    <row r="918" spans="1:8" s="80" customFormat="1">
      <c r="A918">
        <v>16031949</v>
      </c>
      <c r="B918" t="s">
        <v>1348</v>
      </c>
      <c r="C918" t="s">
        <v>363</v>
      </c>
      <c r="D918" t="s">
        <v>364</v>
      </c>
      <c r="E918" s="69">
        <v>40648</v>
      </c>
      <c r="F918" s="65">
        <v>0.63396990740740744</v>
      </c>
      <c r="G918" t="s">
        <v>1346</v>
      </c>
      <c r="H918" t="s">
        <v>1347</v>
      </c>
    </row>
    <row r="919" spans="1:8" s="80" customFormat="1">
      <c r="A919">
        <v>16031949</v>
      </c>
      <c r="B919" t="s">
        <v>1348</v>
      </c>
      <c r="C919" t="s">
        <v>363</v>
      </c>
      <c r="D919" t="s">
        <v>364</v>
      </c>
      <c r="E919" s="69">
        <v>40648</v>
      </c>
      <c r="F919" s="65">
        <v>0.29649305555555555</v>
      </c>
      <c r="G919" t="s">
        <v>1344</v>
      </c>
      <c r="H919" t="s">
        <v>1345</v>
      </c>
    </row>
    <row r="920" spans="1:8" s="80" customFormat="1">
      <c r="A920">
        <v>16031949</v>
      </c>
      <c r="B920" t="s">
        <v>1348</v>
      </c>
      <c r="C920" t="s">
        <v>363</v>
      </c>
      <c r="D920" t="s">
        <v>364</v>
      </c>
      <c r="E920" s="69">
        <v>40649</v>
      </c>
      <c r="F920" s="65">
        <v>0.29293981481481485</v>
      </c>
      <c r="G920" t="s">
        <v>1344</v>
      </c>
      <c r="H920" t="s">
        <v>1345</v>
      </c>
    </row>
    <row r="921" spans="1:8" s="80" customFormat="1">
      <c r="A921">
        <v>16031949</v>
      </c>
      <c r="B921" t="s">
        <v>1348</v>
      </c>
      <c r="C921" t="s">
        <v>363</v>
      </c>
      <c r="D921" t="s">
        <v>364</v>
      </c>
      <c r="E921" s="69">
        <v>40649</v>
      </c>
      <c r="F921" s="65">
        <v>0.63657407407407407</v>
      </c>
      <c r="G921" t="s">
        <v>1346</v>
      </c>
      <c r="H921" t="s">
        <v>1347</v>
      </c>
    </row>
    <row r="922" spans="1:8" s="80" customFormat="1">
      <c r="A922">
        <v>16132065</v>
      </c>
      <c r="B922" t="s">
        <v>431</v>
      </c>
      <c r="C922" t="s">
        <v>425</v>
      </c>
      <c r="D922" t="s">
        <v>430</v>
      </c>
      <c r="E922" s="69">
        <v>40644</v>
      </c>
      <c r="F922" s="65">
        <v>0.30380787037037038</v>
      </c>
      <c r="G922" t="s">
        <v>1344</v>
      </c>
      <c r="H922" t="s">
        <v>1345</v>
      </c>
    </row>
    <row r="923" spans="1:8" s="80" customFormat="1">
      <c r="A923">
        <v>16132065</v>
      </c>
      <c r="B923" t="s">
        <v>431</v>
      </c>
      <c r="C923" t="s">
        <v>425</v>
      </c>
      <c r="D923" t="s">
        <v>430</v>
      </c>
      <c r="E923" s="69">
        <v>40644</v>
      </c>
      <c r="F923" s="65">
        <v>0.62672453703703701</v>
      </c>
      <c r="G923" t="s">
        <v>1346</v>
      </c>
      <c r="H923" t="s">
        <v>1347</v>
      </c>
    </row>
    <row r="924" spans="1:8" s="80" customFormat="1">
      <c r="A924">
        <v>16132065</v>
      </c>
      <c r="B924" t="s">
        <v>431</v>
      </c>
      <c r="C924" t="s">
        <v>425</v>
      </c>
      <c r="D924" t="s">
        <v>430</v>
      </c>
      <c r="E924" s="69">
        <v>40645</v>
      </c>
      <c r="F924" s="65">
        <v>0.2986921296296296</v>
      </c>
      <c r="G924" t="s">
        <v>1344</v>
      </c>
      <c r="H924" t="s">
        <v>1345</v>
      </c>
    </row>
    <row r="925" spans="1:8" s="80" customFormat="1">
      <c r="A925">
        <v>16132065</v>
      </c>
      <c r="B925" t="s">
        <v>431</v>
      </c>
      <c r="C925" t="s">
        <v>425</v>
      </c>
      <c r="D925" t="s">
        <v>430</v>
      </c>
      <c r="E925" s="69">
        <v>40645</v>
      </c>
      <c r="F925" s="65">
        <v>0.63392361111111117</v>
      </c>
      <c r="G925" t="s">
        <v>1346</v>
      </c>
      <c r="H925" t="s">
        <v>1347</v>
      </c>
    </row>
    <row r="926" spans="1:8" s="80" customFormat="1">
      <c r="A926">
        <v>16132065</v>
      </c>
      <c r="B926" t="s">
        <v>431</v>
      </c>
      <c r="C926" t="s">
        <v>425</v>
      </c>
      <c r="D926" t="s">
        <v>430</v>
      </c>
      <c r="E926" s="69">
        <v>40646</v>
      </c>
      <c r="F926" s="65">
        <v>0.3038541666666667</v>
      </c>
      <c r="G926" t="s">
        <v>1344</v>
      </c>
      <c r="H926" t="s">
        <v>1345</v>
      </c>
    </row>
    <row r="927" spans="1:8" s="80" customFormat="1">
      <c r="A927">
        <v>16132065</v>
      </c>
      <c r="B927" t="s">
        <v>431</v>
      </c>
      <c r="C927" t="s">
        <v>425</v>
      </c>
      <c r="D927" t="s">
        <v>430</v>
      </c>
      <c r="E927" s="69">
        <v>40646</v>
      </c>
      <c r="F927" s="65">
        <v>0.6308449074074074</v>
      </c>
      <c r="G927" t="s">
        <v>1346</v>
      </c>
      <c r="H927" t="s">
        <v>1347</v>
      </c>
    </row>
    <row r="928" spans="1:8" s="80" customFormat="1">
      <c r="A928">
        <v>16132065</v>
      </c>
      <c r="B928" t="s">
        <v>431</v>
      </c>
      <c r="C928" t="s">
        <v>425</v>
      </c>
      <c r="D928" t="s">
        <v>430</v>
      </c>
      <c r="E928" s="69">
        <v>40647</v>
      </c>
      <c r="F928" s="65">
        <v>0.31121527777777774</v>
      </c>
      <c r="G928" t="s">
        <v>1344</v>
      </c>
      <c r="H928" t="s">
        <v>1345</v>
      </c>
    </row>
    <row r="929" spans="1:8" s="80" customFormat="1">
      <c r="A929">
        <v>16132065</v>
      </c>
      <c r="B929" t="s">
        <v>431</v>
      </c>
      <c r="C929" t="s">
        <v>425</v>
      </c>
      <c r="D929" t="s">
        <v>430</v>
      </c>
      <c r="E929" s="69">
        <v>40647</v>
      </c>
      <c r="F929" s="65">
        <v>0.62832175925925926</v>
      </c>
      <c r="G929" t="s">
        <v>1346</v>
      </c>
      <c r="H929" t="s">
        <v>1347</v>
      </c>
    </row>
    <row r="930" spans="1:8" s="80" customFormat="1">
      <c r="A930">
        <v>16132065</v>
      </c>
      <c r="B930" t="s">
        <v>431</v>
      </c>
      <c r="C930" t="s">
        <v>425</v>
      </c>
      <c r="D930" t="s">
        <v>430</v>
      </c>
      <c r="E930" s="69">
        <v>40648</v>
      </c>
      <c r="F930" s="65">
        <v>0.63760416666666664</v>
      </c>
      <c r="G930" t="s">
        <v>1346</v>
      </c>
      <c r="H930" t="s">
        <v>1347</v>
      </c>
    </row>
    <row r="931" spans="1:8" s="80" customFormat="1">
      <c r="A931">
        <v>16132065</v>
      </c>
      <c r="B931" t="s">
        <v>431</v>
      </c>
      <c r="C931" t="s">
        <v>425</v>
      </c>
      <c r="D931" t="s">
        <v>430</v>
      </c>
      <c r="E931" s="69">
        <v>40648</v>
      </c>
      <c r="F931" s="65">
        <v>0.30528935185185185</v>
      </c>
      <c r="G931" t="s">
        <v>1344</v>
      </c>
      <c r="H931" t="s">
        <v>1345</v>
      </c>
    </row>
    <row r="932" spans="1:8" s="80" customFormat="1">
      <c r="A932">
        <v>16132065</v>
      </c>
      <c r="B932" t="s">
        <v>431</v>
      </c>
      <c r="C932" t="s">
        <v>425</v>
      </c>
      <c r="D932" t="s">
        <v>430</v>
      </c>
      <c r="E932" s="69">
        <v>40649</v>
      </c>
      <c r="F932" s="65">
        <v>0.3144675925925926</v>
      </c>
      <c r="G932" t="s">
        <v>1344</v>
      </c>
      <c r="H932" t="s">
        <v>1345</v>
      </c>
    </row>
    <row r="933" spans="1:8" s="80" customFormat="1">
      <c r="A933">
        <v>16132065</v>
      </c>
      <c r="B933" t="s">
        <v>431</v>
      </c>
      <c r="C933" t="s">
        <v>425</v>
      </c>
      <c r="D933" t="s">
        <v>430</v>
      </c>
      <c r="E933" s="69">
        <v>40649</v>
      </c>
      <c r="F933" s="65">
        <v>0.6396412037037037</v>
      </c>
      <c r="G933" t="s">
        <v>1346</v>
      </c>
      <c r="H933" t="s">
        <v>1347</v>
      </c>
    </row>
    <row r="934" spans="1:8" s="80" customFormat="1">
      <c r="A934">
        <v>16149604</v>
      </c>
      <c r="B934" t="s">
        <v>793</v>
      </c>
      <c r="C934" t="s">
        <v>332</v>
      </c>
      <c r="D934" t="s">
        <v>613</v>
      </c>
      <c r="E934" s="69">
        <v>40644</v>
      </c>
      <c r="F934" s="65">
        <v>0.92133101851851851</v>
      </c>
      <c r="G934" t="s">
        <v>1344</v>
      </c>
      <c r="H934" t="s">
        <v>1345</v>
      </c>
    </row>
    <row r="935" spans="1:8" s="80" customFormat="1">
      <c r="A935">
        <v>16149604</v>
      </c>
      <c r="B935" t="s">
        <v>793</v>
      </c>
      <c r="C935" t="s">
        <v>332</v>
      </c>
      <c r="D935" t="s">
        <v>613</v>
      </c>
      <c r="E935" s="69">
        <v>40645</v>
      </c>
      <c r="F935" s="65">
        <v>0.32763888888888887</v>
      </c>
      <c r="G935" t="s">
        <v>1346</v>
      </c>
      <c r="H935" t="s">
        <v>1347</v>
      </c>
    </row>
    <row r="936" spans="1:8" s="80" customFormat="1">
      <c r="A936">
        <v>16149604</v>
      </c>
      <c r="B936" t="s">
        <v>793</v>
      </c>
      <c r="C936" t="s">
        <v>332</v>
      </c>
      <c r="D936" t="s">
        <v>613</v>
      </c>
      <c r="E936" s="69">
        <v>40645</v>
      </c>
      <c r="F936" s="65">
        <v>0.91961805555555554</v>
      </c>
      <c r="G936" t="s">
        <v>1344</v>
      </c>
      <c r="H936" t="s">
        <v>1345</v>
      </c>
    </row>
    <row r="937" spans="1:8" s="80" customFormat="1">
      <c r="A937">
        <v>16149604</v>
      </c>
      <c r="B937" t="s">
        <v>793</v>
      </c>
      <c r="C937" t="s">
        <v>332</v>
      </c>
      <c r="D937" t="s">
        <v>613</v>
      </c>
      <c r="E937" s="69">
        <v>40646</v>
      </c>
      <c r="F937" s="65">
        <v>0.32762731481481483</v>
      </c>
      <c r="G937" t="s">
        <v>1346</v>
      </c>
      <c r="H937" t="s">
        <v>1347</v>
      </c>
    </row>
    <row r="938" spans="1:8" s="80" customFormat="1">
      <c r="A938">
        <v>16149604</v>
      </c>
      <c r="B938" t="s">
        <v>793</v>
      </c>
      <c r="C938" t="s">
        <v>332</v>
      </c>
      <c r="D938" t="s">
        <v>613</v>
      </c>
      <c r="E938" s="69">
        <v>40646</v>
      </c>
      <c r="F938" s="65">
        <v>0.92138888888888892</v>
      </c>
      <c r="G938" t="s">
        <v>1344</v>
      </c>
      <c r="H938" t="s">
        <v>1345</v>
      </c>
    </row>
    <row r="939" spans="1:8" s="80" customFormat="1">
      <c r="A939">
        <v>16149604</v>
      </c>
      <c r="B939" t="s">
        <v>793</v>
      </c>
      <c r="C939" t="s">
        <v>332</v>
      </c>
      <c r="D939" t="s">
        <v>613</v>
      </c>
      <c r="E939" s="69">
        <v>40647</v>
      </c>
      <c r="F939" s="65">
        <v>0.32859953703703704</v>
      </c>
      <c r="G939" t="s">
        <v>1346</v>
      </c>
      <c r="H939" t="s">
        <v>1347</v>
      </c>
    </row>
    <row r="940" spans="1:8" s="80" customFormat="1">
      <c r="A940">
        <v>16149604</v>
      </c>
      <c r="B940" t="s">
        <v>793</v>
      </c>
      <c r="C940" t="s">
        <v>332</v>
      </c>
      <c r="D940" t="s">
        <v>613</v>
      </c>
      <c r="E940" s="69">
        <v>40647</v>
      </c>
      <c r="F940" s="65">
        <v>0.92082175925925924</v>
      </c>
      <c r="G940" t="s">
        <v>1344</v>
      </c>
      <c r="H940" t="s">
        <v>1345</v>
      </c>
    </row>
    <row r="941" spans="1:8" s="80" customFormat="1">
      <c r="A941">
        <v>16149604</v>
      </c>
      <c r="B941" t="s">
        <v>793</v>
      </c>
      <c r="C941" t="s">
        <v>332</v>
      </c>
      <c r="D941" t="s">
        <v>613</v>
      </c>
      <c r="E941" s="69">
        <v>40648</v>
      </c>
      <c r="F941" s="65">
        <v>0.92087962962962966</v>
      </c>
      <c r="G941" t="s">
        <v>1344</v>
      </c>
      <c r="H941" t="s">
        <v>1345</v>
      </c>
    </row>
    <row r="942" spans="1:8" s="80" customFormat="1">
      <c r="A942">
        <v>16149604</v>
      </c>
      <c r="B942" t="s">
        <v>793</v>
      </c>
      <c r="C942" t="s">
        <v>332</v>
      </c>
      <c r="D942" t="s">
        <v>613</v>
      </c>
      <c r="E942" s="69">
        <v>40648</v>
      </c>
      <c r="F942" s="65">
        <v>0.32841435185185186</v>
      </c>
      <c r="G942" t="s">
        <v>1346</v>
      </c>
      <c r="H942" t="s">
        <v>1347</v>
      </c>
    </row>
    <row r="943" spans="1:8" s="80" customFormat="1">
      <c r="A943">
        <v>16149604</v>
      </c>
      <c r="B943" t="s">
        <v>793</v>
      </c>
      <c r="C943" t="s">
        <v>332</v>
      </c>
      <c r="D943" t="s">
        <v>613</v>
      </c>
      <c r="E943" s="69">
        <v>40649</v>
      </c>
      <c r="F943" s="65">
        <v>0.32782407407407405</v>
      </c>
      <c r="G943" t="s">
        <v>1346</v>
      </c>
      <c r="H943" t="s">
        <v>1347</v>
      </c>
    </row>
    <row r="944" spans="1:8" s="80" customFormat="1">
      <c r="A944">
        <v>16169301</v>
      </c>
      <c r="B944" t="s">
        <v>1206</v>
      </c>
      <c r="C944" t="s">
        <v>1204</v>
      </c>
      <c r="D944" t="s">
        <v>1205</v>
      </c>
      <c r="E944" s="69">
        <v>40644</v>
      </c>
      <c r="F944" s="65">
        <v>0.2950578703703704</v>
      </c>
      <c r="G944" t="s">
        <v>1344</v>
      </c>
      <c r="H944" t="s">
        <v>1345</v>
      </c>
    </row>
    <row r="945" spans="1:8" s="80" customFormat="1">
      <c r="A945">
        <v>16169301</v>
      </c>
      <c r="B945" t="s">
        <v>1206</v>
      </c>
      <c r="C945" t="s">
        <v>1204</v>
      </c>
      <c r="D945" t="s">
        <v>1205</v>
      </c>
      <c r="E945" s="69">
        <v>40644</v>
      </c>
      <c r="F945" s="65">
        <v>0.63453703703703701</v>
      </c>
      <c r="G945" t="s">
        <v>1346</v>
      </c>
      <c r="H945" t="s">
        <v>1347</v>
      </c>
    </row>
    <row r="946" spans="1:8" s="80" customFormat="1">
      <c r="A946">
        <v>16169301</v>
      </c>
      <c r="B946" t="s">
        <v>1206</v>
      </c>
      <c r="C946" t="s">
        <v>1204</v>
      </c>
      <c r="D946" t="s">
        <v>1205</v>
      </c>
      <c r="E946" s="69">
        <v>40645</v>
      </c>
      <c r="F946" s="65">
        <v>0.29450231481481481</v>
      </c>
      <c r="G946" t="s">
        <v>1344</v>
      </c>
      <c r="H946" t="s">
        <v>1345</v>
      </c>
    </row>
    <row r="947" spans="1:8" s="80" customFormat="1">
      <c r="A947">
        <v>16169301</v>
      </c>
      <c r="B947" t="s">
        <v>1206</v>
      </c>
      <c r="C947" t="s">
        <v>1204</v>
      </c>
      <c r="D947" t="s">
        <v>1205</v>
      </c>
      <c r="E947" s="69">
        <v>40645</v>
      </c>
      <c r="F947" s="65">
        <v>0.63302083333333337</v>
      </c>
      <c r="G947" t="s">
        <v>1346</v>
      </c>
      <c r="H947" t="s">
        <v>1347</v>
      </c>
    </row>
    <row r="948" spans="1:8" s="80" customFormat="1">
      <c r="A948">
        <v>16169301</v>
      </c>
      <c r="B948" t="s">
        <v>1206</v>
      </c>
      <c r="C948" t="s">
        <v>1204</v>
      </c>
      <c r="D948" t="s">
        <v>1205</v>
      </c>
      <c r="E948" s="69">
        <v>40646</v>
      </c>
      <c r="F948" s="65">
        <v>0.29496527777777776</v>
      </c>
      <c r="G948" t="s">
        <v>1344</v>
      </c>
      <c r="H948" t="s">
        <v>1345</v>
      </c>
    </row>
    <row r="949" spans="1:8" s="80" customFormat="1">
      <c r="A949">
        <v>16169301</v>
      </c>
      <c r="B949" t="s">
        <v>1206</v>
      </c>
      <c r="C949" t="s">
        <v>1204</v>
      </c>
      <c r="D949" t="s">
        <v>1205</v>
      </c>
      <c r="E949" s="69">
        <v>40646</v>
      </c>
      <c r="F949" s="65">
        <v>0.63156250000000003</v>
      </c>
      <c r="G949" t="s">
        <v>1346</v>
      </c>
      <c r="H949" t="s">
        <v>1347</v>
      </c>
    </row>
    <row r="950" spans="1:8" s="80" customFormat="1">
      <c r="A950">
        <v>16169301</v>
      </c>
      <c r="B950" t="s">
        <v>1206</v>
      </c>
      <c r="C950" t="s">
        <v>1204</v>
      </c>
      <c r="D950" t="s">
        <v>1205</v>
      </c>
      <c r="E950" s="69">
        <v>40647</v>
      </c>
      <c r="F950" s="65">
        <v>0.29394675925925923</v>
      </c>
      <c r="G950" t="s">
        <v>1344</v>
      </c>
      <c r="H950" t="s">
        <v>1345</v>
      </c>
    </row>
    <row r="951" spans="1:8" s="80" customFormat="1">
      <c r="A951">
        <v>16169301</v>
      </c>
      <c r="B951" t="s">
        <v>1206</v>
      </c>
      <c r="C951" t="s">
        <v>1204</v>
      </c>
      <c r="D951" t="s">
        <v>1205</v>
      </c>
      <c r="E951" s="69">
        <v>40647</v>
      </c>
      <c r="F951" s="65">
        <v>0.63133101851851847</v>
      </c>
      <c r="G951" t="s">
        <v>1346</v>
      </c>
      <c r="H951" t="s">
        <v>1347</v>
      </c>
    </row>
    <row r="952" spans="1:8" s="80" customFormat="1">
      <c r="A952">
        <v>16169301</v>
      </c>
      <c r="B952" t="s">
        <v>1206</v>
      </c>
      <c r="C952" t="s">
        <v>1204</v>
      </c>
      <c r="D952" t="s">
        <v>1205</v>
      </c>
      <c r="E952" s="69">
        <v>40648</v>
      </c>
      <c r="F952" s="65">
        <v>0.63201388888888888</v>
      </c>
      <c r="G952" t="s">
        <v>1346</v>
      </c>
      <c r="H952" t="s">
        <v>1347</v>
      </c>
    </row>
    <row r="953" spans="1:8" s="80" customFormat="1">
      <c r="A953">
        <v>16169301</v>
      </c>
      <c r="B953" t="s">
        <v>1206</v>
      </c>
      <c r="C953" t="s">
        <v>1204</v>
      </c>
      <c r="D953" t="s">
        <v>1205</v>
      </c>
      <c r="E953" s="69">
        <v>40648</v>
      </c>
      <c r="F953" s="65">
        <v>0.29518518518518516</v>
      </c>
      <c r="G953" t="s">
        <v>1344</v>
      </c>
      <c r="H953" t="s">
        <v>1345</v>
      </c>
    </row>
    <row r="954" spans="1:8" s="80" customFormat="1">
      <c r="A954">
        <v>16169301</v>
      </c>
      <c r="B954" t="s">
        <v>1206</v>
      </c>
      <c r="C954" t="s">
        <v>1204</v>
      </c>
      <c r="D954" t="s">
        <v>1205</v>
      </c>
      <c r="E954" s="69">
        <v>40649</v>
      </c>
      <c r="F954" s="65">
        <v>0.29386574074074073</v>
      </c>
      <c r="G954" t="s">
        <v>1344</v>
      </c>
      <c r="H954" t="s">
        <v>1345</v>
      </c>
    </row>
    <row r="955" spans="1:8" s="80" customFormat="1">
      <c r="A955">
        <v>16169301</v>
      </c>
      <c r="B955" t="s">
        <v>1206</v>
      </c>
      <c r="C955" t="s">
        <v>1204</v>
      </c>
      <c r="D955" t="s">
        <v>1205</v>
      </c>
      <c r="E955" s="69">
        <v>40649</v>
      </c>
      <c r="F955" s="65">
        <v>0.63329861111111108</v>
      </c>
      <c r="G955" t="s">
        <v>1346</v>
      </c>
      <c r="H955" t="s">
        <v>1347</v>
      </c>
    </row>
    <row r="956" spans="1:8" s="80" customFormat="1">
      <c r="A956">
        <v>16266817</v>
      </c>
      <c r="B956" t="s">
        <v>793</v>
      </c>
      <c r="C956" t="s">
        <v>791</v>
      </c>
      <c r="D956" t="s">
        <v>792</v>
      </c>
      <c r="E956" s="69">
        <v>40644</v>
      </c>
      <c r="F956" s="65">
        <v>0.30194444444444446</v>
      </c>
      <c r="G956" t="s">
        <v>1344</v>
      </c>
      <c r="H956" t="s">
        <v>1345</v>
      </c>
    </row>
    <row r="957" spans="1:8" s="80" customFormat="1">
      <c r="A957">
        <v>16266817</v>
      </c>
      <c r="B957" t="s">
        <v>793</v>
      </c>
      <c r="C957" t="s">
        <v>791</v>
      </c>
      <c r="D957" t="s">
        <v>792</v>
      </c>
      <c r="E957" s="69">
        <v>40644</v>
      </c>
      <c r="F957" s="65">
        <v>0.72682870370370367</v>
      </c>
      <c r="G957" t="s">
        <v>1346</v>
      </c>
      <c r="H957" t="s">
        <v>1347</v>
      </c>
    </row>
    <row r="958" spans="1:8" s="80" customFormat="1">
      <c r="A958">
        <v>16266817</v>
      </c>
      <c r="B958" t="s">
        <v>793</v>
      </c>
      <c r="C958" t="s">
        <v>791</v>
      </c>
      <c r="D958" t="s">
        <v>792</v>
      </c>
      <c r="E958" s="69">
        <v>40645</v>
      </c>
      <c r="F958" s="65">
        <v>0.30587962962962961</v>
      </c>
      <c r="G958" t="s">
        <v>1344</v>
      </c>
      <c r="H958" t="s">
        <v>1345</v>
      </c>
    </row>
    <row r="959" spans="1:8" s="80" customFormat="1">
      <c r="A959">
        <v>16266817</v>
      </c>
      <c r="B959" t="s">
        <v>793</v>
      </c>
      <c r="C959" t="s">
        <v>791</v>
      </c>
      <c r="D959" t="s">
        <v>792</v>
      </c>
      <c r="E959" s="69">
        <v>40645</v>
      </c>
      <c r="F959" s="65">
        <v>0.71965277777777781</v>
      </c>
      <c r="G959" t="s">
        <v>1346</v>
      </c>
      <c r="H959" t="s">
        <v>1347</v>
      </c>
    </row>
    <row r="960" spans="1:8" s="80" customFormat="1">
      <c r="A960">
        <v>16266817</v>
      </c>
      <c r="B960" t="s">
        <v>793</v>
      </c>
      <c r="C960" t="s">
        <v>791</v>
      </c>
      <c r="D960" t="s">
        <v>792</v>
      </c>
      <c r="E960" s="69">
        <v>40646</v>
      </c>
      <c r="F960" s="65">
        <v>0.30599537037037033</v>
      </c>
      <c r="G960" t="s">
        <v>1344</v>
      </c>
      <c r="H960" t="s">
        <v>1345</v>
      </c>
    </row>
    <row r="961" spans="1:8" s="80" customFormat="1">
      <c r="A961">
        <v>16266817</v>
      </c>
      <c r="B961" t="s">
        <v>793</v>
      </c>
      <c r="C961" t="s">
        <v>791</v>
      </c>
      <c r="D961" t="s">
        <v>792</v>
      </c>
      <c r="E961" s="69">
        <v>40646</v>
      </c>
      <c r="F961" s="65">
        <v>0.65881944444444451</v>
      </c>
      <c r="G961" t="s">
        <v>1346</v>
      </c>
      <c r="H961" t="s">
        <v>1347</v>
      </c>
    </row>
    <row r="962" spans="1:8" s="80" customFormat="1">
      <c r="A962">
        <v>16266817</v>
      </c>
      <c r="B962" t="s">
        <v>793</v>
      </c>
      <c r="C962" t="s">
        <v>791</v>
      </c>
      <c r="D962" t="s">
        <v>792</v>
      </c>
      <c r="E962" s="69">
        <v>40647</v>
      </c>
      <c r="F962" s="65">
        <v>0.30092592592592593</v>
      </c>
      <c r="G962" t="s">
        <v>1344</v>
      </c>
      <c r="H962" t="s">
        <v>1345</v>
      </c>
    </row>
    <row r="963" spans="1:8" s="80" customFormat="1">
      <c r="A963">
        <v>16266817</v>
      </c>
      <c r="B963" t="s">
        <v>793</v>
      </c>
      <c r="C963" t="s">
        <v>791</v>
      </c>
      <c r="D963" t="s">
        <v>792</v>
      </c>
      <c r="E963" s="69">
        <v>40647</v>
      </c>
      <c r="F963" s="65">
        <v>0.72461805555555558</v>
      </c>
      <c r="G963" t="s">
        <v>1346</v>
      </c>
      <c r="H963" t="s">
        <v>1347</v>
      </c>
    </row>
    <row r="964" spans="1:8" s="80" customFormat="1">
      <c r="A964">
        <v>16266817</v>
      </c>
      <c r="B964" t="s">
        <v>793</v>
      </c>
      <c r="C964" t="s">
        <v>791</v>
      </c>
      <c r="D964" t="s">
        <v>792</v>
      </c>
      <c r="E964" s="69">
        <v>40648</v>
      </c>
      <c r="F964" s="65">
        <v>0.31216435185185182</v>
      </c>
      <c r="G964" t="s">
        <v>1344</v>
      </c>
      <c r="H964" t="s">
        <v>1345</v>
      </c>
    </row>
    <row r="965" spans="1:8" s="80" customFormat="1">
      <c r="A965">
        <v>16266817</v>
      </c>
      <c r="B965" t="s">
        <v>793</v>
      </c>
      <c r="C965" t="s">
        <v>791</v>
      </c>
      <c r="D965" t="s">
        <v>792</v>
      </c>
      <c r="E965" s="69">
        <v>40648</v>
      </c>
      <c r="F965" s="65">
        <v>0.71805555555555556</v>
      </c>
      <c r="G965" t="s">
        <v>1346</v>
      </c>
      <c r="H965" t="s">
        <v>1347</v>
      </c>
    </row>
    <row r="966" spans="1:8" s="80" customFormat="1">
      <c r="A966">
        <v>16266817</v>
      </c>
      <c r="B966" t="s">
        <v>793</v>
      </c>
      <c r="C966" t="s">
        <v>791</v>
      </c>
      <c r="D966" t="s">
        <v>792</v>
      </c>
      <c r="E966" s="69">
        <v>40649</v>
      </c>
      <c r="F966" s="65">
        <v>0.63164351851851852</v>
      </c>
      <c r="G966" t="s">
        <v>1346</v>
      </c>
      <c r="H966" t="s">
        <v>1347</v>
      </c>
    </row>
    <row r="967" spans="1:8" s="80" customFormat="1">
      <c r="A967">
        <v>16266817</v>
      </c>
      <c r="B967" t="s">
        <v>793</v>
      </c>
      <c r="C967" t="s">
        <v>791</v>
      </c>
      <c r="D967" t="s">
        <v>792</v>
      </c>
      <c r="E967" s="69">
        <v>40649</v>
      </c>
      <c r="F967" s="65">
        <v>0.31350694444444444</v>
      </c>
      <c r="G967" t="s">
        <v>1344</v>
      </c>
      <c r="H967" t="s">
        <v>1345</v>
      </c>
    </row>
    <row r="968" spans="1:8" s="80" customFormat="1">
      <c r="A968">
        <v>16268829</v>
      </c>
      <c r="B968" t="s">
        <v>1349</v>
      </c>
      <c r="C968" t="s">
        <v>640</v>
      </c>
      <c r="D968" t="s">
        <v>183</v>
      </c>
      <c r="E968" s="69">
        <v>40644</v>
      </c>
      <c r="F968" s="65">
        <v>0.59244212962962961</v>
      </c>
      <c r="G968" t="s">
        <v>1344</v>
      </c>
      <c r="H968" t="s">
        <v>1345</v>
      </c>
    </row>
    <row r="969" spans="1:8" s="80" customFormat="1">
      <c r="A969">
        <v>16268829</v>
      </c>
      <c r="B969" t="s">
        <v>1349</v>
      </c>
      <c r="C969" t="s">
        <v>640</v>
      </c>
      <c r="D969" t="s">
        <v>183</v>
      </c>
      <c r="E969" s="69">
        <v>40644</v>
      </c>
      <c r="F969" s="65">
        <v>0.95020833333333332</v>
      </c>
      <c r="G969" t="s">
        <v>1346</v>
      </c>
      <c r="H969" t="s">
        <v>1347</v>
      </c>
    </row>
    <row r="970" spans="1:8" s="80" customFormat="1">
      <c r="A970">
        <v>16268829</v>
      </c>
      <c r="B970" t="s">
        <v>1349</v>
      </c>
      <c r="C970" t="s">
        <v>640</v>
      </c>
      <c r="D970" t="s">
        <v>183</v>
      </c>
      <c r="E970" s="69">
        <v>40645</v>
      </c>
      <c r="F970" s="65">
        <v>0.60572916666666665</v>
      </c>
      <c r="G970" t="s">
        <v>1344</v>
      </c>
      <c r="H970" t="s">
        <v>1345</v>
      </c>
    </row>
    <row r="971" spans="1:8" s="80" customFormat="1">
      <c r="A971">
        <v>16268829</v>
      </c>
      <c r="B971" t="s">
        <v>1349</v>
      </c>
      <c r="C971" t="s">
        <v>640</v>
      </c>
      <c r="D971" t="s">
        <v>183</v>
      </c>
      <c r="E971" s="69">
        <v>40645</v>
      </c>
      <c r="F971" s="65">
        <v>0.94534722222222223</v>
      </c>
      <c r="G971" t="s">
        <v>1346</v>
      </c>
      <c r="H971" t="s">
        <v>1347</v>
      </c>
    </row>
    <row r="972" spans="1:8" s="80" customFormat="1">
      <c r="A972">
        <v>16268829</v>
      </c>
      <c r="B972" t="s">
        <v>1349</v>
      </c>
      <c r="C972" t="s">
        <v>640</v>
      </c>
      <c r="D972" t="s">
        <v>183</v>
      </c>
      <c r="E972" s="69">
        <v>40646</v>
      </c>
      <c r="F972" s="65">
        <v>0.61223379629629626</v>
      </c>
      <c r="G972" t="s">
        <v>1344</v>
      </c>
      <c r="H972" t="s">
        <v>1345</v>
      </c>
    </row>
    <row r="973" spans="1:8" s="80" customFormat="1">
      <c r="A973">
        <v>16268829</v>
      </c>
      <c r="B973" t="s">
        <v>1349</v>
      </c>
      <c r="C973" t="s">
        <v>640</v>
      </c>
      <c r="D973" t="s">
        <v>183</v>
      </c>
      <c r="E973" s="69">
        <v>40646</v>
      </c>
      <c r="F973" s="65">
        <v>0.94710648148148147</v>
      </c>
      <c r="G973" t="s">
        <v>1346</v>
      </c>
      <c r="H973" t="s">
        <v>1347</v>
      </c>
    </row>
    <row r="974" spans="1:8" s="80" customFormat="1">
      <c r="A974">
        <v>16268829</v>
      </c>
      <c r="B974" t="s">
        <v>1349</v>
      </c>
      <c r="C974" t="s">
        <v>640</v>
      </c>
      <c r="D974" t="s">
        <v>183</v>
      </c>
      <c r="E974" s="69">
        <v>40647</v>
      </c>
      <c r="F974" s="65">
        <v>0.60526620370370365</v>
      </c>
      <c r="G974" t="s">
        <v>1344</v>
      </c>
      <c r="H974" t="s">
        <v>1345</v>
      </c>
    </row>
    <row r="975" spans="1:8" s="80" customFormat="1">
      <c r="A975">
        <v>16268829</v>
      </c>
      <c r="B975" t="s">
        <v>1349</v>
      </c>
      <c r="C975" t="s">
        <v>640</v>
      </c>
      <c r="D975" t="s">
        <v>183</v>
      </c>
      <c r="E975" s="69">
        <v>40647</v>
      </c>
      <c r="F975" s="65">
        <v>0.94826388888888891</v>
      </c>
      <c r="G975" t="s">
        <v>1346</v>
      </c>
      <c r="H975" t="s">
        <v>1347</v>
      </c>
    </row>
    <row r="976" spans="1:8" s="80" customFormat="1">
      <c r="A976">
        <v>16268829</v>
      </c>
      <c r="B976" t="s">
        <v>1349</v>
      </c>
      <c r="C976" t="s">
        <v>640</v>
      </c>
      <c r="D976" t="s">
        <v>183</v>
      </c>
      <c r="E976" s="69">
        <v>40648</v>
      </c>
      <c r="F976" s="65">
        <v>0.64315972222222217</v>
      </c>
      <c r="G976" t="s">
        <v>1344</v>
      </c>
      <c r="H976" t="s">
        <v>1345</v>
      </c>
    </row>
    <row r="977" spans="1:8" s="80" customFormat="1">
      <c r="A977">
        <v>16268829</v>
      </c>
      <c r="B977" t="s">
        <v>1349</v>
      </c>
      <c r="C977" t="s">
        <v>640</v>
      </c>
      <c r="D977" t="s">
        <v>183</v>
      </c>
      <c r="E977" s="69">
        <v>40648</v>
      </c>
      <c r="F977" s="65">
        <v>0.95136574074074076</v>
      </c>
      <c r="G977" t="s">
        <v>1346</v>
      </c>
      <c r="H977" t="s">
        <v>1347</v>
      </c>
    </row>
    <row r="978" spans="1:8" s="80" customFormat="1">
      <c r="A978">
        <v>16268829</v>
      </c>
      <c r="B978" t="s">
        <v>1349</v>
      </c>
      <c r="C978" t="s">
        <v>640</v>
      </c>
      <c r="D978" t="s">
        <v>183</v>
      </c>
      <c r="E978" s="69">
        <v>40649</v>
      </c>
      <c r="F978" s="65">
        <v>0.94298611111111119</v>
      </c>
      <c r="G978" t="s">
        <v>1346</v>
      </c>
      <c r="H978" t="s">
        <v>1347</v>
      </c>
    </row>
    <row r="979" spans="1:8" s="80" customFormat="1">
      <c r="A979">
        <v>16268829</v>
      </c>
      <c r="B979" t="s">
        <v>1349</v>
      </c>
      <c r="C979" t="s">
        <v>640</v>
      </c>
      <c r="D979" t="s">
        <v>183</v>
      </c>
      <c r="E979" s="69">
        <v>40649</v>
      </c>
      <c r="F979" s="65">
        <v>0.60403935185185187</v>
      </c>
      <c r="G979" t="s">
        <v>1344</v>
      </c>
      <c r="H979" t="s">
        <v>1345</v>
      </c>
    </row>
    <row r="980" spans="1:8" s="80" customFormat="1">
      <c r="A980">
        <v>16380050</v>
      </c>
      <c r="B980" t="s">
        <v>1352</v>
      </c>
      <c r="C980" t="s">
        <v>419</v>
      </c>
      <c r="D980" t="s">
        <v>420</v>
      </c>
      <c r="E980" s="69">
        <v>40644</v>
      </c>
      <c r="F980" s="65">
        <v>0.61869212962962961</v>
      </c>
      <c r="G980" t="s">
        <v>1344</v>
      </c>
      <c r="H980" t="s">
        <v>1345</v>
      </c>
    </row>
    <row r="981" spans="1:8" s="80" customFormat="1">
      <c r="A981">
        <v>16380050</v>
      </c>
      <c r="B981" t="s">
        <v>1352</v>
      </c>
      <c r="C981" t="s">
        <v>419</v>
      </c>
      <c r="D981" t="s">
        <v>420</v>
      </c>
      <c r="E981" s="69">
        <v>40644</v>
      </c>
      <c r="F981" s="65">
        <v>0.94054398148148144</v>
      </c>
      <c r="G981" t="s">
        <v>1346</v>
      </c>
      <c r="H981" t="s">
        <v>1347</v>
      </c>
    </row>
    <row r="982" spans="1:8" s="80" customFormat="1">
      <c r="A982">
        <v>16380050</v>
      </c>
      <c r="B982" t="s">
        <v>1352</v>
      </c>
      <c r="C982" t="s">
        <v>419</v>
      </c>
      <c r="D982" t="s">
        <v>420</v>
      </c>
      <c r="E982" s="69">
        <v>40645</v>
      </c>
      <c r="F982" s="65">
        <v>0.6144560185185185</v>
      </c>
      <c r="G982" t="s">
        <v>1344</v>
      </c>
      <c r="H982" t="s">
        <v>1345</v>
      </c>
    </row>
    <row r="983" spans="1:8" s="80" customFormat="1">
      <c r="A983">
        <v>16380050</v>
      </c>
      <c r="B983" t="s">
        <v>1352</v>
      </c>
      <c r="C983" t="s">
        <v>419</v>
      </c>
      <c r="D983" t="s">
        <v>420</v>
      </c>
      <c r="E983" s="69">
        <v>40645</v>
      </c>
      <c r="F983" s="65">
        <v>0.94627314814814811</v>
      </c>
      <c r="G983" t="s">
        <v>1346</v>
      </c>
      <c r="H983" t="s">
        <v>1347</v>
      </c>
    </row>
    <row r="984" spans="1:8" s="80" customFormat="1">
      <c r="A984">
        <v>16380050</v>
      </c>
      <c r="B984" t="s">
        <v>1352</v>
      </c>
      <c r="C984" t="s">
        <v>419</v>
      </c>
      <c r="D984" t="s">
        <v>420</v>
      </c>
      <c r="E984" s="69">
        <v>40646</v>
      </c>
      <c r="F984" s="65">
        <v>0.61228009259259253</v>
      </c>
      <c r="G984" t="s">
        <v>1344</v>
      </c>
      <c r="H984" t="s">
        <v>1345</v>
      </c>
    </row>
    <row r="985" spans="1:8" s="80" customFormat="1">
      <c r="A985">
        <v>16380050</v>
      </c>
      <c r="B985" t="s">
        <v>1352</v>
      </c>
      <c r="C985" t="s">
        <v>419</v>
      </c>
      <c r="D985" t="s">
        <v>420</v>
      </c>
      <c r="E985" s="69">
        <v>40646</v>
      </c>
      <c r="F985" s="65">
        <v>0.94113425925925931</v>
      </c>
      <c r="G985" t="s">
        <v>1346</v>
      </c>
      <c r="H985" t="s">
        <v>1347</v>
      </c>
    </row>
    <row r="986" spans="1:8" s="80" customFormat="1">
      <c r="A986">
        <v>16380050</v>
      </c>
      <c r="B986" t="s">
        <v>1352</v>
      </c>
      <c r="C986" t="s">
        <v>419</v>
      </c>
      <c r="D986" t="s">
        <v>420</v>
      </c>
      <c r="E986" s="69">
        <v>40647</v>
      </c>
      <c r="F986" s="65">
        <v>0.61744212962962963</v>
      </c>
      <c r="G986" t="s">
        <v>1344</v>
      </c>
      <c r="H986" t="s">
        <v>1345</v>
      </c>
    </row>
    <row r="987" spans="1:8" s="80" customFormat="1">
      <c r="A987">
        <v>16380050</v>
      </c>
      <c r="B987" t="s">
        <v>1352</v>
      </c>
      <c r="C987" t="s">
        <v>419</v>
      </c>
      <c r="D987" t="s">
        <v>420</v>
      </c>
      <c r="E987" s="69">
        <v>40647</v>
      </c>
      <c r="F987" s="65">
        <v>0.94459490740740737</v>
      </c>
      <c r="G987" t="s">
        <v>1346</v>
      </c>
      <c r="H987" t="s">
        <v>1347</v>
      </c>
    </row>
    <row r="988" spans="1:8" s="80" customFormat="1">
      <c r="A988">
        <v>16380050</v>
      </c>
      <c r="B988" t="s">
        <v>1352</v>
      </c>
      <c r="C988" t="s">
        <v>419</v>
      </c>
      <c r="D988" t="s">
        <v>420</v>
      </c>
      <c r="E988" s="69">
        <v>40648</v>
      </c>
      <c r="F988" s="65">
        <v>0.61966435185185187</v>
      </c>
      <c r="G988" t="s">
        <v>1344</v>
      </c>
      <c r="H988" t="s">
        <v>1345</v>
      </c>
    </row>
    <row r="989" spans="1:8" s="80" customFormat="1">
      <c r="A989">
        <v>16380050</v>
      </c>
      <c r="B989" t="s">
        <v>1352</v>
      </c>
      <c r="C989" t="s">
        <v>419</v>
      </c>
      <c r="D989" t="s">
        <v>420</v>
      </c>
      <c r="E989" s="69">
        <v>40648</v>
      </c>
      <c r="F989" s="65">
        <v>0.94481481481481477</v>
      </c>
      <c r="G989" t="s">
        <v>1346</v>
      </c>
      <c r="H989" t="s">
        <v>1347</v>
      </c>
    </row>
    <row r="990" spans="1:8" s="80" customFormat="1">
      <c r="A990">
        <v>16380050</v>
      </c>
      <c r="B990" t="s">
        <v>1352</v>
      </c>
      <c r="C990" t="s">
        <v>419</v>
      </c>
      <c r="D990" t="s">
        <v>420</v>
      </c>
      <c r="E990" s="69">
        <v>40649</v>
      </c>
      <c r="F990" s="65">
        <v>0.82162037037037028</v>
      </c>
      <c r="G990" t="s">
        <v>1346</v>
      </c>
      <c r="H990" t="s">
        <v>1347</v>
      </c>
    </row>
    <row r="991" spans="1:8" s="80" customFormat="1">
      <c r="A991">
        <v>16380050</v>
      </c>
      <c r="B991" t="s">
        <v>1352</v>
      </c>
      <c r="C991" t="s">
        <v>419</v>
      </c>
      <c r="D991" t="s">
        <v>420</v>
      </c>
      <c r="E991" s="69">
        <v>40649</v>
      </c>
      <c r="F991" s="65">
        <v>0.49791666666666662</v>
      </c>
      <c r="G991" t="s">
        <v>1344</v>
      </c>
      <c r="H991" t="s">
        <v>1345</v>
      </c>
    </row>
    <row r="992" spans="1:8" s="80" customFormat="1">
      <c r="A992">
        <v>16413939</v>
      </c>
      <c r="B992" t="s">
        <v>1169</v>
      </c>
      <c r="C992" t="s">
        <v>363</v>
      </c>
      <c r="D992" t="s">
        <v>612</v>
      </c>
      <c r="E992" s="69">
        <v>40644</v>
      </c>
      <c r="F992" s="65">
        <v>0.29605324074074074</v>
      </c>
      <c r="G992" t="s">
        <v>1344</v>
      </c>
      <c r="H992" t="s">
        <v>1345</v>
      </c>
    </row>
    <row r="993" spans="1:8" s="80" customFormat="1">
      <c r="A993">
        <v>16413939</v>
      </c>
      <c r="B993" t="s">
        <v>1169</v>
      </c>
      <c r="C993" t="s">
        <v>363</v>
      </c>
      <c r="D993" t="s">
        <v>612</v>
      </c>
      <c r="E993" s="69">
        <v>40644</v>
      </c>
      <c r="F993" s="65">
        <v>0.64082175925925922</v>
      </c>
      <c r="G993" t="s">
        <v>1346</v>
      </c>
      <c r="H993" t="s">
        <v>1347</v>
      </c>
    </row>
    <row r="994" spans="1:8" s="80" customFormat="1">
      <c r="A994">
        <v>16413939</v>
      </c>
      <c r="B994" t="s">
        <v>1169</v>
      </c>
      <c r="C994" t="s">
        <v>363</v>
      </c>
      <c r="D994" t="s">
        <v>612</v>
      </c>
      <c r="E994" s="69">
        <v>40645</v>
      </c>
      <c r="F994" s="65">
        <v>0.29548611111111112</v>
      </c>
      <c r="G994" t="s">
        <v>1344</v>
      </c>
      <c r="H994" t="s">
        <v>1345</v>
      </c>
    </row>
    <row r="995" spans="1:8" s="80" customFormat="1">
      <c r="A995">
        <v>16413939</v>
      </c>
      <c r="B995" t="s">
        <v>1169</v>
      </c>
      <c r="C995" t="s">
        <v>363</v>
      </c>
      <c r="D995" t="s">
        <v>612</v>
      </c>
      <c r="E995" s="69">
        <v>40645</v>
      </c>
      <c r="F995" s="65">
        <v>0.64013888888888892</v>
      </c>
      <c r="G995" t="s">
        <v>1346</v>
      </c>
      <c r="H995" t="s">
        <v>1347</v>
      </c>
    </row>
    <row r="996" spans="1:8" s="80" customFormat="1">
      <c r="A996">
        <v>16413939</v>
      </c>
      <c r="B996" t="s">
        <v>1169</v>
      </c>
      <c r="C996" t="s">
        <v>363</v>
      </c>
      <c r="D996" t="s">
        <v>612</v>
      </c>
      <c r="E996" s="69">
        <v>40646</v>
      </c>
      <c r="F996" s="65">
        <v>0.29228009259259258</v>
      </c>
      <c r="G996" t="s">
        <v>1344</v>
      </c>
      <c r="H996" t="s">
        <v>1345</v>
      </c>
    </row>
    <row r="997" spans="1:8" s="80" customFormat="1">
      <c r="A997">
        <v>16413939</v>
      </c>
      <c r="B997" t="s">
        <v>1169</v>
      </c>
      <c r="C997" t="s">
        <v>363</v>
      </c>
      <c r="D997" t="s">
        <v>612</v>
      </c>
      <c r="E997" s="69">
        <v>40646</v>
      </c>
      <c r="F997" s="65">
        <v>0.63980324074074069</v>
      </c>
      <c r="G997" t="s">
        <v>1346</v>
      </c>
      <c r="H997" t="s">
        <v>1347</v>
      </c>
    </row>
    <row r="998" spans="1:8" s="80" customFormat="1">
      <c r="A998">
        <v>16413939</v>
      </c>
      <c r="B998" t="s">
        <v>1169</v>
      </c>
      <c r="C998" t="s">
        <v>363</v>
      </c>
      <c r="D998" t="s">
        <v>612</v>
      </c>
      <c r="E998" s="69">
        <v>40647</v>
      </c>
      <c r="F998" s="65">
        <v>0.30819444444444444</v>
      </c>
      <c r="G998" t="s">
        <v>1344</v>
      </c>
      <c r="H998" t="s">
        <v>1345</v>
      </c>
    </row>
    <row r="999" spans="1:8" s="80" customFormat="1">
      <c r="A999">
        <v>16413939</v>
      </c>
      <c r="B999" t="s">
        <v>1169</v>
      </c>
      <c r="C999" t="s">
        <v>363</v>
      </c>
      <c r="D999" t="s">
        <v>612</v>
      </c>
      <c r="E999" s="69">
        <v>40647</v>
      </c>
      <c r="F999" s="65">
        <v>0.64706018518518515</v>
      </c>
      <c r="G999" t="s">
        <v>1346</v>
      </c>
      <c r="H999" t="s">
        <v>1347</v>
      </c>
    </row>
    <row r="1000" spans="1:8" s="80" customFormat="1">
      <c r="A1000">
        <v>16413939</v>
      </c>
      <c r="B1000" t="s">
        <v>1169</v>
      </c>
      <c r="C1000" t="s">
        <v>363</v>
      </c>
      <c r="D1000" t="s">
        <v>612</v>
      </c>
      <c r="E1000" s="69">
        <v>40648</v>
      </c>
      <c r="F1000" s="65">
        <v>0.65160879629629631</v>
      </c>
      <c r="G1000" t="s">
        <v>1346</v>
      </c>
      <c r="H1000" t="s">
        <v>1347</v>
      </c>
    </row>
    <row r="1001" spans="1:8" s="80" customFormat="1">
      <c r="A1001">
        <v>16413939</v>
      </c>
      <c r="B1001" t="s">
        <v>1169</v>
      </c>
      <c r="C1001" t="s">
        <v>363</v>
      </c>
      <c r="D1001" t="s">
        <v>612</v>
      </c>
      <c r="E1001" s="69">
        <v>40648</v>
      </c>
      <c r="F1001" s="65">
        <v>0.29006944444444444</v>
      </c>
      <c r="G1001" t="s">
        <v>1344</v>
      </c>
      <c r="H1001" t="s">
        <v>1345</v>
      </c>
    </row>
    <row r="1002" spans="1:8" s="80" customFormat="1">
      <c r="A1002">
        <v>16413939</v>
      </c>
      <c r="B1002" t="s">
        <v>1169</v>
      </c>
      <c r="C1002" t="s">
        <v>363</v>
      </c>
      <c r="D1002" t="s">
        <v>612</v>
      </c>
      <c r="E1002" s="69">
        <v>40649</v>
      </c>
      <c r="F1002" s="65">
        <v>0.35575231481481479</v>
      </c>
      <c r="G1002" t="s">
        <v>1344</v>
      </c>
      <c r="H1002" t="s">
        <v>1345</v>
      </c>
    </row>
    <row r="1003" spans="1:8" s="80" customFormat="1">
      <c r="A1003">
        <v>16413939</v>
      </c>
      <c r="B1003" t="s">
        <v>1169</v>
      </c>
      <c r="C1003" t="s">
        <v>363</v>
      </c>
      <c r="D1003" t="s">
        <v>612</v>
      </c>
      <c r="E1003" s="69">
        <v>40649</v>
      </c>
      <c r="F1003" s="65">
        <v>0.64021990740740742</v>
      </c>
      <c r="G1003" t="s">
        <v>1346</v>
      </c>
      <c r="H1003" t="s">
        <v>1347</v>
      </c>
    </row>
    <row r="1004" spans="1:8" s="80" customFormat="1">
      <c r="A1004">
        <v>16441340</v>
      </c>
      <c r="B1004" t="s">
        <v>190</v>
      </c>
      <c r="C1004" t="s">
        <v>188</v>
      </c>
      <c r="D1004" t="s">
        <v>189</v>
      </c>
      <c r="E1004" s="69">
        <v>40644</v>
      </c>
      <c r="F1004" s="65">
        <v>0.31903935185185184</v>
      </c>
      <c r="G1004" t="s">
        <v>1344</v>
      </c>
      <c r="H1004" t="s">
        <v>1345</v>
      </c>
    </row>
    <row r="1005" spans="1:8" s="80" customFormat="1">
      <c r="A1005">
        <v>16441340</v>
      </c>
      <c r="B1005" t="s">
        <v>190</v>
      </c>
      <c r="C1005" t="s">
        <v>188</v>
      </c>
      <c r="D1005" t="s">
        <v>189</v>
      </c>
      <c r="E1005" s="69">
        <v>40644</v>
      </c>
      <c r="F1005" s="65">
        <v>0.62644675925925919</v>
      </c>
      <c r="G1005" t="s">
        <v>1346</v>
      </c>
      <c r="H1005" t="s">
        <v>1347</v>
      </c>
    </row>
    <row r="1006" spans="1:8" s="80" customFormat="1">
      <c r="A1006">
        <v>16441340</v>
      </c>
      <c r="B1006" t="s">
        <v>190</v>
      </c>
      <c r="C1006" t="s">
        <v>188</v>
      </c>
      <c r="D1006" t="s">
        <v>189</v>
      </c>
      <c r="E1006" s="69">
        <v>40645</v>
      </c>
      <c r="F1006" s="65">
        <v>0.30959490740740742</v>
      </c>
      <c r="G1006" t="s">
        <v>1344</v>
      </c>
      <c r="H1006" t="s">
        <v>1345</v>
      </c>
    </row>
    <row r="1007" spans="1:8" s="80" customFormat="1">
      <c r="A1007">
        <v>16441340</v>
      </c>
      <c r="B1007" t="s">
        <v>190</v>
      </c>
      <c r="C1007" t="s">
        <v>188</v>
      </c>
      <c r="D1007" t="s">
        <v>189</v>
      </c>
      <c r="E1007" s="69">
        <v>40645</v>
      </c>
      <c r="F1007" s="65">
        <v>0.62511574074074072</v>
      </c>
      <c r="G1007" t="s">
        <v>1346</v>
      </c>
      <c r="H1007" t="s">
        <v>1347</v>
      </c>
    </row>
    <row r="1008" spans="1:8" s="80" customFormat="1">
      <c r="A1008">
        <v>16441340</v>
      </c>
      <c r="B1008" t="s">
        <v>190</v>
      </c>
      <c r="C1008" t="s">
        <v>188</v>
      </c>
      <c r="D1008" t="s">
        <v>189</v>
      </c>
      <c r="E1008" s="69">
        <v>40646</v>
      </c>
      <c r="F1008" s="65">
        <v>0.31618055555555552</v>
      </c>
      <c r="G1008" t="s">
        <v>1344</v>
      </c>
      <c r="H1008" t="s">
        <v>1345</v>
      </c>
    </row>
    <row r="1009" spans="1:8" s="80" customFormat="1">
      <c r="A1009">
        <v>16441340</v>
      </c>
      <c r="B1009" t="s">
        <v>190</v>
      </c>
      <c r="C1009" t="s">
        <v>188</v>
      </c>
      <c r="D1009" t="s">
        <v>189</v>
      </c>
      <c r="E1009" s="69">
        <v>40646</v>
      </c>
      <c r="F1009" s="65">
        <v>0.63962962962962966</v>
      </c>
      <c r="G1009" t="s">
        <v>1346</v>
      </c>
      <c r="H1009" t="s">
        <v>1347</v>
      </c>
    </row>
    <row r="1010" spans="1:8" s="80" customFormat="1">
      <c r="A1010">
        <v>16441340</v>
      </c>
      <c r="B1010" t="s">
        <v>190</v>
      </c>
      <c r="C1010" t="s">
        <v>188</v>
      </c>
      <c r="D1010" t="s">
        <v>189</v>
      </c>
      <c r="E1010" s="69">
        <v>40647</v>
      </c>
      <c r="F1010" s="65">
        <v>0.31724537037037037</v>
      </c>
      <c r="G1010" t="s">
        <v>1344</v>
      </c>
      <c r="H1010" t="s">
        <v>1345</v>
      </c>
    </row>
    <row r="1011" spans="1:8" s="80" customFormat="1">
      <c r="A1011">
        <v>16441340</v>
      </c>
      <c r="B1011" t="s">
        <v>190</v>
      </c>
      <c r="C1011" t="s">
        <v>188</v>
      </c>
      <c r="D1011" t="s">
        <v>189</v>
      </c>
      <c r="E1011" s="69">
        <v>40647</v>
      </c>
      <c r="F1011" s="65">
        <v>0.62822916666666673</v>
      </c>
      <c r="G1011" t="s">
        <v>1346</v>
      </c>
      <c r="H1011" t="s">
        <v>1347</v>
      </c>
    </row>
    <row r="1012" spans="1:8" s="80" customFormat="1">
      <c r="A1012">
        <v>16441340</v>
      </c>
      <c r="B1012" t="s">
        <v>190</v>
      </c>
      <c r="C1012" t="s">
        <v>188</v>
      </c>
      <c r="D1012" t="s">
        <v>189</v>
      </c>
      <c r="E1012" s="69">
        <v>40648</v>
      </c>
      <c r="F1012" s="65">
        <v>0.62652777777777779</v>
      </c>
      <c r="G1012" t="s">
        <v>1346</v>
      </c>
      <c r="H1012" t="s">
        <v>1347</v>
      </c>
    </row>
    <row r="1013" spans="1:8" s="80" customFormat="1">
      <c r="A1013">
        <v>16441340</v>
      </c>
      <c r="B1013" t="s">
        <v>190</v>
      </c>
      <c r="C1013" t="s">
        <v>188</v>
      </c>
      <c r="D1013" t="s">
        <v>189</v>
      </c>
      <c r="E1013" s="69">
        <v>40648</v>
      </c>
      <c r="F1013" s="65">
        <v>0.31767361111111109</v>
      </c>
      <c r="G1013" t="s">
        <v>1344</v>
      </c>
      <c r="H1013" t="s">
        <v>1345</v>
      </c>
    </row>
    <row r="1014" spans="1:8" s="80" customFormat="1">
      <c r="A1014">
        <v>16441340</v>
      </c>
      <c r="B1014" t="s">
        <v>190</v>
      </c>
      <c r="C1014" t="s">
        <v>188</v>
      </c>
      <c r="D1014" t="s">
        <v>189</v>
      </c>
      <c r="E1014" s="69">
        <v>40649</v>
      </c>
      <c r="F1014" s="65">
        <v>0.31440972222222224</v>
      </c>
      <c r="G1014" t="s">
        <v>1344</v>
      </c>
      <c r="H1014" t="s">
        <v>1345</v>
      </c>
    </row>
    <row r="1015" spans="1:8" s="80" customFormat="1">
      <c r="A1015">
        <v>16441340</v>
      </c>
      <c r="B1015" t="s">
        <v>190</v>
      </c>
      <c r="C1015" t="s">
        <v>188</v>
      </c>
      <c r="D1015" t="s">
        <v>189</v>
      </c>
      <c r="E1015" s="69">
        <v>40649</v>
      </c>
      <c r="F1015" s="65">
        <v>0.62703703703703706</v>
      </c>
      <c r="G1015" t="s">
        <v>1346</v>
      </c>
      <c r="H1015" t="s">
        <v>1347</v>
      </c>
    </row>
    <row r="1016" spans="1:8" s="80" customFormat="1">
      <c r="A1016">
        <v>16649200</v>
      </c>
      <c r="B1016" t="s">
        <v>1190</v>
      </c>
      <c r="C1016" t="s">
        <v>28</v>
      </c>
      <c r="D1016" t="s">
        <v>706</v>
      </c>
      <c r="E1016" s="69">
        <v>40644</v>
      </c>
      <c r="F1016" s="65">
        <v>0.29599537037037038</v>
      </c>
      <c r="G1016" t="s">
        <v>1344</v>
      </c>
      <c r="H1016" t="s">
        <v>1345</v>
      </c>
    </row>
    <row r="1017" spans="1:8" s="80" customFormat="1">
      <c r="A1017">
        <v>16649200</v>
      </c>
      <c r="B1017" t="s">
        <v>1190</v>
      </c>
      <c r="C1017" t="s">
        <v>28</v>
      </c>
      <c r="D1017" t="s">
        <v>706</v>
      </c>
      <c r="E1017" s="69">
        <v>40644</v>
      </c>
      <c r="F1017" s="65">
        <v>0.63539351851851855</v>
      </c>
      <c r="G1017" t="s">
        <v>1346</v>
      </c>
      <c r="H1017" t="s">
        <v>1347</v>
      </c>
    </row>
    <row r="1018" spans="1:8" s="80" customFormat="1">
      <c r="A1018">
        <v>16649200</v>
      </c>
      <c r="B1018" t="s">
        <v>1190</v>
      </c>
      <c r="C1018" t="s">
        <v>28</v>
      </c>
      <c r="D1018" t="s">
        <v>706</v>
      </c>
      <c r="E1018" s="69">
        <v>40645</v>
      </c>
      <c r="F1018" s="65">
        <v>0.3082523148148148</v>
      </c>
      <c r="G1018" t="s">
        <v>1344</v>
      </c>
      <c r="H1018" t="s">
        <v>1345</v>
      </c>
    </row>
    <row r="1019" spans="1:8" s="80" customFormat="1">
      <c r="A1019">
        <v>16649200</v>
      </c>
      <c r="B1019" t="s">
        <v>1190</v>
      </c>
      <c r="C1019" t="s">
        <v>28</v>
      </c>
      <c r="D1019" t="s">
        <v>706</v>
      </c>
      <c r="E1019" s="69">
        <v>40645</v>
      </c>
      <c r="F1019" s="65">
        <v>0.63694444444444442</v>
      </c>
      <c r="G1019" t="s">
        <v>1346</v>
      </c>
      <c r="H1019" t="s">
        <v>1347</v>
      </c>
    </row>
    <row r="1020" spans="1:8" s="80" customFormat="1">
      <c r="A1020">
        <v>16649200</v>
      </c>
      <c r="B1020" t="s">
        <v>1190</v>
      </c>
      <c r="C1020" t="s">
        <v>28</v>
      </c>
      <c r="D1020" t="s">
        <v>706</v>
      </c>
      <c r="E1020" s="69">
        <v>40646</v>
      </c>
      <c r="F1020" s="65">
        <v>0.29530092592592594</v>
      </c>
      <c r="G1020" t="s">
        <v>1344</v>
      </c>
      <c r="H1020" t="s">
        <v>1345</v>
      </c>
    </row>
    <row r="1021" spans="1:8" s="80" customFormat="1">
      <c r="A1021">
        <v>16649200</v>
      </c>
      <c r="B1021" t="s">
        <v>1190</v>
      </c>
      <c r="C1021" t="s">
        <v>28</v>
      </c>
      <c r="D1021" t="s">
        <v>706</v>
      </c>
      <c r="E1021" s="69">
        <v>40646</v>
      </c>
      <c r="F1021" s="65">
        <v>0.63708333333333333</v>
      </c>
      <c r="G1021" t="s">
        <v>1346</v>
      </c>
      <c r="H1021" t="s">
        <v>1347</v>
      </c>
    </row>
    <row r="1022" spans="1:8" s="80" customFormat="1">
      <c r="A1022">
        <v>16649200</v>
      </c>
      <c r="B1022" t="s">
        <v>1190</v>
      </c>
      <c r="C1022" t="s">
        <v>28</v>
      </c>
      <c r="D1022" t="s">
        <v>706</v>
      </c>
      <c r="E1022" s="69">
        <v>40647</v>
      </c>
      <c r="F1022" s="65">
        <v>0.63574074074074072</v>
      </c>
      <c r="G1022" t="s">
        <v>1346</v>
      </c>
      <c r="H1022" t="s">
        <v>1347</v>
      </c>
    </row>
    <row r="1023" spans="1:8" s="80" customFormat="1">
      <c r="A1023">
        <v>16649200</v>
      </c>
      <c r="B1023" t="s">
        <v>1190</v>
      </c>
      <c r="C1023" t="s">
        <v>28</v>
      </c>
      <c r="D1023" t="s">
        <v>706</v>
      </c>
      <c r="E1023" s="69">
        <v>40647</v>
      </c>
      <c r="F1023" s="65">
        <v>0.29317129629629629</v>
      </c>
      <c r="G1023" t="s">
        <v>1344</v>
      </c>
      <c r="H1023" t="s">
        <v>1345</v>
      </c>
    </row>
    <row r="1024" spans="1:8" s="80" customFormat="1">
      <c r="A1024">
        <v>16649200</v>
      </c>
      <c r="B1024" t="s">
        <v>1190</v>
      </c>
      <c r="C1024" t="s">
        <v>28</v>
      </c>
      <c r="D1024" t="s">
        <v>706</v>
      </c>
      <c r="E1024" s="69">
        <v>40648</v>
      </c>
      <c r="F1024" s="65">
        <v>0.29572916666666665</v>
      </c>
      <c r="G1024" t="s">
        <v>1344</v>
      </c>
      <c r="H1024" t="s">
        <v>1345</v>
      </c>
    </row>
    <row r="1025" spans="1:8" s="80" customFormat="1">
      <c r="A1025">
        <v>16649200</v>
      </c>
      <c r="B1025" t="s">
        <v>1190</v>
      </c>
      <c r="C1025" t="s">
        <v>28</v>
      </c>
      <c r="D1025" t="s">
        <v>706</v>
      </c>
      <c r="E1025" s="69">
        <v>40648</v>
      </c>
      <c r="F1025" s="65">
        <v>0.63304398148148155</v>
      </c>
      <c r="G1025" t="s">
        <v>1346</v>
      </c>
      <c r="H1025" t="s">
        <v>1347</v>
      </c>
    </row>
    <row r="1026" spans="1:8" s="80" customFormat="1">
      <c r="A1026">
        <v>16691386</v>
      </c>
      <c r="B1026" t="s">
        <v>999</v>
      </c>
      <c r="C1026" t="s">
        <v>613</v>
      </c>
      <c r="D1026" t="s">
        <v>998</v>
      </c>
      <c r="E1026" s="69">
        <v>40644</v>
      </c>
      <c r="F1026" s="65">
        <v>0.29619212962962965</v>
      </c>
      <c r="G1026" t="s">
        <v>1344</v>
      </c>
      <c r="H1026" t="s">
        <v>1345</v>
      </c>
    </row>
    <row r="1027" spans="1:8" s="80" customFormat="1">
      <c r="A1027">
        <v>16691386</v>
      </c>
      <c r="B1027" t="s">
        <v>999</v>
      </c>
      <c r="C1027" t="s">
        <v>613</v>
      </c>
      <c r="D1027" t="s">
        <v>998</v>
      </c>
      <c r="E1027" s="69">
        <v>40644</v>
      </c>
      <c r="F1027" s="65">
        <v>0.63236111111111104</v>
      </c>
      <c r="G1027" t="s">
        <v>1346</v>
      </c>
      <c r="H1027" t="s">
        <v>1347</v>
      </c>
    </row>
    <row r="1028" spans="1:8" s="80" customFormat="1">
      <c r="A1028">
        <v>16691386</v>
      </c>
      <c r="B1028" t="s">
        <v>999</v>
      </c>
      <c r="C1028" t="s">
        <v>613</v>
      </c>
      <c r="D1028" t="s">
        <v>998</v>
      </c>
      <c r="E1028" s="69">
        <v>40645</v>
      </c>
      <c r="F1028" s="65">
        <v>0.29084490740740737</v>
      </c>
      <c r="G1028" t="s">
        <v>1344</v>
      </c>
      <c r="H1028" t="s">
        <v>1345</v>
      </c>
    </row>
    <row r="1029" spans="1:8" s="80" customFormat="1">
      <c r="A1029">
        <v>16691386</v>
      </c>
      <c r="B1029" t="s">
        <v>999</v>
      </c>
      <c r="C1029" t="s">
        <v>613</v>
      </c>
      <c r="D1029" t="s">
        <v>998</v>
      </c>
      <c r="E1029" s="69">
        <v>40645</v>
      </c>
      <c r="F1029" s="65">
        <v>0.63239583333333338</v>
      </c>
      <c r="G1029" t="s">
        <v>1346</v>
      </c>
      <c r="H1029" t="s">
        <v>1347</v>
      </c>
    </row>
    <row r="1030" spans="1:8" s="80" customFormat="1">
      <c r="A1030">
        <v>16691386</v>
      </c>
      <c r="B1030" t="s">
        <v>999</v>
      </c>
      <c r="C1030" t="s">
        <v>613</v>
      </c>
      <c r="D1030" t="s">
        <v>998</v>
      </c>
      <c r="E1030" s="69">
        <v>40646</v>
      </c>
      <c r="F1030" s="65">
        <v>0.28917824074074078</v>
      </c>
      <c r="G1030" t="s">
        <v>1344</v>
      </c>
      <c r="H1030" t="s">
        <v>1345</v>
      </c>
    </row>
    <row r="1031" spans="1:8" s="80" customFormat="1">
      <c r="A1031">
        <v>16691386</v>
      </c>
      <c r="B1031" t="s">
        <v>999</v>
      </c>
      <c r="C1031" t="s">
        <v>613</v>
      </c>
      <c r="D1031" t="s">
        <v>998</v>
      </c>
      <c r="E1031" s="69">
        <v>40646</v>
      </c>
      <c r="F1031" s="65">
        <v>0.63270833333333332</v>
      </c>
      <c r="G1031" t="s">
        <v>1346</v>
      </c>
      <c r="H1031" t="s">
        <v>1347</v>
      </c>
    </row>
    <row r="1032" spans="1:8" s="80" customFormat="1">
      <c r="A1032">
        <v>16691386</v>
      </c>
      <c r="B1032" t="s">
        <v>999</v>
      </c>
      <c r="C1032" t="s">
        <v>613</v>
      </c>
      <c r="D1032" t="s">
        <v>998</v>
      </c>
      <c r="E1032" s="69">
        <v>40647</v>
      </c>
      <c r="F1032" s="65">
        <v>0.299375</v>
      </c>
      <c r="G1032" t="s">
        <v>1344</v>
      </c>
      <c r="H1032" t="s">
        <v>1345</v>
      </c>
    </row>
    <row r="1033" spans="1:8" s="80" customFormat="1">
      <c r="A1033">
        <v>16691386</v>
      </c>
      <c r="B1033" t="s">
        <v>999</v>
      </c>
      <c r="C1033" t="s">
        <v>613</v>
      </c>
      <c r="D1033" t="s">
        <v>998</v>
      </c>
      <c r="E1033" s="69">
        <v>40647</v>
      </c>
      <c r="F1033" s="65">
        <v>0.63214120370370364</v>
      </c>
      <c r="G1033" t="s">
        <v>1346</v>
      </c>
      <c r="H1033" t="s">
        <v>1347</v>
      </c>
    </row>
    <row r="1034" spans="1:8" s="80" customFormat="1">
      <c r="A1034">
        <v>16691386</v>
      </c>
      <c r="B1034" t="s">
        <v>999</v>
      </c>
      <c r="C1034" t="s">
        <v>613</v>
      </c>
      <c r="D1034" t="s">
        <v>998</v>
      </c>
      <c r="E1034" s="69">
        <v>40648</v>
      </c>
      <c r="F1034" s="65">
        <v>0.63254629629629633</v>
      </c>
      <c r="G1034" t="s">
        <v>1346</v>
      </c>
      <c r="H1034" t="s">
        <v>1347</v>
      </c>
    </row>
    <row r="1035" spans="1:8" s="80" customFormat="1">
      <c r="A1035">
        <v>16691386</v>
      </c>
      <c r="B1035" t="s">
        <v>999</v>
      </c>
      <c r="C1035" t="s">
        <v>613</v>
      </c>
      <c r="D1035" t="s">
        <v>998</v>
      </c>
      <c r="E1035" s="69">
        <v>40648</v>
      </c>
      <c r="F1035" s="65">
        <v>0.29365740740740742</v>
      </c>
      <c r="G1035" t="s">
        <v>1344</v>
      </c>
      <c r="H1035" t="s">
        <v>1345</v>
      </c>
    </row>
    <row r="1036" spans="1:8" s="80" customFormat="1">
      <c r="A1036">
        <v>16691386</v>
      </c>
      <c r="B1036" t="s">
        <v>999</v>
      </c>
      <c r="C1036" t="s">
        <v>613</v>
      </c>
      <c r="D1036" t="s">
        <v>998</v>
      </c>
      <c r="E1036" s="69">
        <v>40650</v>
      </c>
      <c r="F1036" s="65">
        <v>0.99840277777777775</v>
      </c>
      <c r="G1036" t="s">
        <v>1344</v>
      </c>
      <c r="H1036" t="s">
        <v>1345</v>
      </c>
    </row>
    <row r="1037" spans="1:8" s="80" customFormat="1">
      <c r="A1037">
        <v>16697450</v>
      </c>
      <c r="B1037" t="s">
        <v>879</v>
      </c>
      <c r="C1037" t="s">
        <v>80</v>
      </c>
      <c r="D1037" t="s">
        <v>363</v>
      </c>
      <c r="E1037" s="69">
        <v>40644</v>
      </c>
      <c r="F1037" s="65">
        <v>0.62024305555555559</v>
      </c>
      <c r="G1037" t="s">
        <v>1344</v>
      </c>
      <c r="H1037" t="s">
        <v>1345</v>
      </c>
    </row>
    <row r="1038" spans="1:8" s="80" customFormat="1">
      <c r="A1038">
        <v>16697450</v>
      </c>
      <c r="B1038" t="s">
        <v>879</v>
      </c>
      <c r="C1038" t="s">
        <v>80</v>
      </c>
      <c r="D1038" t="s">
        <v>363</v>
      </c>
      <c r="E1038" s="69">
        <v>40644</v>
      </c>
      <c r="F1038" s="65">
        <v>0.94037037037037041</v>
      </c>
      <c r="G1038" t="s">
        <v>1346</v>
      </c>
      <c r="H1038" t="s">
        <v>1347</v>
      </c>
    </row>
    <row r="1039" spans="1:8" s="80" customFormat="1">
      <c r="A1039">
        <v>16697450</v>
      </c>
      <c r="B1039" t="s">
        <v>879</v>
      </c>
      <c r="C1039" t="s">
        <v>80</v>
      </c>
      <c r="D1039" t="s">
        <v>363</v>
      </c>
      <c r="E1039" s="69">
        <v>40645</v>
      </c>
      <c r="F1039" s="65">
        <v>0.61870370370370364</v>
      </c>
      <c r="G1039" t="s">
        <v>1344</v>
      </c>
      <c r="H1039" t="s">
        <v>1345</v>
      </c>
    </row>
    <row r="1040" spans="1:8" s="80" customFormat="1">
      <c r="A1040">
        <v>16697450</v>
      </c>
      <c r="B1040" t="s">
        <v>879</v>
      </c>
      <c r="C1040" t="s">
        <v>80</v>
      </c>
      <c r="D1040" t="s">
        <v>363</v>
      </c>
      <c r="E1040" s="69">
        <v>40645</v>
      </c>
      <c r="F1040" s="65">
        <v>0.94675925925925919</v>
      </c>
      <c r="G1040" t="s">
        <v>1346</v>
      </c>
      <c r="H1040" t="s">
        <v>1347</v>
      </c>
    </row>
    <row r="1041" spans="1:8" s="80" customFormat="1">
      <c r="A1041">
        <v>16697450</v>
      </c>
      <c r="B1041" t="s">
        <v>879</v>
      </c>
      <c r="C1041" t="s">
        <v>80</v>
      </c>
      <c r="D1041" t="s">
        <v>363</v>
      </c>
      <c r="E1041" s="69">
        <v>40646</v>
      </c>
      <c r="F1041" s="65">
        <v>0.6165046296296296</v>
      </c>
      <c r="G1041" t="s">
        <v>1344</v>
      </c>
      <c r="H1041" t="s">
        <v>1345</v>
      </c>
    </row>
    <row r="1042" spans="1:8" s="80" customFormat="1">
      <c r="A1042">
        <v>16697450</v>
      </c>
      <c r="B1042" t="s">
        <v>879</v>
      </c>
      <c r="C1042" t="s">
        <v>80</v>
      </c>
      <c r="D1042" t="s">
        <v>363</v>
      </c>
      <c r="E1042" s="69">
        <v>40646</v>
      </c>
      <c r="F1042" s="65">
        <v>0.94405092592592599</v>
      </c>
      <c r="G1042" t="s">
        <v>1346</v>
      </c>
      <c r="H1042" t="s">
        <v>1347</v>
      </c>
    </row>
    <row r="1043" spans="1:8" s="80" customFormat="1">
      <c r="A1043">
        <v>16697450</v>
      </c>
      <c r="B1043" t="s">
        <v>879</v>
      </c>
      <c r="C1043" t="s">
        <v>80</v>
      </c>
      <c r="D1043" t="s">
        <v>363</v>
      </c>
      <c r="E1043" s="69">
        <v>40647</v>
      </c>
      <c r="F1043" s="65">
        <v>0.62523148148148155</v>
      </c>
      <c r="G1043" t="s">
        <v>1344</v>
      </c>
      <c r="H1043" t="s">
        <v>1345</v>
      </c>
    </row>
    <row r="1044" spans="1:8" s="80" customFormat="1">
      <c r="A1044">
        <v>16697450</v>
      </c>
      <c r="B1044" t="s">
        <v>879</v>
      </c>
      <c r="C1044" t="s">
        <v>80</v>
      </c>
      <c r="D1044" t="s">
        <v>363</v>
      </c>
      <c r="E1044" s="69">
        <v>40647</v>
      </c>
      <c r="F1044" s="65">
        <v>0.94763888888888881</v>
      </c>
      <c r="G1044" t="s">
        <v>1346</v>
      </c>
      <c r="H1044" t="s">
        <v>1347</v>
      </c>
    </row>
    <row r="1045" spans="1:8" s="80" customFormat="1">
      <c r="A1045">
        <v>16697450</v>
      </c>
      <c r="B1045" t="s">
        <v>879</v>
      </c>
      <c r="C1045" t="s">
        <v>80</v>
      </c>
      <c r="D1045" t="s">
        <v>363</v>
      </c>
      <c r="E1045" s="69">
        <v>40648</v>
      </c>
      <c r="F1045" s="65">
        <v>0.62320601851851853</v>
      </c>
      <c r="G1045" t="s">
        <v>1344</v>
      </c>
      <c r="H1045" t="s">
        <v>1345</v>
      </c>
    </row>
    <row r="1046" spans="1:8" s="80" customFormat="1">
      <c r="A1046">
        <v>16697450</v>
      </c>
      <c r="B1046" t="s">
        <v>879</v>
      </c>
      <c r="C1046" t="s">
        <v>80</v>
      </c>
      <c r="D1046" t="s">
        <v>363</v>
      </c>
      <c r="E1046" s="69">
        <v>40648</v>
      </c>
      <c r="F1046" s="65">
        <v>0.94552083333333325</v>
      </c>
      <c r="G1046" t="s">
        <v>1346</v>
      </c>
      <c r="H1046" t="s">
        <v>1347</v>
      </c>
    </row>
    <row r="1047" spans="1:8" s="80" customFormat="1">
      <c r="A1047">
        <v>16697450</v>
      </c>
      <c r="B1047" t="s">
        <v>879</v>
      </c>
      <c r="C1047" t="s">
        <v>80</v>
      </c>
      <c r="D1047" t="s">
        <v>363</v>
      </c>
      <c r="E1047" s="69">
        <v>40649</v>
      </c>
      <c r="F1047" s="65">
        <v>0.9223958333333333</v>
      </c>
      <c r="G1047" t="s">
        <v>1346</v>
      </c>
      <c r="H1047" t="s">
        <v>1347</v>
      </c>
    </row>
    <row r="1048" spans="1:8" s="80" customFormat="1">
      <c r="A1048">
        <v>16697450</v>
      </c>
      <c r="B1048" t="s">
        <v>879</v>
      </c>
      <c r="C1048" t="s">
        <v>80</v>
      </c>
      <c r="D1048" t="s">
        <v>363</v>
      </c>
      <c r="E1048" s="69">
        <v>40649</v>
      </c>
      <c r="F1048" s="65">
        <v>0.62219907407407404</v>
      </c>
      <c r="G1048" t="s">
        <v>1344</v>
      </c>
      <c r="H1048" t="s">
        <v>1345</v>
      </c>
    </row>
    <row r="1049" spans="1:8" s="80" customFormat="1">
      <c r="A1049">
        <v>17002272</v>
      </c>
      <c r="B1049" t="s">
        <v>445</v>
      </c>
      <c r="C1049" t="s">
        <v>444</v>
      </c>
      <c r="D1049" t="s">
        <v>37</v>
      </c>
      <c r="E1049" s="69">
        <v>40644</v>
      </c>
      <c r="F1049" s="65">
        <v>0.9387847222222222</v>
      </c>
      <c r="G1049" t="s">
        <v>1344</v>
      </c>
      <c r="H1049" t="s">
        <v>1345</v>
      </c>
    </row>
    <row r="1050" spans="1:8" s="80" customFormat="1">
      <c r="A1050">
        <v>17002272</v>
      </c>
      <c r="B1050" t="s">
        <v>445</v>
      </c>
      <c r="C1050" t="s">
        <v>444</v>
      </c>
      <c r="D1050" t="s">
        <v>37</v>
      </c>
      <c r="E1050" s="69">
        <v>40645</v>
      </c>
      <c r="F1050" s="65">
        <v>0.3208449074074074</v>
      </c>
      <c r="G1050" t="s">
        <v>1346</v>
      </c>
      <c r="H1050" t="s">
        <v>1347</v>
      </c>
    </row>
    <row r="1051" spans="1:8" s="80" customFormat="1">
      <c r="A1051">
        <v>17002272</v>
      </c>
      <c r="B1051" t="s">
        <v>445</v>
      </c>
      <c r="C1051" t="s">
        <v>444</v>
      </c>
      <c r="D1051" t="s">
        <v>37</v>
      </c>
      <c r="E1051" s="69">
        <v>40645</v>
      </c>
      <c r="F1051" s="65">
        <v>0.93059027777777781</v>
      </c>
      <c r="G1051" t="s">
        <v>1344</v>
      </c>
      <c r="H1051" t="s">
        <v>1345</v>
      </c>
    </row>
    <row r="1052" spans="1:8" s="80" customFormat="1">
      <c r="A1052">
        <v>17002272</v>
      </c>
      <c r="B1052" t="s">
        <v>445</v>
      </c>
      <c r="C1052" t="s">
        <v>444</v>
      </c>
      <c r="D1052" t="s">
        <v>37</v>
      </c>
      <c r="E1052" s="69">
        <v>40646</v>
      </c>
      <c r="F1052" s="65">
        <v>0.32973379629629629</v>
      </c>
      <c r="G1052" t="s">
        <v>1346</v>
      </c>
      <c r="H1052" t="s">
        <v>1347</v>
      </c>
    </row>
    <row r="1053" spans="1:8" s="80" customFormat="1">
      <c r="A1053">
        <v>17002272</v>
      </c>
      <c r="B1053" t="s">
        <v>445</v>
      </c>
      <c r="C1053" t="s">
        <v>444</v>
      </c>
      <c r="D1053" t="s">
        <v>37</v>
      </c>
      <c r="E1053" s="69">
        <v>40646</v>
      </c>
      <c r="F1053" s="65">
        <v>0.92776620370370377</v>
      </c>
      <c r="G1053" t="s">
        <v>1344</v>
      </c>
      <c r="H1053" t="s">
        <v>1345</v>
      </c>
    </row>
    <row r="1054" spans="1:8" s="80" customFormat="1">
      <c r="A1054">
        <v>17002272</v>
      </c>
      <c r="B1054" t="s">
        <v>445</v>
      </c>
      <c r="C1054" t="s">
        <v>444</v>
      </c>
      <c r="D1054" t="s">
        <v>37</v>
      </c>
      <c r="E1054" s="69">
        <v>40647</v>
      </c>
      <c r="F1054" s="65">
        <v>0.32793981481481482</v>
      </c>
      <c r="G1054" t="s">
        <v>1346</v>
      </c>
      <c r="H1054" t="s">
        <v>1347</v>
      </c>
    </row>
    <row r="1055" spans="1:8" s="80" customFormat="1">
      <c r="A1055">
        <v>17002272</v>
      </c>
      <c r="B1055" t="s">
        <v>445</v>
      </c>
      <c r="C1055" t="s">
        <v>444</v>
      </c>
      <c r="D1055" t="s">
        <v>37</v>
      </c>
      <c r="E1055" s="69">
        <v>40647</v>
      </c>
      <c r="F1055" s="65">
        <v>0.9293865740740741</v>
      </c>
      <c r="G1055" t="s">
        <v>1344</v>
      </c>
      <c r="H1055" t="s">
        <v>1345</v>
      </c>
    </row>
    <row r="1056" spans="1:8" s="80" customFormat="1">
      <c r="A1056">
        <v>17002272</v>
      </c>
      <c r="B1056" t="s">
        <v>445</v>
      </c>
      <c r="C1056" t="s">
        <v>444</v>
      </c>
      <c r="D1056" t="s">
        <v>37</v>
      </c>
      <c r="E1056" s="69">
        <v>40648</v>
      </c>
      <c r="F1056" s="65">
        <v>0.92643518518518519</v>
      </c>
      <c r="G1056" t="s">
        <v>1344</v>
      </c>
      <c r="H1056" t="s">
        <v>1345</v>
      </c>
    </row>
    <row r="1057" spans="1:8" s="80" customFormat="1">
      <c r="A1057">
        <v>17002272</v>
      </c>
      <c r="B1057" t="s">
        <v>445</v>
      </c>
      <c r="C1057" t="s">
        <v>444</v>
      </c>
      <c r="D1057" t="s">
        <v>37</v>
      </c>
      <c r="E1057" s="69">
        <v>40648</v>
      </c>
      <c r="F1057" s="65">
        <v>0.32817129629629632</v>
      </c>
      <c r="G1057" t="s">
        <v>1346</v>
      </c>
      <c r="H1057" t="s">
        <v>1347</v>
      </c>
    </row>
    <row r="1058" spans="1:8" s="80" customFormat="1">
      <c r="A1058">
        <v>17002272</v>
      </c>
      <c r="B1058" t="s">
        <v>445</v>
      </c>
      <c r="C1058" t="s">
        <v>444</v>
      </c>
      <c r="D1058" t="s">
        <v>37</v>
      </c>
      <c r="E1058" s="69">
        <v>40649</v>
      </c>
      <c r="F1058" s="65">
        <v>0.32981481481481484</v>
      </c>
      <c r="G1058" t="s">
        <v>1346</v>
      </c>
      <c r="H1058" t="s">
        <v>1347</v>
      </c>
    </row>
    <row r="1059" spans="1:8" s="80" customFormat="1">
      <c r="A1059">
        <v>17065312</v>
      </c>
      <c r="B1059" t="s">
        <v>440</v>
      </c>
      <c r="C1059" t="s">
        <v>318</v>
      </c>
      <c r="D1059" t="s">
        <v>249</v>
      </c>
      <c r="E1059" s="69">
        <v>40644</v>
      </c>
      <c r="F1059" s="65">
        <v>0.32563657407407409</v>
      </c>
      <c r="G1059" t="s">
        <v>1344</v>
      </c>
      <c r="H1059" t="s">
        <v>1345</v>
      </c>
    </row>
    <row r="1060" spans="1:8" s="80" customFormat="1">
      <c r="A1060">
        <v>17065312</v>
      </c>
      <c r="B1060" t="s">
        <v>440</v>
      </c>
      <c r="C1060" t="s">
        <v>318</v>
      </c>
      <c r="D1060" t="s">
        <v>249</v>
      </c>
      <c r="E1060" s="69">
        <v>40644</v>
      </c>
      <c r="F1060" s="65">
        <v>0.62557870370370372</v>
      </c>
      <c r="G1060" t="s">
        <v>1346</v>
      </c>
      <c r="H1060" t="s">
        <v>1347</v>
      </c>
    </row>
    <row r="1061" spans="1:8" s="80" customFormat="1">
      <c r="A1061">
        <v>17065312</v>
      </c>
      <c r="B1061" t="s">
        <v>440</v>
      </c>
      <c r="C1061" t="s">
        <v>318</v>
      </c>
      <c r="D1061" t="s">
        <v>249</v>
      </c>
      <c r="E1061" s="69">
        <v>40645</v>
      </c>
      <c r="F1061" s="65">
        <v>0.55927083333333327</v>
      </c>
      <c r="G1061" t="s">
        <v>1344</v>
      </c>
      <c r="H1061" t="s">
        <v>1345</v>
      </c>
    </row>
    <row r="1062" spans="1:8" s="80" customFormat="1">
      <c r="A1062">
        <v>17065312</v>
      </c>
      <c r="B1062" t="s">
        <v>440</v>
      </c>
      <c r="C1062" t="s">
        <v>318</v>
      </c>
      <c r="D1062" t="s">
        <v>249</v>
      </c>
      <c r="E1062" s="69">
        <v>40645</v>
      </c>
      <c r="F1062" s="65">
        <v>0.62969907407407411</v>
      </c>
      <c r="G1062" t="s">
        <v>1346</v>
      </c>
      <c r="H1062" t="s">
        <v>1347</v>
      </c>
    </row>
    <row r="1063" spans="1:8" s="80" customFormat="1">
      <c r="A1063">
        <v>17065312</v>
      </c>
      <c r="B1063" t="s">
        <v>440</v>
      </c>
      <c r="C1063" t="s">
        <v>318</v>
      </c>
      <c r="D1063" t="s">
        <v>249</v>
      </c>
      <c r="E1063" s="69">
        <v>40646</v>
      </c>
      <c r="F1063" s="65">
        <v>0.33030092592592591</v>
      </c>
      <c r="G1063" t="s">
        <v>1344</v>
      </c>
      <c r="H1063" t="s">
        <v>1345</v>
      </c>
    </row>
    <row r="1064" spans="1:8" s="80" customFormat="1">
      <c r="A1064">
        <v>17065312</v>
      </c>
      <c r="B1064" t="s">
        <v>440</v>
      </c>
      <c r="C1064" t="s">
        <v>318</v>
      </c>
      <c r="D1064" t="s">
        <v>249</v>
      </c>
      <c r="E1064" s="69">
        <v>40646</v>
      </c>
      <c r="F1064" s="65">
        <v>0.64563657407407404</v>
      </c>
      <c r="G1064" t="s">
        <v>1346</v>
      </c>
      <c r="H1064" t="s">
        <v>1347</v>
      </c>
    </row>
    <row r="1065" spans="1:8" s="80" customFormat="1">
      <c r="A1065">
        <v>17065312</v>
      </c>
      <c r="B1065" t="s">
        <v>440</v>
      </c>
      <c r="C1065" t="s">
        <v>318</v>
      </c>
      <c r="D1065" t="s">
        <v>249</v>
      </c>
      <c r="E1065" s="69">
        <v>40647</v>
      </c>
      <c r="F1065" s="65">
        <v>0.32474537037037038</v>
      </c>
      <c r="G1065" t="s">
        <v>1344</v>
      </c>
      <c r="H1065" t="s">
        <v>1345</v>
      </c>
    </row>
    <row r="1066" spans="1:8" s="80" customFormat="1">
      <c r="A1066">
        <v>17065312</v>
      </c>
      <c r="B1066" t="s">
        <v>440</v>
      </c>
      <c r="C1066" t="s">
        <v>318</v>
      </c>
      <c r="D1066" t="s">
        <v>249</v>
      </c>
      <c r="E1066" s="69">
        <v>40647</v>
      </c>
      <c r="F1066" s="65">
        <v>0.62827546296296299</v>
      </c>
      <c r="G1066" t="s">
        <v>1346</v>
      </c>
      <c r="H1066" t="s">
        <v>1347</v>
      </c>
    </row>
    <row r="1067" spans="1:8" s="80" customFormat="1">
      <c r="A1067">
        <v>17065312</v>
      </c>
      <c r="B1067" t="s">
        <v>440</v>
      </c>
      <c r="C1067" t="s">
        <v>318</v>
      </c>
      <c r="D1067" t="s">
        <v>249</v>
      </c>
      <c r="E1067" s="69">
        <v>40648</v>
      </c>
      <c r="F1067" s="65">
        <v>0.6407870370370371</v>
      </c>
      <c r="G1067" t="s">
        <v>1346</v>
      </c>
      <c r="H1067" t="s">
        <v>1347</v>
      </c>
    </row>
    <row r="1068" spans="1:8" s="80" customFormat="1">
      <c r="A1068">
        <v>17065312</v>
      </c>
      <c r="B1068" t="s">
        <v>440</v>
      </c>
      <c r="C1068" t="s">
        <v>318</v>
      </c>
      <c r="D1068" t="s">
        <v>249</v>
      </c>
      <c r="E1068" s="69">
        <v>40648</v>
      </c>
      <c r="F1068" s="65">
        <v>0.33680555555555558</v>
      </c>
      <c r="G1068" t="s">
        <v>1344</v>
      </c>
      <c r="H1068" t="s">
        <v>1345</v>
      </c>
    </row>
    <row r="1069" spans="1:8" s="80" customFormat="1">
      <c r="A1069">
        <v>17065312</v>
      </c>
      <c r="B1069" t="s">
        <v>440</v>
      </c>
      <c r="C1069" t="s">
        <v>318</v>
      </c>
      <c r="D1069" t="s">
        <v>249</v>
      </c>
      <c r="E1069" s="69">
        <v>40649</v>
      </c>
      <c r="F1069" s="65">
        <v>0.63384259259259257</v>
      </c>
      <c r="G1069" t="s">
        <v>1344</v>
      </c>
      <c r="H1069" t="s">
        <v>1345</v>
      </c>
    </row>
    <row r="1070" spans="1:8" s="80" customFormat="1">
      <c r="A1070">
        <v>17065312</v>
      </c>
      <c r="B1070" t="s">
        <v>440</v>
      </c>
      <c r="C1070" t="s">
        <v>318</v>
      </c>
      <c r="D1070" t="s">
        <v>249</v>
      </c>
      <c r="E1070" s="69">
        <v>40649</v>
      </c>
      <c r="F1070" s="65">
        <v>0.91767361111111112</v>
      </c>
      <c r="G1070" t="s">
        <v>1346</v>
      </c>
      <c r="H1070" t="s">
        <v>1347</v>
      </c>
    </row>
    <row r="1071" spans="1:8" s="80" customFormat="1">
      <c r="A1071">
        <v>17245009</v>
      </c>
      <c r="B1071" t="s">
        <v>793</v>
      </c>
      <c r="C1071" t="s">
        <v>854</v>
      </c>
      <c r="D1071" t="s">
        <v>932</v>
      </c>
      <c r="E1071" s="69">
        <v>40644</v>
      </c>
      <c r="F1071" s="65">
        <v>0.32055555555555554</v>
      </c>
      <c r="G1071" t="s">
        <v>1344</v>
      </c>
      <c r="H1071" t="s">
        <v>1345</v>
      </c>
    </row>
    <row r="1072" spans="1:8" s="80" customFormat="1">
      <c r="A1072">
        <v>17245009</v>
      </c>
      <c r="B1072" t="s">
        <v>793</v>
      </c>
      <c r="C1072" t="s">
        <v>854</v>
      </c>
      <c r="D1072" t="s">
        <v>932</v>
      </c>
      <c r="E1072" s="69">
        <v>40644</v>
      </c>
      <c r="F1072" s="65">
        <v>0.73329861111111105</v>
      </c>
      <c r="G1072" t="s">
        <v>1346</v>
      </c>
      <c r="H1072" t="s">
        <v>1347</v>
      </c>
    </row>
    <row r="1073" spans="1:8" s="80" customFormat="1">
      <c r="A1073">
        <v>17245009</v>
      </c>
      <c r="B1073" t="s">
        <v>793</v>
      </c>
      <c r="C1073" t="s">
        <v>854</v>
      </c>
      <c r="D1073" t="s">
        <v>932</v>
      </c>
      <c r="E1073" s="69">
        <v>40645</v>
      </c>
      <c r="F1073" s="65">
        <v>0.32245370370370369</v>
      </c>
      <c r="G1073" t="s">
        <v>1344</v>
      </c>
      <c r="H1073" t="s">
        <v>1345</v>
      </c>
    </row>
    <row r="1074" spans="1:8" s="80" customFormat="1">
      <c r="A1074">
        <v>17245009</v>
      </c>
      <c r="B1074" t="s">
        <v>793</v>
      </c>
      <c r="C1074" t="s">
        <v>854</v>
      </c>
      <c r="D1074" t="s">
        <v>932</v>
      </c>
      <c r="E1074" s="69">
        <v>40645</v>
      </c>
      <c r="F1074" s="65">
        <v>0.73111111111111116</v>
      </c>
      <c r="G1074" t="s">
        <v>1346</v>
      </c>
      <c r="H1074" t="s">
        <v>1347</v>
      </c>
    </row>
    <row r="1075" spans="1:8" s="80" customFormat="1">
      <c r="A1075">
        <v>17245009</v>
      </c>
      <c r="B1075" t="s">
        <v>793</v>
      </c>
      <c r="C1075" t="s">
        <v>854</v>
      </c>
      <c r="D1075" t="s">
        <v>932</v>
      </c>
      <c r="E1075" s="69">
        <v>40646</v>
      </c>
      <c r="F1075" s="65">
        <v>0.30034722222222221</v>
      </c>
      <c r="G1075" t="s">
        <v>1344</v>
      </c>
      <c r="H1075" t="s">
        <v>1345</v>
      </c>
    </row>
    <row r="1076" spans="1:8" s="80" customFormat="1">
      <c r="A1076">
        <v>17245009</v>
      </c>
      <c r="B1076" t="s">
        <v>793</v>
      </c>
      <c r="C1076" t="s">
        <v>854</v>
      </c>
      <c r="D1076" t="s">
        <v>932</v>
      </c>
      <c r="E1076" s="69">
        <v>40646</v>
      </c>
      <c r="F1076" s="65">
        <v>0.45249999999999996</v>
      </c>
      <c r="G1076" t="s">
        <v>1346</v>
      </c>
      <c r="H1076" t="s">
        <v>1347</v>
      </c>
    </row>
    <row r="1077" spans="1:8" s="80" customFormat="1">
      <c r="A1077">
        <v>17245009</v>
      </c>
      <c r="B1077" t="s">
        <v>793</v>
      </c>
      <c r="C1077" t="s">
        <v>854</v>
      </c>
      <c r="D1077" t="s">
        <v>932</v>
      </c>
      <c r="E1077" s="69">
        <v>40647</v>
      </c>
      <c r="F1077" s="65">
        <v>0.29866898148148147</v>
      </c>
      <c r="G1077" t="s">
        <v>1344</v>
      </c>
      <c r="H1077" t="s">
        <v>1345</v>
      </c>
    </row>
    <row r="1078" spans="1:8" s="80" customFormat="1">
      <c r="A1078">
        <v>17245009</v>
      </c>
      <c r="B1078" t="s">
        <v>793</v>
      </c>
      <c r="C1078" t="s">
        <v>854</v>
      </c>
      <c r="D1078" t="s">
        <v>932</v>
      </c>
      <c r="E1078" s="69">
        <v>40647</v>
      </c>
      <c r="F1078" s="65">
        <v>0.73560185185185178</v>
      </c>
      <c r="G1078" t="s">
        <v>1346</v>
      </c>
      <c r="H1078" t="s">
        <v>1347</v>
      </c>
    </row>
    <row r="1079" spans="1:8" s="80" customFormat="1">
      <c r="A1079">
        <v>17245009</v>
      </c>
      <c r="B1079" t="s">
        <v>793</v>
      </c>
      <c r="C1079" t="s">
        <v>854</v>
      </c>
      <c r="D1079" t="s">
        <v>932</v>
      </c>
      <c r="E1079" s="69">
        <v>40648</v>
      </c>
      <c r="F1079" s="65">
        <v>0.73589120370370376</v>
      </c>
      <c r="G1079" t="s">
        <v>1346</v>
      </c>
      <c r="H1079" t="s">
        <v>1347</v>
      </c>
    </row>
    <row r="1080" spans="1:8" s="80" customFormat="1">
      <c r="A1080">
        <v>17245009</v>
      </c>
      <c r="B1080" t="s">
        <v>793</v>
      </c>
      <c r="C1080" t="s">
        <v>854</v>
      </c>
      <c r="D1080" t="s">
        <v>932</v>
      </c>
      <c r="E1080" s="69">
        <v>40648</v>
      </c>
      <c r="F1080" s="65">
        <v>0.29704861111111108</v>
      </c>
      <c r="G1080" t="s">
        <v>1344</v>
      </c>
      <c r="H1080" t="s">
        <v>1345</v>
      </c>
    </row>
    <row r="1081" spans="1:8" s="80" customFormat="1">
      <c r="A1081">
        <v>17542884</v>
      </c>
      <c r="B1081" t="s">
        <v>243</v>
      </c>
      <c r="C1081" t="s">
        <v>241</v>
      </c>
      <c r="D1081" t="s">
        <v>242</v>
      </c>
      <c r="E1081" s="69">
        <v>40644</v>
      </c>
      <c r="F1081" s="65">
        <v>1.0601851851851854E-2</v>
      </c>
      <c r="G1081" t="s">
        <v>1344</v>
      </c>
      <c r="H1081" t="s">
        <v>1345</v>
      </c>
    </row>
    <row r="1082" spans="1:8" s="80" customFormat="1">
      <c r="A1082">
        <v>17542884</v>
      </c>
      <c r="B1082" t="s">
        <v>243</v>
      </c>
      <c r="C1082" t="s">
        <v>241</v>
      </c>
      <c r="D1082" t="s">
        <v>242</v>
      </c>
      <c r="E1082" s="69">
        <v>40644</v>
      </c>
      <c r="F1082" s="65">
        <v>0.33907407407407408</v>
      </c>
      <c r="G1082" t="s">
        <v>1346</v>
      </c>
      <c r="H1082" t="s">
        <v>1347</v>
      </c>
    </row>
    <row r="1083" spans="1:8" s="80" customFormat="1">
      <c r="A1083">
        <v>17542884</v>
      </c>
      <c r="B1083" t="s">
        <v>243</v>
      </c>
      <c r="C1083" t="s">
        <v>241</v>
      </c>
      <c r="D1083" t="s">
        <v>242</v>
      </c>
      <c r="E1083" s="69">
        <v>40644</v>
      </c>
      <c r="F1083" s="65">
        <v>0.92001157407407408</v>
      </c>
      <c r="G1083" t="s">
        <v>1344</v>
      </c>
      <c r="H1083" t="s">
        <v>1345</v>
      </c>
    </row>
    <row r="1084" spans="1:8" s="80" customFormat="1">
      <c r="A1084">
        <v>17542884</v>
      </c>
      <c r="B1084" t="s">
        <v>243</v>
      </c>
      <c r="C1084" t="s">
        <v>241</v>
      </c>
      <c r="D1084" t="s">
        <v>242</v>
      </c>
      <c r="E1084" s="69">
        <v>40645</v>
      </c>
      <c r="F1084" s="65">
        <v>0.3263078703703704</v>
      </c>
      <c r="G1084" t="s">
        <v>1346</v>
      </c>
      <c r="H1084" t="s">
        <v>1347</v>
      </c>
    </row>
    <row r="1085" spans="1:8" s="80" customFormat="1">
      <c r="A1085">
        <v>17542884</v>
      </c>
      <c r="B1085" t="s">
        <v>243</v>
      </c>
      <c r="C1085" t="s">
        <v>241</v>
      </c>
      <c r="D1085" t="s">
        <v>242</v>
      </c>
      <c r="E1085" s="69">
        <v>40645</v>
      </c>
      <c r="F1085" s="65">
        <v>0.91952546296296289</v>
      </c>
      <c r="G1085" t="s">
        <v>1344</v>
      </c>
      <c r="H1085" t="s">
        <v>1345</v>
      </c>
    </row>
    <row r="1086" spans="1:8" s="80" customFormat="1">
      <c r="A1086">
        <v>17542884</v>
      </c>
      <c r="B1086" t="s">
        <v>243</v>
      </c>
      <c r="C1086" t="s">
        <v>241</v>
      </c>
      <c r="D1086" t="s">
        <v>242</v>
      </c>
      <c r="E1086" s="69">
        <v>40646</v>
      </c>
      <c r="F1086" s="65">
        <v>0.32657407407407407</v>
      </c>
      <c r="G1086" t="s">
        <v>1346</v>
      </c>
      <c r="H1086" t="s">
        <v>1347</v>
      </c>
    </row>
    <row r="1087" spans="1:8" s="80" customFormat="1">
      <c r="A1087">
        <v>17542884</v>
      </c>
      <c r="B1087" t="s">
        <v>243</v>
      </c>
      <c r="C1087" t="s">
        <v>241</v>
      </c>
      <c r="D1087" t="s">
        <v>242</v>
      </c>
      <c r="E1087" s="69">
        <v>40646</v>
      </c>
      <c r="F1087" s="65">
        <v>0.91900462962962959</v>
      </c>
      <c r="G1087" t="s">
        <v>1344</v>
      </c>
      <c r="H1087" t="s">
        <v>1345</v>
      </c>
    </row>
    <row r="1088" spans="1:8" s="80" customFormat="1">
      <c r="A1088">
        <v>17542884</v>
      </c>
      <c r="B1088" t="s">
        <v>243</v>
      </c>
      <c r="C1088" t="s">
        <v>241</v>
      </c>
      <c r="D1088" t="s">
        <v>242</v>
      </c>
      <c r="E1088" s="69">
        <v>40647</v>
      </c>
      <c r="F1088" s="65">
        <v>0.32709490740740738</v>
      </c>
      <c r="G1088" t="s">
        <v>1346</v>
      </c>
      <c r="H1088" t="s">
        <v>1347</v>
      </c>
    </row>
    <row r="1089" spans="1:8" s="80" customFormat="1">
      <c r="A1089">
        <v>17542884</v>
      </c>
      <c r="B1089" t="s">
        <v>243</v>
      </c>
      <c r="C1089" t="s">
        <v>241</v>
      </c>
      <c r="D1089" t="s">
        <v>242</v>
      </c>
      <c r="E1089" s="69">
        <v>40647</v>
      </c>
      <c r="F1089" s="65">
        <v>0.92143518518518519</v>
      </c>
      <c r="G1089" t="s">
        <v>1344</v>
      </c>
      <c r="H1089" t="s">
        <v>1345</v>
      </c>
    </row>
    <row r="1090" spans="1:8" s="80" customFormat="1">
      <c r="A1090">
        <v>17542884</v>
      </c>
      <c r="B1090" t="s">
        <v>243</v>
      </c>
      <c r="C1090" t="s">
        <v>241</v>
      </c>
      <c r="D1090" t="s">
        <v>242</v>
      </c>
      <c r="E1090" s="69">
        <v>40648</v>
      </c>
      <c r="F1090" s="65">
        <v>0.92655092592592592</v>
      </c>
      <c r="G1090" t="s">
        <v>1344</v>
      </c>
      <c r="H1090" t="s">
        <v>1345</v>
      </c>
    </row>
    <row r="1091" spans="1:8" s="80" customFormat="1">
      <c r="A1091">
        <v>17542884</v>
      </c>
      <c r="B1091" t="s">
        <v>243</v>
      </c>
      <c r="C1091" t="s">
        <v>241</v>
      </c>
      <c r="D1091" t="s">
        <v>242</v>
      </c>
      <c r="E1091" s="69">
        <v>40648</v>
      </c>
      <c r="F1091" s="65">
        <v>0.32796296296296296</v>
      </c>
      <c r="G1091" t="s">
        <v>1346</v>
      </c>
      <c r="H1091" t="s">
        <v>1347</v>
      </c>
    </row>
    <row r="1092" spans="1:8" s="80" customFormat="1">
      <c r="A1092">
        <v>17542884</v>
      </c>
      <c r="B1092" t="s">
        <v>243</v>
      </c>
      <c r="C1092" t="s">
        <v>241</v>
      </c>
      <c r="D1092" t="s">
        <v>242</v>
      </c>
      <c r="E1092" s="69">
        <v>40649</v>
      </c>
      <c r="F1092" s="65">
        <v>0.32710648148148147</v>
      </c>
      <c r="G1092" t="s">
        <v>1346</v>
      </c>
      <c r="H1092" t="s">
        <v>1347</v>
      </c>
    </row>
    <row r="1093" spans="1:8" s="80" customFormat="1">
      <c r="A1093">
        <v>17609782</v>
      </c>
      <c r="B1093" t="s">
        <v>81</v>
      </c>
      <c r="C1093" t="s">
        <v>72</v>
      </c>
      <c r="D1093" t="s">
        <v>80</v>
      </c>
      <c r="E1093" s="69">
        <v>40645</v>
      </c>
      <c r="F1093" s="65">
        <v>0.32047453703703704</v>
      </c>
      <c r="G1093" t="s">
        <v>1344</v>
      </c>
      <c r="H1093" t="s">
        <v>1345</v>
      </c>
    </row>
    <row r="1094" spans="1:8" s="80" customFormat="1">
      <c r="A1094">
        <v>17609782</v>
      </c>
      <c r="B1094" t="s">
        <v>81</v>
      </c>
      <c r="C1094" t="s">
        <v>72</v>
      </c>
      <c r="D1094" t="s">
        <v>80</v>
      </c>
      <c r="E1094" s="69">
        <v>40645</v>
      </c>
      <c r="F1094" s="65">
        <v>0.72886574074074073</v>
      </c>
      <c r="G1094" t="s">
        <v>1346</v>
      </c>
      <c r="H1094" t="s">
        <v>1347</v>
      </c>
    </row>
    <row r="1095" spans="1:8" s="80" customFormat="1">
      <c r="A1095">
        <v>17609782</v>
      </c>
      <c r="B1095" t="s">
        <v>81</v>
      </c>
      <c r="C1095" t="s">
        <v>72</v>
      </c>
      <c r="D1095" t="s">
        <v>80</v>
      </c>
      <c r="E1095" s="69">
        <v>40646</v>
      </c>
      <c r="F1095" s="65">
        <v>0.3221296296296296</v>
      </c>
      <c r="G1095" t="s">
        <v>1344</v>
      </c>
      <c r="H1095" t="s">
        <v>1345</v>
      </c>
    </row>
    <row r="1096" spans="1:8" s="80" customFormat="1">
      <c r="A1096">
        <v>17609782</v>
      </c>
      <c r="B1096" t="s">
        <v>81</v>
      </c>
      <c r="C1096" t="s">
        <v>72</v>
      </c>
      <c r="D1096" t="s">
        <v>80</v>
      </c>
      <c r="E1096" s="69">
        <v>40646</v>
      </c>
      <c r="F1096" s="65">
        <v>0.73424768518518524</v>
      </c>
      <c r="G1096" t="s">
        <v>1346</v>
      </c>
      <c r="H1096" t="s">
        <v>1347</v>
      </c>
    </row>
    <row r="1097" spans="1:8" s="80" customFormat="1">
      <c r="A1097">
        <v>17609782</v>
      </c>
      <c r="B1097" t="s">
        <v>81</v>
      </c>
      <c r="C1097" t="s">
        <v>72</v>
      </c>
      <c r="D1097" t="s">
        <v>80</v>
      </c>
      <c r="E1097" s="69">
        <v>40647</v>
      </c>
      <c r="F1097" s="65">
        <v>0.32364583333333335</v>
      </c>
      <c r="G1097" t="s">
        <v>1344</v>
      </c>
      <c r="H1097" t="s">
        <v>1345</v>
      </c>
    </row>
    <row r="1098" spans="1:8" s="80" customFormat="1">
      <c r="A1098">
        <v>17609782</v>
      </c>
      <c r="B1098" t="s">
        <v>81</v>
      </c>
      <c r="C1098" t="s">
        <v>72</v>
      </c>
      <c r="D1098" t="s">
        <v>80</v>
      </c>
      <c r="E1098" s="69">
        <v>40647</v>
      </c>
      <c r="F1098" s="65">
        <v>0.80555555555555547</v>
      </c>
      <c r="G1098" t="s">
        <v>1346</v>
      </c>
      <c r="H1098" t="s">
        <v>1347</v>
      </c>
    </row>
    <row r="1099" spans="1:8" s="80" customFormat="1">
      <c r="A1099">
        <v>17609782</v>
      </c>
      <c r="B1099" t="s">
        <v>81</v>
      </c>
      <c r="C1099" t="s">
        <v>72</v>
      </c>
      <c r="D1099" t="s">
        <v>80</v>
      </c>
      <c r="E1099" s="69">
        <v>40648</v>
      </c>
      <c r="F1099" s="65">
        <v>0.31962962962962965</v>
      </c>
      <c r="G1099" t="s">
        <v>1344</v>
      </c>
      <c r="H1099" t="s">
        <v>1345</v>
      </c>
    </row>
    <row r="1100" spans="1:8" s="80" customFormat="1">
      <c r="A1100">
        <v>17609782</v>
      </c>
      <c r="B1100" t="s">
        <v>81</v>
      </c>
      <c r="C1100" t="s">
        <v>72</v>
      </c>
      <c r="D1100" t="s">
        <v>80</v>
      </c>
      <c r="E1100" s="69">
        <v>40648</v>
      </c>
      <c r="F1100" s="65">
        <v>0.73304398148148142</v>
      </c>
      <c r="G1100" t="s">
        <v>1346</v>
      </c>
      <c r="H1100" t="s">
        <v>1347</v>
      </c>
    </row>
    <row r="1101" spans="1:8" s="80" customFormat="1">
      <c r="A1101">
        <v>17929108</v>
      </c>
      <c r="B1101" t="s">
        <v>339</v>
      </c>
      <c r="C1101" t="s">
        <v>337</v>
      </c>
      <c r="D1101" t="s">
        <v>338</v>
      </c>
      <c r="E1101" s="69">
        <v>40644</v>
      </c>
      <c r="F1101" s="65">
        <v>0.92137731481481477</v>
      </c>
      <c r="G1101" t="s">
        <v>1344</v>
      </c>
      <c r="H1101" t="s">
        <v>1345</v>
      </c>
    </row>
    <row r="1102" spans="1:8" s="80" customFormat="1">
      <c r="A1102">
        <v>17929108</v>
      </c>
      <c r="B1102" t="s">
        <v>339</v>
      </c>
      <c r="C1102" t="s">
        <v>337</v>
      </c>
      <c r="D1102" t="s">
        <v>338</v>
      </c>
      <c r="E1102" s="69">
        <v>40645</v>
      </c>
      <c r="F1102" s="65">
        <v>0.32702546296296298</v>
      </c>
      <c r="G1102" t="s">
        <v>1346</v>
      </c>
      <c r="H1102" t="s">
        <v>1347</v>
      </c>
    </row>
    <row r="1103" spans="1:8" s="80" customFormat="1">
      <c r="A1103">
        <v>17929108</v>
      </c>
      <c r="B1103" t="s">
        <v>339</v>
      </c>
      <c r="C1103" t="s">
        <v>337</v>
      </c>
      <c r="D1103" t="s">
        <v>338</v>
      </c>
      <c r="E1103" s="69">
        <v>40645</v>
      </c>
      <c r="F1103" s="65">
        <v>0.91957175925925927</v>
      </c>
      <c r="G1103" t="s">
        <v>1344</v>
      </c>
      <c r="H1103" t="s">
        <v>1345</v>
      </c>
    </row>
    <row r="1104" spans="1:8" s="80" customFormat="1">
      <c r="A1104">
        <v>17929108</v>
      </c>
      <c r="B1104" t="s">
        <v>339</v>
      </c>
      <c r="C1104" t="s">
        <v>337</v>
      </c>
      <c r="D1104" t="s">
        <v>338</v>
      </c>
      <c r="E1104" s="69">
        <v>40646</v>
      </c>
      <c r="F1104" s="65">
        <v>0.32750000000000001</v>
      </c>
      <c r="G1104" t="s">
        <v>1346</v>
      </c>
      <c r="H1104" t="s">
        <v>1347</v>
      </c>
    </row>
    <row r="1105" spans="1:8" s="80" customFormat="1">
      <c r="A1105">
        <v>17929108</v>
      </c>
      <c r="B1105" t="s">
        <v>339</v>
      </c>
      <c r="C1105" t="s">
        <v>337</v>
      </c>
      <c r="D1105" t="s">
        <v>338</v>
      </c>
      <c r="E1105" s="69">
        <v>40646</v>
      </c>
      <c r="F1105" s="65">
        <v>0.92143518518518519</v>
      </c>
      <c r="G1105" t="s">
        <v>1344</v>
      </c>
      <c r="H1105" t="s">
        <v>1345</v>
      </c>
    </row>
    <row r="1106" spans="1:8" s="80" customFormat="1">
      <c r="A1106">
        <v>17929108</v>
      </c>
      <c r="B1106" t="s">
        <v>339</v>
      </c>
      <c r="C1106" t="s">
        <v>337</v>
      </c>
      <c r="D1106" t="s">
        <v>338</v>
      </c>
      <c r="E1106" s="69">
        <v>40647</v>
      </c>
      <c r="F1106" s="65">
        <v>0.33026620370370369</v>
      </c>
      <c r="G1106" t="s">
        <v>1346</v>
      </c>
      <c r="H1106" t="s">
        <v>1347</v>
      </c>
    </row>
    <row r="1107" spans="1:8" s="80" customFormat="1">
      <c r="A1107">
        <v>17929108</v>
      </c>
      <c r="B1107" t="s">
        <v>339</v>
      </c>
      <c r="C1107" t="s">
        <v>337</v>
      </c>
      <c r="D1107" t="s">
        <v>338</v>
      </c>
      <c r="E1107" s="69">
        <v>40647</v>
      </c>
      <c r="F1107" s="65">
        <v>0.92087962962962966</v>
      </c>
      <c r="G1107" t="s">
        <v>1344</v>
      </c>
      <c r="H1107" t="s">
        <v>1345</v>
      </c>
    </row>
    <row r="1108" spans="1:8" s="80" customFormat="1">
      <c r="A1108">
        <v>17929108</v>
      </c>
      <c r="B1108" t="s">
        <v>339</v>
      </c>
      <c r="C1108" t="s">
        <v>337</v>
      </c>
      <c r="D1108" t="s">
        <v>338</v>
      </c>
      <c r="E1108" s="69">
        <v>40648</v>
      </c>
      <c r="F1108" s="65">
        <v>0.3283449074074074</v>
      </c>
      <c r="G1108" t="s">
        <v>1346</v>
      </c>
      <c r="H1108" t="s">
        <v>1347</v>
      </c>
    </row>
    <row r="1109" spans="1:8" s="80" customFormat="1">
      <c r="A1109">
        <v>20342651</v>
      </c>
      <c r="B1109" t="s">
        <v>798</v>
      </c>
      <c r="C1109" t="s">
        <v>791</v>
      </c>
      <c r="D1109" t="s">
        <v>797</v>
      </c>
      <c r="E1109" s="69">
        <v>40644</v>
      </c>
      <c r="F1109" s="65">
        <v>0.62251157407407409</v>
      </c>
      <c r="G1109" t="s">
        <v>1344</v>
      </c>
      <c r="H1109" t="s">
        <v>1345</v>
      </c>
    </row>
    <row r="1110" spans="1:8" s="80" customFormat="1">
      <c r="A1110">
        <v>20342651</v>
      </c>
      <c r="B1110" t="s">
        <v>798</v>
      </c>
      <c r="C1110" t="s">
        <v>791</v>
      </c>
      <c r="D1110" t="s">
        <v>797</v>
      </c>
      <c r="E1110" s="69">
        <v>40644</v>
      </c>
      <c r="F1110" s="65">
        <v>0.93942129629629623</v>
      </c>
      <c r="G1110" t="s">
        <v>1346</v>
      </c>
      <c r="H1110" t="s">
        <v>1347</v>
      </c>
    </row>
    <row r="1111" spans="1:8" s="80" customFormat="1">
      <c r="A1111">
        <v>20342651</v>
      </c>
      <c r="B1111" t="s">
        <v>798</v>
      </c>
      <c r="C1111" t="s">
        <v>791</v>
      </c>
      <c r="D1111" t="s">
        <v>797</v>
      </c>
      <c r="E1111" s="69">
        <v>40645</v>
      </c>
      <c r="F1111" s="65">
        <v>0.60795138888888889</v>
      </c>
      <c r="G1111" t="s">
        <v>1344</v>
      </c>
      <c r="H1111" t="s">
        <v>1345</v>
      </c>
    </row>
    <row r="1112" spans="1:8" s="80" customFormat="1">
      <c r="A1112">
        <v>20342651</v>
      </c>
      <c r="B1112" t="s">
        <v>798</v>
      </c>
      <c r="C1112" t="s">
        <v>791</v>
      </c>
      <c r="D1112" t="s">
        <v>797</v>
      </c>
      <c r="E1112" s="69">
        <v>40645</v>
      </c>
      <c r="F1112" s="65">
        <v>0.93902777777777768</v>
      </c>
      <c r="G1112" t="s">
        <v>1346</v>
      </c>
      <c r="H1112" t="s">
        <v>1347</v>
      </c>
    </row>
    <row r="1113" spans="1:8" s="80" customFormat="1">
      <c r="A1113">
        <v>20342651</v>
      </c>
      <c r="B1113" t="s">
        <v>798</v>
      </c>
      <c r="C1113" t="s">
        <v>791</v>
      </c>
      <c r="D1113" t="s">
        <v>797</v>
      </c>
      <c r="E1113" s="69">
        <v>40646</v>
      </c>
      <c r="F1113" s="65">
        <v>0.6074074074074074</v>
      </c>
      <c r="G1113" t="s">
        <v>1344</v>
      </c>
      <c r="H1113" t="s">
        <v>1345</v>
      </c>
    </row>
    <row r="1114" spans="1:8" s="80" customFormat="1">
      <c r="A1114">
        <v>20342651</v>
      </c>
      <c r="B1114" t="s">
        <v>798</v>
      </c>
      <c r="C1114" t="s">
        <v>791</v>
      </c>
      <c r="D1114" t="s">
        <v>797</v>
      </c>
      <c r="E1114" s="69">
        <v>40646</v>
      </c>
      <c r="F1114" s="65">
        <v>0.93774305555555559</v>
      </c>
      <c r="G1114" t="s">
        <v>1346</v>
      </c>
      <c r="H1114" t="s">
        <v>1347</v>
      </c>
    </row>
    <row r="1115" spans="1:8" s="80" customFormat="1">
      <c r="A1115">
        <v>20342651</v>
      </c>
      <c r="B1115" t="s">
        <v>798</v>
      </c>
      <c r="C1115" t="s">
        <v>791</v>
      </c>
      <c r="D1115" t="s">
        <v>797</v>
      </c>
      <c r="E1115" s="69">
        <v>40647</v>
      </c>
      <c r="F1115" s="65">
        <v>0.61946759259259265</v>
      </c>
      <c r="G1115" t="s">
        <v>1344</v>
      </c>
      <c r="H1115" t="s">
        <v>1345</v>
      </c>
    </row>
    <row r="1116" spans="1:8" s="80" customFormat="1">
      <c r="A1116">
        <v>20342651</v>
      </c>
      <c r="B1116" t="s">
        <v>798</v>
      </c>
      <c r="C1116" t="s">
        <v>791</v>
      </c>
      <c r="D1116" t="s">
        <v>797</v>
      </c>
      <c r="E1116" s="69">
        <v>40647</v>
      </c>
      <c r="F1116" s="65">
        <v>0.93885416666666666</v>
      </c>
      <c r="G1116" t="s">
        <v>1346</v>
      </c>
      <c r="H1116" t="s">
        <v>1347</v>
      </c>
    </row>
    <row r="1117" spans="1:8" s="80" customFormat="1">
      <c r="A1117">
        <v>20342651</v>
      </c>
      <c r="B1117" t="s">
        <v>798</v>
      </c>
      <c r="C1117" t="s">
        <v>791</v>
      </c>
      <c r="D1117" t="s">
        <v>797</v>
      </c>
      <c r="E1117" s="69">
        <v>40648</v>
      </c>
      <c r="F1117" s="65">
        <v>0.6083101851851852</v>
      </c>
      <c r="G1117" t="s">
        <v>1344</v>
      </c>
      <c r="H1117" t="s">
        <v>1345</v>
      </c>
    </row>
    <row r="1118" spans="1:8" s="80" customFormat="1">
      <c r="A1118">
        <v>20342651</v>
      </c>
      <c r="B1118" t="s">
        <v>798</v>
      </c>
      <c r="C1118" t="s">
        <v>791</v>
      </c>
      <c r="D1118" t="s">
        <v>797</v>
      </c>
      <c r="E1118" s="69">
        <v>40648</v>
      </c>
      <c r="F1118" s="65">
        <v>0.937962962962963</v>
      </c>
      <c r="G1118" t="s">
        <v>1346</v>
      </c>
      <c r="H1118" t="s">
        <v>1347</v>
      </c>
    </row>
    <row r="1119" spans="1:8" s="80" customFormat="1">
      <c r="A1119">
        <v>20342651</v>
      </c>
      <c r="B1119" t="s">
        <v>798</v>
      </c>
      <c r="C1119" t="s">
        <v>791</v>
      </c>
      <c r="D1119" t="s">
        <v>797</v>
      </c>
      <c r="E1119" s="69">
        <v>40649</v>
      </c>
      <c r="F1119" s="65">
        <v>0.93831018518518527</v>
      </c>
      <c r="G1119" t="s">
        <v>1346</v>
      </c>
      <c r="H1119" t="s">
        <v>1347</v>
      </c>
    </row>
    <row r="1120" spans="1:8" s="80" customFormat="1">
      <c r="A1120">
        <v>20342651</v>
      </c>
      <c r="B1120" t="s">
        <v>798</v>
      </c>
      <c r="C1120" t="s">
        <v>791</v>
      </c>
      <c r="D1120" t="s">
        <v>797</v>
      </c>
      <c r="E1120" s="69">
        <v>40649</v>
      </c>
      <c r="F1120" s="65">
        <v>0.61995370370370373</v>
      </c>
      <c r="G1120" t="s">
        <v>1344</v>
      </c>
      <c r="H1120" t="s">
        <v>1345</v>
      </c>
    </row>
    <row r="1121" spans="1:8" s="80" customFormat="1">
      <c r="A1121">
        <v>22637242</v>
      </c>
      <c r="B1121" t="s">
        <v>74</v>
      </c>
      <c r="C1121" t="s">
        <v>72</v>
      </c>
      <c r="D1121" t="s">
        <v>1350</v>
      </c>
      <c r="E1121" s="69">
        <v>40644</v>
      </c>
      <c r="F1121" s="65">
        <v>0.34650462962962963</v>
      </c>
      <c r="G1121" t="s">
        <v>1344</v>
      </c>
      <c r="H1121" t="s">
        <v>1345</v>
      </c>
    </row>
    <row r="1122" spans="1:8" s="80" customFormat="1">
      <c r="A1122">
        <v>22637242</v>
      </c>
      <c r="B1122" t="s">
        <v>74</v>
      </c>
      <c r="C1122" t="s">
        <v>72</v>
      </c>
      <c r="D1122" t="s">
        <v>1350</v>
      </c>
      <c r="E1122" s="69">
        <v>40644</v>
      </c>
      <c r="F1122" s="65">
        <v>0.77098379629629632</v>
      </c>
      <c r="G1122" t="s">
        <v>1346</v>
      </c>
      <c r="H1122" t="s">
        <v>1347</v>
      </c>
    </row>
    <row r="1123" spans="1:8" s="80" customFormat="1">
      <c r="A1123">
        <v>22637242</v>
      </c>
      <c r="B1123" t="s">
        <v>74</v>
      </c>
      <c r="C1123" t="s">
        <v>72</v>
      </c>
      <c r="D1123" t="s">
        <v>1350</v>
      </c>
      <c r="E1123" s="69">
        <v>40645</v>
      </c>
      <c r="F1123" s="65">
        <v>0.3404282407407408</v>
      </c>
      <c r="G1123" t="s">
        <v>1344</v>
      </c>
      <c r="H1123" t="s">
        <v>1345</v>
      </c>
    </row>
    <row r="1124" spans="1:8" s="80" customFormat="1">
      <c r="A1124">
        <v>22637242</v>
      </c>
      <c r="B1124" t="s">
        <v>74</v>
      </c>
      <c r="C1124" t="s">
        <v>72</v>
      </c>
      <c r="D1124" t="s">
        <v>1350</v>
      </c>
      <c r="E1124" s="69">
        <v>40645</v>
      </c>
      <c r="F1124" s="65">
        <v>0.77341435185185192</v>
      </c>
      <c r="G1124" t="s">
        <v>1346</v>
      </c>
      <c r="H1124" t="s">
        <v>1347</v>
      </c>
    </row>
    <row r="1125" spans="1:8" s="80" customFormat="1">
      <c r="A1125">
        <v>22637242</v>
      </c>
      <c r="B1125" t="s">
        <v>74</v>
      </c>
      <c r="C1125" t="s">
        <v>72</v>
      </c>
      <c r="D1125" t="s">
        <v>1350</v>
      </c>
      <c r="E1125" s="69">
        <v>40646</v>
      </c>
      <c r="F1125" s="65">
        <v>0.34056712962962959</v>
      </c>
      <c r="G1125" t="s">
        <v>1344</v>
      </c>
      <c r="H1125" t="s">
        <v>1345</v>
      </c>
    </row>
    <row r="1126" spans="1:8" s="80" customFormat="1">
      <c r="A1126">
        <v>22637242</v>
      </c>
      <c r="B1126" t="s">
        <v>74</v>
      </c>
      <c r="C1126" t="s">
        <v>72</v>
      </c>
      <c r="D1126" t="s">
        <v>1350</v>
      </c>
      <c r="E1126" s="69">
        <v>40646</v>
      </c>
      <c r="F1126" s="65">
        <v>0.77650462962962974</v>
      </c>
      <c r="G1126" t="s">
        <v>1346</v>
      </c>
      <c r="H1126" t="s">
        <v>1347</v>
      </c>
    </row>
    <row r="1127" spans="1:8" s="80" customFormat="1">
      <c r="A1127">
        <v>22637242</v>
      </c>
      <c r="B1127" t="s">
        <v>74</v>
      </c>
      <c r="C1127" t="s">
        <v>72</v>
      </c>
      <c r="D1127" t="s">
        <v>1350</v>
      </c>
      <c r="E1127" s="69">
        <v>40647</v>
      </c>
      <c r="F1127" s="65">
        <v>0.34</v>
      </c>
      <c r="G1127" t="s">
        <v>1344</v>
      </c>
      <c r="H1127" t="s">
        <v>1345</v>
      </c>
    </row>
    <row r="1128" spans="1:8" s="80" customFormat="1">
      <c r="A1128">
        <v>22637242</v>
      </c>
      <c r="B1128" t="s">
        <v>74</v>
      </c>
      <c r="C1128" t="s">
        <v>72</v>
      </c>
      <c r="D1128" t="s">
        <v>1350</v>
      </c>
      <c r="E1128" s="69">
        <v>40647</v>
      </c>
      <c r="F1128" s="65">
        <v>0.77280092592592586</v>
      </c>
      <c r="G1128" t="s">
        <v>1346</v>
      </c>
      <c r="H1128" t="s">
        <v>1347</v>
      </c>
    </row>
    <row r="1129" spans="1:8" s="80" customFormat="1">
      <c r="A1129">
        <v>22637242</v>
      </c>
      <c r="B1129" t="s">
        <v>74</v>
      </c>
      <c r="C1129" t="s">
        <v>72</v>
      </c>
      <c r="D1129" t="s">
        <v>1350</v>
      </c>
      <c r="E1129" s="69">
        <v>40648</v>
      </c>
      <c r="F1129" s="65">
        <v>0.71967592592592589</v>
      </c>
      <c r="G1129" t="s">
        <v>1346</v>
      </c>
      <c r="H1129" t="s">
        <v>1347</v>
      </c>
    </row>
    <row r="1130" spans="1:8" s="80" customFormat="1">
      <c r="A1130">
        <v>22637242</v>
      </c>
      <c r="B1130" t="s">
        <v>74</v>
      </c>
      <c r="C1130" t="s">
        <v>72</v>
      </c>
      <c r="D1130" t="s">
        <v>1350</v>
      </c>
      <c r="E1130" s="69">
        <v>40648</v>
      </c>
      <c r="F1130" s="65">
        <v>0.34229166666666666</v>
      </c>
      <c r="G1130" t="s">
        <v>1344</v>
      </c>
      <c r="H1130" t="s">
        <v>1345</v>
      </c>
    </row>
    <row r="1131" spans="1:8" s="80" customFormat="1">
      <c r="F1131" s="81"/>
    </row>
    <row r="1132" spans="1:8" s="80" customFormat="1">
      <c r="F1132" s="81"/>
    </row>
    <row r="1133" spans="1:8" s="80" customFormat="1">
      <c r="F1133" s="81"/>
    </row>
    <row r="1134" spans="1:8" s="80" customFormat="1">
      <c r="F1134" s="81"/>
    </row>
    <row r="1135" spans="1:8" s="80" customFormat="1">
      <c r="F1135" s="81"/>
    </row>
    <row r="1136" spans="1:8" s="80" customFormat="1">
      <c r="F1136" s="81"/>
    </row>
    <row r="1137" spans="6:6" s="80" customFormat="1">
      <c r="F1137" s="81"/>
    </row>
    <row r="1138" spans="6:6" s="80" customFormat="1">
      <c r="F1138" s="81"/>
    </row>
    <row r="1139" spans="6:6" s="80" customFormat="1">
      <c r="F1139" s="81"/>
    </row>
    <row r="1140" spans="6:6" s="80" customFormat="1">
      <c r="F1140" s="81"/>
    </row>
    <row r="1141" spans="6:6" s="80" customFormat="1">
      <c r="F1141" s="81"/>
    </row>
    <row r="1142" spans="6:6" s="80" customFormat="1">
      <c r="F1142" s="81"/>
    </row>
    <row r="1143" spans="6:6" s="80" customFormat="1">
      <c r="F1143" s="81"/>
    </row>
    <row r="1144" spans="6:6" s="80" customFormat="1">
      <c r="F1144" s="81"/>
    </row>
    <row r="1145" spans="6:6" s="80" customFormat="1">
      <c r="F1145" s="81"/>
    </row>
    <row r="1146" spans="6:6" s="80" customFormat="1">
      <c r="F1146" s="81"/>
    </row>
    <row r="1147" spans="6:6" s="80" customFormat="1">
      <c r="F1147" s="81"/>
    </row>
    <row r="1148" spans="6:6" s="80" customFormat="1">
      <c r="F1148" s="81"/>
    </row>
    <row r="1149" spans="6:6" s="80" customFormat="1">
      <c r="F1149" s="81"/>
    </row>
    <row r="1150" spans="6:6" s="80" customFormat="1">
      <c r="F1150" s="81"/>
    </row>
    <row r="1151" spans="6:6" s="80" customFormat="1">
      <c r="F1151" s="81"/>
    </row>
    <row r="1152" spans="6:6" s="80" customFormat="1">
      <c r="F1152" s="81"/>
    </row>
    <row r="1153" spans="6:6" s="80" customFormat="1">
      <c r="F1153" s="81"/>
    </row>
    <row r="1154" spans="6:6" s="80" customFormat="1">
      <c r="F1154" s="81"/>
    </row>
    <row r="1155" spans="6:6" s="80" customFormat="1">
      <c r="F1155" s="81"/>
    </row>
    <row r="1156" spans="6:6" s="80" customFormat="1">
      <c r="F1156" s="81"/>
    </row>
    <row r="1157" spans="6:6" s="80" customFormat="1">
      <c r="F1157" s="81"/>
    </row>
    <row r="1158" spans="6:6" s="80" customFormat="1">
      <c r="F1158" s="81"/>
    </row>
    <row r="1159" spans="6:6" s="80" customFormat="1">
      <c r="F1159" s="81"/>
    </row>
    <row r="1160" spans="6:6" s="80" customFormat="1">
      <c r="F1160" s="81"/>
    </row>
    <row r="1161" spans="6:6" s="80" customFormat="1">
      <c r="F1161" s="81"/>
    </row>
    <row r="1162" spans="6:6" s="80" customFormat="1">
      <c r="F1162" s="81"/>
    </row>
    <row r="1163" spans="6:6" s="80" customFormat="1">
      <c r="F1163" s="81"/>
    </row>
    <row r="1164" spans="6:6" s="80" customFormat="1">
      <c r="F1164" s="81"/>
    </row>
    <row r="1165" spans="6:6" s="80" customFormat="1">
      <c r="F1165" s="81"/>
    </row>
    <row r="1166" spans="6:6" s="80" customFormat="1">
      <c r="F1166" s="81"/>
    </row>
    <row r="1167" spans="6:6" s="80" customFormat="1">
      <c r="F1167" s="81"/>
    </row>
    <row r="1168" spans="6:6" s="80" customFormat="1">
      <c r="F1168" s="81"/>
    </row>
    <row r="1169" spans="6:6" s="80" customFormat="1">
      <c r="F1169" s="81"/>
    </row>
    <row r="1170" spans="6:6" s="80" customFormat="1">
      <c r="F1170" s="81"/>
    </row>
    <row r="1171" spans="6:6" s="80" customFormat="1">
      <c r="F1171" s="81"/>
    </row>
    <row r="1172" spans="6:6" s="80" customFormat="1">
      <c r="F1172" s="81"/>
    </row>
    <row r="1173" spans="6:6" s="80" customFormat="1">
      <c r="F1173" s="81"/>
    </row>
    <row r="1174" spans="6:6" s="80" customFormat="1">
      <c r="F1174" s="81"/>
    </row>
    <row r="1175" spans="6:6" s="80" customFormat="1">
      <c r="F1175" s="81"/>
    </row>
    <row r="1176" spans="6:6" s="80" customFormat="1">
      <c r="F1176" s="81"/>
    </row>
    <row r="1177" spans="6:6" s="80" customFormat="1">
      <c r="F1177" s="81"/>
    </row>
    <row r="1178" spans="6:6" s="80" customFormat="1">
      <c r="F1178" s="81"/>
    </row>
    <row r="1179" spans="6:6" s="80" customFormat="1">
      <c r="F1179" s="81"/>
    </row>
    <row r="1180" spans="6:6" s="80" customFormat="1">
      <c r="F1180" s="81"/>
    </row>
    <row r="1181" spans="6:6" s="80" customFormat="1">
      <c r="F1181" s="81"/>
    </row>
    <row r="1182" spans="6:6" s="80" customFormat="1">
      <c r="F1182" s="81"/>
    </row>
    <row r="1183" spans="6:6" s="80" customFormat="1">
      <c r="F1183" s="81"/>
    </row>
    <row r="1184" spans="6:6" s="80" customFormat="1">
      <c r="F1184" s="81"/>
    </row>
    <row r="1185" spans="6:6" s="80" customFormat="1">
      <c r="F1185" s="81"/>
    </row>
    <row r="1186" spans="6:6" s="80" customFormat="1">
      <c r="F1186" s="81"/>
    </row>
    <row r="1187" spans="6:6" s="80" customFormat="1">
      <c r="F1187" s="81"/>
    </row>
    <row r="1188" spans="6:6" s="80" customFormat="1">
      <c r="F1188" s="81"/>
    </row>
    <row r="1189" spans="6:6" s="80" customFormat="1">
      <c r="F1189" s="81"/>
    </row>
    <row r="1190" spans="6:6" s="80" customFormat="1">
      <c r="F1190" s="81"/>
    </row>
    <row r="1191" spans="6:6" s="80" customFormat="1">
      <c r="F1191" s="81"/>
    </row>
    <row r="1192" spans="6:6" s="80" customFormat="1">
      <c r="F1192" s="81"/>
    </row>
    <row r="1193" spans="6:6" s="80" customFormat="1">
      <c r="F1193" s="81"/>
    </row>
    <row r="1194" spans="6:6" s="80" customFormat="1">
      <c r="F1194" s="81"/>
    </row>
    <row r="1195" spans="6:6" s="80" customFormat="1">
      <c r="F1195" s="81"/>
    </row>
    <row r="1196" spans="6:6" s="80" customFormat="1">
      <c r="F1196" s="81"/>
    </row>
    <row r="1197" spans="6:6" s="80" customFormat="1">
      <c r="F1197" s="81"/>
    </row>
    <row r="1198" spans="6:6" s="80" customFormat="1">
      <c r="F1198" s="81"/>
    </row>
    <row r="1199" spans="6:6" s="80" customFormat="1">
      <c r="F1199" s="81"/>
    </row>
    <row r="1200" spans="6:6" s="80" customFormat="1">
      <c r="F1200" s="81"/>
    </row>
    <row r="1201" spans="6:6" s="80" customFormat="1">
      <c r="F1201" s="81"/>
    </row>
    <row r="1202" spans="6:6" s="80" customFormat="1">
      <c r="F1202" s="81"/>
    </row>
    <row r="1203" spans="6:6" s="80" customFormat="1">
      <c r="F1203" s="81"/>
    </row>
    <row r="1204" spans="6:6" s="80" customFormat="1">
      <c r="F1204" s="81"/>
    </row>
    <row r="1205" spans="6:6" s="80" customFormat="1">
      <c r="F1205" s="81"/>
    </row>
    <row r="1206" spans="6:6" s="80" customFormat="1">
      <c r="F1206" s="81"/>
    </row>
    <row r="1207" spans="6:6" s="80" customFormat="1">
      <c r="F1207" s="81"/>
    </row>
    <row r="1208" spans="6:6" s="80" customFormat="1">
      <c r="F1208" s="81"/>
    </row>
    <row r="1209" spans="6:6" s="80" customFormat="1">
      <c r="F1209" s="81"/>
    </row>
    <row r="1210" spans="6:6" s="80" customFormat="1">
      <c r="F1210" s="81"/>
    </row>
    <row r="1211" spans="6:6" s="80" customFormat="1">
      <c r="F1211" s="81"/>
    </row>
    <row r="1212" spans="6:6" s="80" customFormat="1">
      <c r="F1212" s="81"/>
    </row>
    <row r="1213" spans="6:6" s="80" customFormat="1">
      <c r="F1213" s="81"/>
    </row>
    <row r="1214" spans="6:6" s="80" customFormat="1">
      <c r="F1214" s="81"/>
    </row>
    <row r="1215" spans="6:6" s="80" customFormat="1">
      <c r="F1215" s="81"/>
    </row>
    <row r="1216" spans="6:6" s="80" customFormat="1">
      <c r="F1216" s="81"/>
    </row>
    <row r="1217" spans="6:6" s="80" customFormat="1">
      <c r="F1217" s="81"/>
    </row>
    <row r="1218" spans="6:6" s="80" customFormat="1">
      <c r="F1218" s="81"/>
    </row>
    <row r="1219" spans="6:6" s="80" customFormat="1">
      <c r="F1219" s="81"/>
    </row>
    <row r="1220" spans="6:6" s="80" customFormat="1">
      <c r="F1220" s="81"/>
    </row>
    <row r="1221" spans="6:6" s="80" customFormat="1">
      <c r="F1221" s="81"/>
    </row>
    <row r="1222" spans="6:6" s="80" customFormat="1">
      <c r="F1222" s="81"/>
    </row>
    <row r="1223" spans="6:6" s="80" customFormat="1">
      <c r="F1223" s="81"/>
    </row>
    <row r="1224" spans="6:6" s="80" customFormat="1">
      <c r="F1224" s="81"/>
    </row>
    <row r="1225" spans="6:6" s="80" customFormat="1">
      <c r="F1225" s="81"/>
    </row>
    <row r="1226" spans="6:6" s="80" customFormat="1">
      <c r="F1226" s="81"/>
    </row>
    <row r="1227" spans="6:6" s="80" customFormat="1">
      <c r="F1227" s="81"/>
    </row>
    <row r="1228" spans="6:6" s="80" customFormat="1">
      <c r="F1228" s="81"/>
    </row>
    <row r="1229" spans="6:6" s="80" customFormat="1">
      <c r="F1229" s="81"/>
    </row>
    <row r="1230" spans="6:6" s="80" customFormat="1">
      <c r="F1230" s="81"/>
    </row>
    <row r="1231" spans="6:6" s="80" customFormat="1">
      <c r="F1231" s="81"/>
    </row>
    <row r="1232" spans="6:6" s="80" customFormat="1">
      <c r="F1232" s="81"/>
    </row>
    <row r="1233" spans="6:6" s="80" customFormat="1">
      <c r="F1233" s="81"/>
    </row>
    <row r="1234" spans="6:6" s="80" customFormat="1">
      <c r="F1234" s="81"/>
    </row>
    <row r="1235" spans="6:6" s="80" customFormat="1">
      <c r="F1235" s="81"/>
    </row>
    <row r="1236" spans="6:6" s="80" customFormat="1">
      <c r="F1236" s="81"/>
    </row>
    <row r="1237" spans="6:6" s="80" customFormat="1">
      <c r="F1237" s="81"/>
    </row>
    <row r="1238" spans="6:6" s="80" customFormat="1">
      <c r="F1238" s="81"/>
    </row>
    <row r="1239" spans="6:6" s="80" customFormat="1">
      <c r="F1239" s="81"/>
    </row>
    <row r="1240" spans="6:6" s="80" customFormat="1">
      <c r="F1240" s="81"/>
    </row>
    <row r="1241" spans="6:6" s="80" customFormat="1">
      <c r="F1241" s="81"/>
    </row>
    <row r="1242" spans="6:6" s="80" customFormat="1">
      <c r="F1242" s="81"/>
    </row>
    <row r="1243" spans="6:6" s="80" customFormat="1">
      <c r="F1243" s="81"/>
    </row>
    <row r="1244" spans="6:6" s="80" customFormat="1">
      <c r="F1244" s="81"/>
    </row>
    <row r="1245" spans="6:6" s="80" customFormat="1">
      <c r="F1245" s="81"/>
    </row>
    <row r="1246" spans="6:6" s="80" customFormat="1">
      <c r="F1246" s="81"/>
    </row>
    <row r="1247" spans="6:6" s="80" customFormat="1">
      <c r="F1247" s="81"/>
    </row>
    <row r="1248" spans="6:6" s="80" customFormat="1">
      <c r="F1248" s="81"/>
    </row>
    <row r="1249" spans="6:6" s="80" customFormat="1">
      <c r="F1249" s="81"/>
    </row>
    <row r="1250" spans="6:6" s="80" customFormat="1">
      <c r="F1250" s="81"/>
    </row>
    <row r="1251" spans="6:6" s="80" customFormat="1">
      <c r="F1251" s="81"/>
    </row>
    <row r="1252" spans="6:6" s="80" customFormat="1">
      <c r="F1252" s="81"/>
    </row>
    <row r="1253" spans="6:6" s="80" customFormat="1">
      <c r="F1253" s="81"/>
    </row>
    <row r="1254" spans="6:6" s="80" customFormat="1">
      <c r="F1254" s="81"/>
    </row>
    <row r="1255" spans="6:6" s="80" customFormat="1">
      <c r="F1255" s="81"/>
    </row>
    <row r="1256" spans="6:6" s="80" customFormat="1">
      <c r="F1256" s="81"/>
    </row>
    <row r="1257" spans="6:6" s="80" customFormat="1">
      <c r="F1257" s="81"/>
    </row>
    <row r="1258" spans="6:6" s="80" customFormat="1">
      <c r="F1258" s="81"/>
    </row>
    <row r="1259" spans="6:6" s="80" customFormat="1">
      <c r="F1259" s="81"/>
    </row>
    <row r="1260" spans="6:6" s="80" customFormat="1">
      <c r="F1260" s="81"/>
    </row>
    <row r="1261" spans="6:6" s="80" customFormat="1">
      <c r="F1261" s="81"/>
    </row>
    <row r="1262" spans="6:6" s="80" customFormat="1">
      <c r="F1262" s="81"/>
    </row>
    <row r="1263" spans="6:6" s="80" customFormat="1">
      <c r="F1263" s="81"/>
    </row>
    <row r="1264" spans="6:6" s="80" customFormat="1">
      <c r="F1264" s="81"/>
    </row>
    <row r="1265" spans="6:6" s="80" customFormat="1">
      <c r="F1265" s="81"/>
    </row>
    <row r="1266" spans="6:6" s="80" customFormat="1">
      <c r="F1266" s="81"/>
    </row>
    <row r="1267" spans="6:6" s="80" customFormat="1">
      <c r="F1267" s="81"/>
    </row>
    <row r="1268" spans="6:6" s="80" customFormat="1">
      <c r="F1268" s="81"/>
    </row>
    <row r="1269" spans="6:6" s="80" customFormat="1">
      <c r="F1269" s="81"/>
    </row>
    <row r="1270" spans="6:6" s="80" customFormat="1">
      <c r="F1270" s="81"/>
    </row>
    <row r="1271" spans="6:6" s="80" customFormat="1">
      <c r="F1271" s="81"/>
    </row>
    <row r="1272" spans="6:6" s="80" customFormat="1">
      <c r="F1272" s="81"/>
    </row>
    <row r="1273" spans="6:6" s="80" customFormat="1">
      <c r="F1273" s="81"/>
    </row>
    <row r="1274" spans="6:6" s="80" customFormat="1">
      <c r="F1274" s="81"/>
    </row>
    <row r="1275" spans="6:6" s="80" customFormat="1">
      <c r="F1275" s="81"/>
    </row>
    <row r="1276" spans="6:6" s="80" customFormat="1">
      <c r="F1276" s="81"/>
    </row>
    <row r="1277" spans="6:6" s="80" customFormat="1">
      <c r="F1277" s="81"/>
    </row>
    <row r="1278" spans="6:6" s="80" customFormat="1">
      <c r="F1278" s="81"/>
    </row>
    <row r="1279" spans="6:6" s="80" customFormat="1">
      <c r="F1279" s="81"/>
    </row>
    <row r="1280" spans="6:6" s="80" customFormat="1">
      <c r="F1280" s="81"/>
    </row>
    <row r="1281" spans="6:6" s="80" customFormat="1">
      <c r="F1281" s="81"/>
    </row>
    <row r="1282" spans="6:6" s="80" customFormat="1">
      <c r="F1282" s="81"/>
    </row>
    <row r="1283" spans="6:6" s="80" customFormat="1">
      <c r="F1283" s="81"/>
    </row>
    <row r="1284" spans="6:6" s="80" customFormat="1">
      <c r="F1284" s="81"/>
    </row>
    <row r="1285" spans="6:6" s="80" customFormat="1">
      <c r="F1285" s="81"/>
    </row>
    <row r="1286" spans="6:6" s="80" customFormat="1">
      <c r="F1286" s="81"/>
    </row>
    <row r="1287" spans="6:6" s="80" customFormat="1">
      <c r="F1287" s="81"/>
    </row>
    <row r="1288" spans="6:6" s="80" customFormat="1">
      <c r="F1288" s="81"/>
    </row>
    <row r="1289" spans="6:6" s="80" customFormat="1">
      <c r="F1289" s="81"/>
    </row>
    <row r="1290" spans="6:6" s="80" customFormat="1">
      <c r="F1290" s="81"/>
    </row>
    <row r="1291" spans="6:6" s="80" customFormat="1">
      <c r="F1291" s="81"/>
    </row>
    <row r="1292" spans="6:6" s="80" customFormat="1">
      <c r="F1292" s="81"/>
    </row>
    <row r="1293" spans="6:6" s="80" customFormat="1">
      <c r="F1293" s="81"/>
    </row>
    <row r="1294" spans="6:6" s="80" customFormat="1">
      <c r="F1294" s="81"/>
    </row>
    <row r="1295" spans="6:6" s="80" customFormat="1">
      <c r="F1295" s="81"/>
    </row>
    <row r="1296" spans="6:6" s="80" customFormat="1">
      <c r="F1296" s="81"/>
    </row>
    <row r="1297" spans="6:6" s="80" customFormat="1">
      <c r="F1297" s="81"/>
    </row>
    <row r="1298" spans="6:6" s="80" customFormat="1">
      <c r="F1298" s="81"/>
    </row>
    <row r="1299" spans="6:6" s="80" customFormat="1">
      <c r="F1299" s="81"/>
    </row>
    <row r="1300" spans="6:6" s="80" customFormat="1">
      <c r="F1300" s="81"/>
    </row>
    <row r="1301" spans="6:6" s="80" customFormat="1">
      <c r="F1301" s="81"/>
    </row>
    <row r="1302" spans="6:6" s="80" customFormat="1">
      <c r="F1302" s="81"/>
    </row>
    <row r="1303" spans="6:6" s="80" customFormat="1">
      <c r="F1303" s="81"/>
    </row>
    <row r="1304" spans="6:6" s="80" customFormat="1">
      <c r="F1304" s="81"/>
    </row>
    <row r="1305" spans="6:6" s="80" customFormat="1">
      <c r="F1305" s="81"/>
    </row>
    <row r="1306" spans="6:6" s="80" customFormat="1">
      <c r="F1306" s="81"/>
    </row>
    <row r="1307" spans="6:6" s="80" customFormat="1">
      <c r="F1307" s="81"/>
    </row>
    <row r="1308" spans="6:6" s="80" customFormat="1">
      <c r="F1308" s="81"/>
    </row>
    <row r="1309" spans="6:6" s="80" customFormat="1">
      <c r="F1309" s="81"/>
    </row>
    <row r="1310" spans="6:6" s="80" customFormat="1">
      <c r="F1310" s="81"/>
    </row>
    <row r="1311" spans="6:6" s="80" customFormat="1">
      <c r="F1311" s="81"/>
    </row>
    <row r="1312" spans="6:6" s="80" customFormat="1">
      <c r="F1312" s="81"/>
    </row>
    <row r="1313" spans="6:6" s="80" customFormat="1">
      <c r="F1313" s="81"/>
    </row>
    <row r="1314" spans="6:6" s="80" customFormat="1">
      <c r="F1314" s="81"/>
    </row>
    <row r="1315" spans="6:6" s="80" customFormat="1">
      <c r="F1315" s="81"/>
    </row>
    <row r="1316" spans="6:6" s="80" customFormat="1">
      <c r="F1316" s="81"/>
    </row>
    <row r="1317" spans="6:6" s="80" customFormat="1">
      <c r="F1317" s="81"/>
    </row>
    <row r="1318" spans="6:6" s="80" customFormat="1">
      <c r="F1318" s="81"/>
    </row>
    <row r="1319" spans="6:6" s="80" customFormat="1">
      <c r="F1319" s="81"/>
    </row>
    <row r="1320" spans="6:6" s="80" customFormat="1">
      <c r="F1320" s="81"/>
    </row>
    <row r="1321" spans="6:6" s="80" customFormat="1">
      <c r="F1321" s="81"/>
    </row>
    <row r="1322" spans="6:6" s="80" customFormat="1">
      <c r="F1322" s="81"/>
    </row>
    <row r="1323" spans="6:6" s="80" customFormat="1">
      <c r="F1323" s="81"/>
    </row>
    <row r="1324" spans="6:6" s="80" customFormat="1">
      <c r="F1324" s="81"/>
    </row>
    <row r="1325" spans="6:6" s="80" customFormat="1">
      <c r="F1325" s="81"/>
    </row>
    <row r="1326" spans="6:6" s="80" customFormat="1">
      <c r="F1326" s="81"/>
    </row>
    <row r="1327" spans="6:6" s="80" customFormat="1">
      <c r="F1327" s="81"/>
    </row>
    <row r="1328" spans="6:6" s="80" customFormat="1">
      <c r="F1328" s="81"/>
    </row>
    <row r="1329" spans="6:6" s="80" customFormat="1">
      <c r="F1329" s="81"/>
    </row>
    <row r="1330" spans="6:6" s="80" customFormat="1">
      <c r="F1330" s="81"/>
    </row>
    <row r="1331" spans="6:6" s="80" customFormat="1">
      <c r="F1331" s="81"/>
    </row>
    <row r="1332" spans="6:6" s="80" customFormat="1">
      <c r="F1332" s="81"/>
    </row>
    <row r="1333" spans="6:6" s="80" customFormat="1">
      <c r="F1333" s="81"/>
    </row>
    <row r="1334" spans="6:6" s="80" customFormat="1">
      <c r="F1334" s="81"/>
    </row>
    <row r="1335" spans="6:6" s="80" customFormat="1">
      <c r="F1335" s="81"/>
    </row>
    <row r="1336" spans="6:6" s="80" customFormat="1">
      <c r="F1336" s="81"/>
    </row>
    <row r="1337" spans="6:6" s="80" customFormat="1">
      <c r="F1337" s="81"/>
    </row>
    <row r="1338" spans="6:6" s="80" customFormat="1">
      <c r="F1338" s="81"/>
    </row>
    <row r="1339" spans="6:6" s="80" customFormat="1">
      <c r="F1339" s="81"/>
    </row>
    <row r="1340" spans="6:6" s="80" customFormat="1">
      <c r="F1340" s="81"/>
    </row>
    <row r="1341" spans="6:6" s="80" customFormat="1">
      <c r="F1341" s="81"/>
    </row>
    <row r="1342" spans="6:6" s="80" customFormat="1">
      <c r="F1342" s="81"/>
    </row>
    <row r="1343" spans="6:6" s="80" customFormat="1">
      <c r="F1343" s="81"/>
    </row>
    <row r="1344" spans="6:6" s="80" customFormat="1">
      <c r="F1344" s="81"/>
    </row>
    <row r="1345" spans="6:6" s="80" customFormat="1">
      <c r="F1345" s="81"/>
    </row>
    <row r="1346" spans="6:6" s="80" customFormat="1">
      <c r="F1346" s="81"/>
    </row>
    <row r="1347" spans="6:6" s="80" customFormat="1">
      <c r="F1347" s="81"/>
    </row>
    <row r="1348" spans="6:6" s="80" customFormat="1">
      <c r="F1348" s="81"/>
    </row>
    <row r="1349" spans="6:6" s="80" customFormat="1">
      <c r="F1349" s="81"/>
    </row>
    <row r="1350" spans="6:6" s="80" customFormat="1">
      <c r="F1350" s="81"/>
    </row>
    <row r="1351" spans="6:6" s="80" customFormat="1">
      <c r="F1351" s="81"/>
    </row>
    <row r="1352" spans="6:6" s="80" customFormat="1">
      <c r="F1352" s="81"/>
    </row>
    <row r="1353" spans="6:6" s="80" customFormat="1">
      <c r="F1353" s="81"/>
    </row>
    <row r="1354" spans="6:6" s="80" customFormat="1">
      <c r="F1354" s="81"/>
    </row>
    <row r="1355" spans="6:6" s="80" customFormat="1">
      <c r="F1355" s="81"/>
    </row>
    <row r="1356" spans="6:6" s="80" customFormat="1">
      <c r="F1356" s="81"/>
    </row>
    <row r="1357" spans="6:6" s="80" customFormat="1">
      <c r="F1357" s="81"/>
    </row>
    <row r="1358" spans="6:6" s="80" customFormat="1">
      <c r="F1358" s="81"/>
    </row>
    <row r="1359" spans="6:6" s="80" customFormat="1">
      <c r="F1359" s="81"/>
    </row>
    <row r="1360" spans="6:6" s="80" customFormat="1">
      <c r="F1360" s="81"/>
    </row>
    <row r="1361" spans="6:6" s="80" customFormat="1">
      <c r="F1361" s="81"/>
    </row>
    <row r="1362" spans="6:6" s="80" customFormat="1">
      <c r="F1362" s="81"/>
    </row>
    <row r="1363" spans="6:6" s="80" customFormat="1">
      <c r="F1363" s="81"/>
    </row>
    <row r="1364" spans="6:6" s="80" customFormat="1">
      <c r="F1364" s="81"/>
    </row>
    <row r="1365" spans="6:6" s="80" customFormat="1">
      <c r="F1365" s="81"/>
    </row>
    <row r="1366" spans="6:6" s="80" customFormat="1">
      <c r="F1366" s="81"/>
    </row>
    <row r="1367" spans="6:6" s="80" customFormat="1">
      <c r="F1367" s="81"/>
    </row>
    <row r="1368" spans="6:6" s="80" customFormat="1">
      <c r="F1368" s="81"/>
    </row>
    <row r="1369" spans="6:6" s="80" customFormat="1">
      <c r="F1369" s="81"/>
    </row>
    <row r="1370" spans="6:6" s="80" customFormat="1">
      <c r="F1370" s="81"/>
    </row>
    <row r="1371" spans="6:6" s="80" customFormat="1">
      <c r="F1371" s="81"/>
    </row>
    <row r="1372" spans="6:6" s="80" customFormat="1">
      <c r="F1372" s="81"/>
    </row>
    <row r="1373" spans="6:6" s="80" customFormat="1">
      <c r="F1373" s="81"/>
    </row>
    <row r="1374" spans="6:6" s="80" customFormat="1">
      <c r="F1374" s="81"/>
    </row>
    <row r="1375" spans="6:6" s="80" customFormat="1">
      <c r="F1375" s="81"/>
    </row>
    <row r="1376" spans="6:6" s="80" customFormat="1">
      <c r="F1376" s="81"/>
    </row>
    <row r="1377" spans="6:6" s="80" customFormat="1">
      <c r="F1377" s="81"/>
    </row>
    <row r="1378" spans="6:6" s="80" customFormat="1">
      <c r="F1378" s="81"/>
    </row>
    <row r="1379" spans="6:6" s="80" customFormat="1">
      <c r="F1379" s="81"/>
    </row>
    <row r="1380" spans="6:6" s="80" customFormat="1">
      <c r="F1380" s="81"/>
    </row>
    <row r="1381" spans="6:6" s="80" customFormat="1">
      <c r="F1381" s="81"/>
    </row>
    <row r="1382" spans="6:6" s="80" customFormat="1">
      <c r="F1382" s="81"/>
    </row>
    <row r="1383" spans="6:6" s="80" customFormat="1">
      <c r="F1383" s="81"/>
    </row>
    <row r="1384" spans="6:6" s="80" customFormat="1">
      <c r="F1384" s="81"/>
    </row>
    <row r="1385" spans="6:6" s="80" customFormat="1">
      <c r="F1385" s="81"/>
    </row>
    <row r="1386" spans="6:6" s="80" customFormat="1">
      <c r="F1386" s="81"/>
    </row>
    <row r="1387" spans="6:6" s="80" customFormat="1">
      <c r="F1387" s="81"/>
    </row>
    <row r="1388" spans="6:6" s="80" customFormat="1">
      <c r="F1388" s="81"/>
    </row>
    <row r="1389" spans="6:6" s="80" customFormat="1">
      <c r="F1389" s="81"/>
    </row>
    <row r="1390" spans="6:6" s="80" customFormat="1">
      <c r="F1390" s="81"/>
    </row>
    <row r="1391" spans="6:6" s="80" customFormat="1">
      <c r="F1391" s="81"/>
    </row>
    <row r="1392" spans="6:6" s="80" customFormat="1">
      <c r="F1392" s="81"/>
    </row>
    <row r="1393" spans="6:6" s="80" customFormat="1">
      <c r="F1393" s="81"/>
    </row>
    <row r="1394" spans="6:6" s="80" customFormat="1">
      <c r="F1394" s="81"/>
    </row>
    <row r="1395" spans="6:6" s="80" customFormat="1">
      <c r="F1395" s="81"/>
    </row>
    <row r="1396" spans="6:6" s="80" customFormat="1">
      <c r="F1396" s="81"/>
    </row>
    <row r="1397" spans="6:6" s="80" customFormat="1">
      <c r="F1397" s="81"/>
    </row>
    <row r="1398" spans="6:6" s="80" customFormat="1">
      <c r="F1398" s="81"/>
    </row>
    <row r="1399" spans="6:6" s="80" customFormat="1">
      <c r="F1399" s="81"/>
    </row>
    <row r="1400" spans="6:6" s="80" customFormat="1">
      <c r="F1400" s="81"/>
    </row>
    <row r="1401" spans="6:6" s="80" customFormat="1">
      <c r="F1401" s="81"/>
    </row>
    <row r="1402" spans="6:6" s="80" customFormat="1">
      <c r="F1402" s="81"/>
    </row>
    <row r="1403" spans="6:6" s="80" customFormat="1">
      <c r="F1403" s="81"/>
    </row>
    <row r="1404" spans="6:6" s="80" customFormat="1">
      <c r="F1404" s="81"/>
    </row>
    <row r="1405" spans="6:6" s="80" customFormat="1">
      <c r="F1405" s="81"/>
    </row>
    <row r="1406" spans="6:6" s="80" customFormat="1">
      <c r="F1406" s="81"/>
    </row>
    <row r="1407" spans="6:6" s="80" customFormat="1">
      <c r="F1407" s="81"/>
    </row>
    <row r="1408" spans="6:6" s="80" customFormat="1">
      <c r="F1408" s="81"/>
    </row>
    <row r="1409" spans="6:6" s="80" customFormat="1">
      <c r="F1409" s="81"/>
    </row>
    <row r="1410" spans="6:6" s="80" customFormat="1">
      <c r="F1410" s="81"/>
    </row>
    <row r="1411" spans="6:6" s="80" customFormat="1">
      <c r="F1411" s="81"/>
    </row>
    <row r="1412" spans="6:6" s="80" customFormat="1">
      <c r="F1412" s="81"/>
    </row>
    <row r="1413" spans="6:6" s="80" customFormat="1">
      <c r="F1413" s="81"/>
    </row>
    <row r="1414" spans="6:6" s="80" customFormat="1">
      <c r="F1414" s="81"/>
    </row>
    <row r="1415" spans="6:6" s="80" customFormat="1">
      <c r="F1415" s="81"/>
    </row>
    <row r="1416" spans="6:6" s="80" customFormat="1">
      <c r="F1416" s="81"/>
    </row>
    <row r="1417" spans="6:6" s="80" customFormat="1">
      <c r="F1417" s="81"/>
    </row>
    <row r="1418" spans="6:6" s="80" customFormat="1">
      <c r="F1418" s="81"/>
    </row>
    <row r="1419" spans="6:6" s="80" customFormat="1">
      <c r="F1419" s="81"/>
    </row>
    <row r="1420" spans="6:6" s="80" customFormat="1">
      <c r="F1420" s="81"/>
    </row>
    <row r="1421" spans="6:6" s="80" customFormat="1">
      <c r="F1421" s="81"/>
    </row>
    <row r="1422" spans="6:6" s="80" customFormat="1">
      <c r="F1422" s="81"/>
    </row>
    <row r="1423" spans="6:6" s="80" customFormat="1">
      <c r="F1423" s="81"/>
    </row>
    <row r="1424" spans="6:6" s="80" customFormat="1">
      <c r="F1424" s="81"/>
    </row>
    <row r="1425" spans="6:6" s="80" customFormat="1">
      <c r="F1425" s="81"/>
    </row>
    <row r="1426" spans="6:6" s="80" customFormat="1">
      <c r="F1426" s="81"/>
    </row>
    <row r="1427" spans="6:6" s="80" customFormat="1">
      <c r="F1427" s="81"/>
    </row>
    <row r="1428" spans="6:6" s="80" customFormat="1">
      <c r="F1428" s="81"/>
    </row>
    <row r="1429" spans="6:6" s="80" customFormat="1">
      <c r="F1429" s="81"/>
    </row>
    <row r="1430" spans="6:6" s="80" customFormat="1">
      <c r="F1430" s="81"/>
    </row>
    <row r="1431" spans="6:6" s="80" customFormat="1">
      <c r="F1431" s="81"/>
    </row>
    <row r="1432" spans="6:6" s="80" customFormat="1">
      <c r="F1432" s="81"/>
    </row>
    <row r="1433" spans="6:6" s="80" customFormat="1">
      <c r="F1433" s="81"/>
    </row>
    <row r="1434" spans="6:6" s="80" customFormat="1">
      <c r="F1434" s="81"/>
    </row>
    <row r="1435" spans="6:6" s="80" customFormat="1">
      <c r="F1435" s="81"/>
    </row>
    <row r="1436" spans="6:6" s="80" customFormat="1">
      <c r="F1436" s="81"/>
    </row>
    <row r="1437" spans="6:6" s="80" customFormat="1">
      <c r="F1437" s="81"/>
    </row>
    <row r="1438" spans="6:6" s="80" customFormat="1">
      <c r="F1438" s="81"/>
    </row>
    <row r="1439" spans="6:6" s="80" customFormat="1">
      <c r="F1439" s="81"/>
    </row>
    <row r="1440" spans="6:6" s="80" customFormat="1">
      <c r="F1440" s="81"/>
    </row>
    <row r="1441" spans="6:6" s="80" customFormat="1">
      <c r="F1441" s="81"/>
    </row>
    <row r="1442" spans="6:6" s="80" customFormat="1">
      <c r="F1442" s="81"/>
    </row>
    <row r="1443" spans="6:6" s="80" customFormat="1">
      <c r="F1443" s="81"/>
    </row>
    <row r="1444" spans="6:6" s="80" customFormat="1">
      <c r="F1444" s="81"/>
    </row>
    <row r="1445" spans="6:6" s="80" customFormat="1">
      <c r="F1445" s="81"/>
    </row>
    <row r="1446" spans="6:6" s="80" customFormat="1">
      <c r="F1446" s="81"/>
    </row>
    <row r="1447" spans="6:6" s="80" customFormat="1">
      <c r="F1447" s="81"/>
    </row>
    <row r="1448" spans="6:6" s="80" customFormat="1">
      <c r="F1448" s="81"/>
    </row>
    <row r="1449" spans="6:6" s="80" customFormat="1">
      <c r="F1449" s="81"/>
    </row>
    <row r="1450" spans="6:6" s="80" customFormat="1">
      <c r="F1450" s="81"/>
    </row>
    <row r="1451" spans="6:6" s="80" customFormat="1">
      <c r="F1451" s="81"/>
    </row>
    <row r="1452" spans="6:6" s="80" customFormat="1">
      <c r="F1452" s="81"/>
    </row>
    <row r="1453" spans="6:6" s="80" customFormat="1">
      <c r="F1453" s="81"/>
    </row>
    <row r="1454" spans="6:6" s="80" customFormat="1">
      <c r="F1454" s="81"/>
    </row>
    <row r="1455" spans="6:6" s="80" customFormat="1">
      <c r="F1455" s="81"/>
    </row>
    <row r="1456" spans="6:6" s="80" customFormat="1">
      <c r="F1456" s="81"/>
    </row>
    <row r="1457" spans="6:6" s="80" customFormat="1">
      <c r="F1457" s="81"/>
    </row>
    <row r="1458" spans="6:6" s="80" customFormat="1">
      <c r="F1458" s="81"/>
    </row>
    <row r="1459" spans="6:6" s="80" customFormat="1">
      <c r="F1459" s="81"/>
    </row>
    <row r="1460" spans="6:6" s="80" customFormat="1">
      <c r="F1460" s="81"/>
    </row>
    <row r="1461" spans="6:6" s="80" customFormat="1">
      <c r="F1461" s="81"/>
    </row>
    <row r="1462" spans="6:6" s="80" customFormat="1">
      <c r="F1462" s="81"/>
    </row>
    <row r="1463" spans="6:6" s="80" customFormat="1">
      <c r="F1463" s="81"/>
    </row>
    <row r="1464" spans="6:6" s="80" customFormat="1">
      <c r="F1464" s="81"/>
    </row>
    <row r="1465" spans="6:6" s="80" customFormat="1">
      <c r="F1465" s="81"/>
    </row>
    <row r="1466" spans="6:6" s="80" customFormat="1">
      <c r="F1466" s="81"/>
    </row>
    <row r="1467" spans="6:6" s="80" customFormat="1">
      <c r="F1467" s="81"/>
    </row>
    <row r="1468" spans="6:6" s="80" customFormat="1">
      <c r="F1468" s="81"/>
    </row>
    <row r="1469" spans="6:6" s="80" customFormat="1">
      <c r="F1469" s="81"/>
    </row>
    <row r="1470" spans="6:6" s="80" customFormat="1">
      <c r="F1470" s="81"/>
    </row>
    <row r="1471" spans="6:6" s="80" customFormat="1">
      <c r="F1471" s="81"/>
    </row>
    <row r="1472" spans="6:6" s="80" customFormat="1">
      <c r="F1472" s="81"/>
    </row>
    <row r="1473" spans="6:6" s="80" customFormat="1">
      <c r="F1473" s="81"/>
    </row>
    <row r="1474" spans="6:6" s="80" customFormat="1">
      <c r="F1474" s="81"/>
    </row>
    <row r="1475" spans="6:6" s="80" customFormat="1">
      <c r="F1475" s="81"/>
    </row>
    <row r="1476" spans="6:6" s="80" customFormat="1">
      <c r="F1476" s="81"/>
    </row>
    <row r="1477" spans="6:6" s="80" customFormat="1">
      <c r="F1477" s="81"/>
    </row>
    <row r="1478" spans="6:6" s="80" customFormat="1">
      <c r="F1478" s="81"/>
    </row>
    <row r="1479" spans="6:6" s="80" customFormat="1">
      <c r="F1479" s="81"/>
    </row>
    <row r="1480" spans="6:6" s="80" customFormat="1">
      <c r="F1480" s="81"/>
    </row>
    <row r="1481" spans="6:6" s="80" customFormat="1">
      <c r="F1481" s="81"/>
    </row>
    <row r="1482" spans="6:6" s="80" customFormat="1">
      <c r="F1482" s="81"/>
    </row>
    <row r="1483" spans="6:6" s="80" customFormat="1">
      <c r="F1483" s="81"/>
    </row>
    <row r="1484" spans="6:6" s="80" customFormat="1">
      <c r="F1484" s="81"/>
    </row>
    <row r="1485" spans="6:6" s="80" customFormat="1">
      <c r="F1485" s="81"/>
    </row>
    <row r="1486" spans="6:6" s="80" customFormat="1">
      <c r="F1486" s="81"/>
    </row>
    <row r="1487" spans="6:6" s="80" customFormat="1">
      <c r="F1487" s="81"/>
    </row>
    <row r="1488" spans="6:6" s="80" customFormat="1">
      <c r="F1488" s="81"/>
    </row>
    <row r="1489" spans="6:6" s="80" customFormat="1">
      <c r="F1489" s="81"/>
    </row>
    <row r="1490" spans="6:6" s="80" customFormat="1">
      <c r="F1490" s="81"/>
    </row>
    <row r="1491" spans="6:6" s="80" customFormat="1">
      <c r="F1491" s="81"/>
    </row>
    <row r="1492" spans="6:6" s="80" customFormat="1">
      <c r="F1492" s="81"/>
    </row>
    <row r="1493" spans="6:6" s="80" customFormat="1">
      <c r="F1493" s="81"/>
    </row>
    <row r="1494" spans="6:6" s="80" customFormat="1">
      <c r="F1494" s="81"/>
    </row>
    <row r="1495" spans="6:6" s="80" customFormat="1">
      <c r="F1495" s="81"/>
    </row>
    <row r="1496" spans="6:6" s="80" customFormat="1">
      <c r="F1496" s="81"/>
    </row>
    <row r="1497" spans="6:6" s="80" customFormat="1">
      <c r="F1497" s="81"/>
    </row>
    <row r="1498" spans="6:6" s="80" customFormat="1">
      <c r="F1498" s="81"/>
    </row>
    <row r="1499" spans="6:6" s="80" customFormat="1">
      <c r="F1499" s="81"/>
    </row>
    <row r="1500" spans="6:6" s="80" customFormat="1">
      <c r="F1500" s="81"/>
    </row>
    <row r="1501" spans="6:6" s="80" customFormat="1">
      <c r="F1501" s="81"/>
    </row>
    <row r="1502" spans="6:6" s="80" customFormat="1">
      <c r="F1502" s="81"/>
    </row>
    <row r="1503" spans="6:6" s="80" customFormat="1">
      <c r="F1503" s="81"/>
    </row>
    <row r="1504" spans="6:6" s="80" customFormat="1">
      <c r="F1504" s="81"/>
    </row>
    <row r="1505" spans="6:6" s="80" customFormat="1">
      <c r="F1505" s="81"/>
    </row>
    <row r="1506" spans="6:6" s="80" customFormat="1">
      <c r="F1506" s="81"/>
    </row>
    <row r="1507" spans="6:6" s="80" customFormat="1">
      <c r="F1507" s="81"/>
    </row>
    <row r="1508" spans="6:6" s="80" customFormat="1">
      <c r="F1508" s="81"/>
    </row>
    <row r="1509" spans="6:6" s="80" customFormat="1">
      <c r="F1509" s="81"/>
    </row>
    <row r="1510" spans="6:6" s="80" customFormat="1">
      <c r="F1510" s="81"/>
    </row>
    <row r="1511" spans="6:6" s="80" customFormat="1">
      <c r="F1511" s="81"/>
    </row>
    <row r="1512" spans="6:6" s="80" customFormat="1">
      <c r="F1512" s="81"/>
    </row>
    <row r="1513" spans="6:6" s="80" customFormat="1">
      <c r="F1513" s="81"/>
    </row>
    <row r="1514" spans="6:6" s="80" customFormat="1">
      <c r="F1514" s="81"/>
    </row>
    <row r="1515" spans="6:6" s="80" customFormat="1">
      <c r="F1515" s="81"/>
    </row>
    <row r="1516" spans="6:6" s="80" customFormat="1">
      <c r="F1516" s="81"/>
    </row>
    <row r="1517" spans="6:6" s="80" customFormat="1">
      <c r="F1517" s="81"/>
    </row>
    <row r="1518" spans="6:6" s="80" customFormat="1">
      <c r="F1518" s="81"/>
    </row>
    <row r="1519" spans="6:6" s="80" customFormat="1">
      <c r="F1519" s="81"/>
    </row>
    <row r="1520" spans="6:6" s="80" customFormat="1">
      <c r="F1520" s="81"/>
    </row>
    <row r="1521" spans="6:6" s="80" customFormat="1">
      <c r="F1521" s="81"/>
    </row>
    <row r="1522" spans="6:6" s="80" customFormat="1">
      <c r="F1522" s="81"/>
    </row>
    <row r="1523" spans="6:6" s="80" customFormat="1">
      <c r="F1523" s="81"/>
    </row>
    <row r="1524" spans="6:6" s="80" customFormat="1">
      <c r="F1524" s="81"/>
    </row>
    <row r="1525" spans="6:6" s="80" customFormat="1">
      <c r="F1525" s="81"/>
    </row>
    <row r="1526" spans="6:6" s="80" customFormat="1">
      <c r="F1526" s="81"/>
    </row>
    <row r="1527" spans="6:6" s="80" customFormat="1">
      <c r="F1527" s="81"/>
    </row>
    <row r="1528" spans="6:6" s="80" customFormat="1">
      <c r="F1528" s="81"/>
    </row>
    <row r="1529" spans="6:6" s="80" customFormat="1">
      <c r="F1529" s="81"/>
    </row>
    <row r="1530" spans="6:6" s="80" customFormat="1">
      <c r="F1530" s="81"/>
    </row>
    <row r="1531" spans="6:6" s="80" customFormat="1">
      <c r="F1531" s="81"/>
    </row>
    <row r="1532" spans="6:6" s="80" customFormat="1">
      <c r="F1532" s="81"/>
    </row>
    <row r="1533" spans="6:6" s="80" customFormat="1">
      <c r="F1533" s="81"/>
    </row>
    <row r="1534" spans="6:6" s="80" customFormat="1">
      <c r="F1534" s="81"/>
    </row>
    <row r="1535" spans="6:6" s="80" customFormat="1">
      <c r="F1535" s="81"/>
    </row>
    <row r="1536" spans="6:6" s="80" customFormat="1">
      <c r="F1536" s="81"/>
    </row>
    <row r="1537" spans="6:6" s="80" customFormat="1">
      <c r="F1537" s="81"/>
    </row>
    <row r="1538" spans="6:6" s="80" customFormat="1">
      <c r="F1538" s="81"/>
    </row>
    <row r="1539" spans="6:6" s="80" customFormat="1">
      <c r="F1539" s="81"/>
    </row>
    <row r="1540" spans="6:6" s="80" customFormat="1">
      <c r="F1540" s="81"/>
    </row>
    <row r="1541" spans="6:6" s="80" customFormat="1">
      <c r="F1541" s="81"/>
    </row>
    <row r="1542" spans="6:6" s="80" customFormat="1">
      <c r="F1542" s="81"/>
    </row>
    <row r="1543" spans="6:6" s="80" customFormat="1">
      <c r="F1543" s="81"/>
    </row>
    <row r="1544" spans="6:6" s="80" customFormat="1">
      <c r="F1544" s="81"/>
    </row>
    <row r="1545" spans="6:6" s="80" customFormat="1">
      <c r="F1545" s="81"/>
    </row>
    <row r="1546" spans="6:6" s="80" customFormat="1">
      <c r="F1546" s="81"/>
    </row>
    <row r="1547" spans="6:6" s="80" customFormat="1">
      <c r="F1547" s="81"/>
    </row>
    <row r="1548" spans="6:6" s="80" customFormat="1">
      <c r="F1548" s="81"/>
    </row>
    <row r="1549" spans="6:6" s="80" customFormat="1">
      <c r="F1549" s="81"/>
    </row>
    <row r="1550" spans="6:6" s="80" customFormat="1">
      <c r="F1550" s="81"/>
    </row>
    <row r="1551" spans="6:6" s="80" customFormat="1">
      <c r="F1551" s="81"/>
    </row>
    <row r="1552" spans="6:6" s="80" customFormat="1">
      <c r="F1552" s="81"/>
    </row>
    <row r="1553" spans="6:6" s="80" customFormat="1">
      <c r="F1553" s="81"/>
    </row>
    <row r="1554" spans="6:6" s="80" customFormat="1">
      <c r="F1554" s="81"/>
    </row>
    <row r="1555" spans="6:6" s="80" customFormat="1">
      <c r="F1555" s="81"/>
    </row>
    <row r="1556" spans="6:6" s="80" customFormat="1">
      <c r="F1556" s="81"/>
    </row>
    <row r="1557" spans="6:6" s="80" customFormat="1">
      <c r="F1557" s="81"/>
    </row>
    <row r="1558" spans="6:6" s="80" customFormat="1">
      <c r="F1558" s="81"/>
    </row>
    <row r="1559" spans="6:6" s="80" customFormat="1">
      <c r="F1559" s="81"/>
    </row>
    <row r="1560" spans="6:6" s="80" customFormat="1">
      <c r="F1560" s="81"/>
    </row>
    <row r="1561" spans="6:6" s="80" customFormat="1">
      <c r="F1561" s="81"/>
    </row>
    <row r="1562" spans="6:6" s="80" customFormat="1">
      <c r="F1562" s="81"/>
    </row>
    <row r="1563" spans="6:6" s="80" customFormat="1">
      <c r="F1563" s="81"/>
    </row>
    <row r="1564" spans="6:6" s="80" customFormat="1">
      <c r="F1564" s="81"/>
    </row>
    <row r="1565" spans="6:6" s="80" customFormat="1">
      <c r="F1565" s="81"/>
    </row>
    <row r="1566" spans="6:6" s="80" customFormat="1">
      <c r="F1566" s="81"/>
    </row>
    <row r="1567" spans="6:6" s="80" customFormat="1">
      <c r="F1567" s="81"/>
    </row>
    <row r="1568" spans="6:6" s="80" customFormat="1">
      <c r="F1568" s="81"/>
    </row>
    <row r="1569" spans="6:6" s="80" customFormat="1">
      <c r="F1569" s="81"/>
    </row>
    <row r="1570" spans="6:6" s="80" customFormat="1">
      <c r="F1570" s="81"/>
    </row>
    <row r="1571" spans="6:6" s="80" customFormat="1">
      <c r="F1571" s="81"/>
    </row>
    <row r="1572" spans="6:6" s="80" customFormat="1">
      <c r="F1572" s="81"/>
    </row>
    <row r="1573" spans="6:6" s="80" customFormat="1">
      <c r="F1573" s="81"/>
    </row>
    <row r="1574" spans="6:6" s="80" customFormat="1">
      <c r="F1574" s="81"/>
    </row>
    <row r="1575" spans="6:6" s="80" customFormat="1">
      <c r="F1575" s="81"/>
    </row>
    <row r="1576" spans="6:6" s="80" customFormat="1">
      <c r="F1576" s="81"/>
    </row>
    <row r="1577" spans="6:6" s="80" customFormat="1">
      <c r="F1577" s="81"/>
    </row>
    <row r="1578" spans="6:6" s="80" customFormat="1">
      <c r="F1578" s="81"/>
    </row>
    <row r="1579" spans="6:6" s="80" customFormat="1">
      <c r="F1579" s="81"/>
    </row>
    <row r="1580" spans="6:6" s="80" customFormat="1">
      <c r="F1580" s="81"/>
    </row>
    <row r="1581" spans="6:6" s="80" customFormat="1">
      <c r="F1581" s="81"/>
    </row>
    <row r="1582" spans="6:6" s="80" customFormat="1">
      <c r="F1582" s="81"/>
    </row>
    <row r="1583" spans="6:6" s="80" customFormat="1">
      <c r="F1583" s="81"/>
    </row>
    <row r="1584" spans="6:6" s="80" customFormat="1">
      <c r="F1584" s="81"/>
    </row>
    <row r="1585" spans="6:6" s="80" customFormat="1">
      <c r="F1585" s="81"/>
    </row>
    <row r="1586" spans="6:6" s="80" customFormat="1">
      <c r="F1586" s="81"/>
    </row>
    <row r="1587" spans="6:6" s="80" customFormat="1">
      <c r="F1587" s="81"/>
    </row>
    <row r="1588" spans="6:6" s="80" customFormat="1">
      <c r="F1588" s="81"/>
    </row>
    <row r="1589" spans="6:6" s="80" customFormat="1">
      <c r="F1589" s="81"/>
    </row>
    <row r="1590" spans="6:6" s="80" customFormat="1">
      <c r="F1590" s="81"/>
    </row>
    <row r="1591" spans="6:6" s="80" customFormat="1">
      <c r="F1591" s="81"/>
    </row>
    <row r="1592" spans="6:6" s="80" customFormat="1">
      <c r="F1592" s="81"/>
    </row>
    <row r="1593" spans="6:6" s="80" customFormat="1">
      <c r="F1593" s="81"/>
    </row>
    <row r="1594" spans="6:6" s="80" customFormat="1">
      <c r="F1594" s="81"/>
    </row>
    <row r="1595" spans="6:6" s="80" customFormat="1">
      <c r="F1595" s="81"/>
    </row>
    <row r="1596" spans="6:6" s="80" customFormat="1">
      <c r="F1596" s="81"/>
    </row>
    <row r="1597" spans="6:6" s="80" customFormat="1">
      <c r="F1597" s="81"/>
    </row>
    <row r="1598" spans="6:6" s="80" customFormat="1">
      <c r="F1598" s="81"/>
    </row>
    <row r="1599" spans="6:6" s="80" customFormat="1">
      <c r="F1599" s="81"/>
    </row>
    <row r="1600" spans="6:6" s="80" customFormat="1">
      <c r="F1600" s="81"/>
    </row>
    <row r="1601" spans="6:6" s="80" customFormat="1">
      <c r="F1601" s="81"/>
    </row>
    <row r="1602" spans="6:6" s="80" customFormat="1">
      <c r="F1602" s="81"/>
    </row>
    <row r="1603" spans="6:6" s="80" customFormat="1">
      <c r="F1603" s="81"/>
    </row>
    <row r="1604" spans="6:6" s="80" customFormat="1">
      <c r="F1604" s="81"/>
    </row>
    <row r="1605" spans="6:6" s="80" customFormat="1">
      <c r="F1605" s="81"/>
    </row>
    <row r="1606" spans="6:6" s="80" customFormat="1">
      <c r="F1606" s="81"/>
    </row>
    <row r="1607" spans="6:6" s="80" customFormat="1">
      <c r="F1607" s="81"/>
    </row>
    <row r="1608" spans="6:6" s="80" customFormat="1">
      <c r="F1608" s="81"/>
    </row>
    <row r="1609" spans="6:6" s="80" customFormat="1">
      <c r="F1609" s="81"/>
    </row>
    <row r="1610" spans="6:6" s="80" customFormat="1">
      <c r="F1610" s="81"/>
    </row>
    <row r="1611" spans="6:6" s="80" customFormat="1">
      <c r="F1611" s="81"/>
    </row>
    <row r="1612" spans="6:6" s="80" customFormat="1">
      <c r="F1612" s="81"/>
    </row>
    <row r="1613" spans="6:6" s="80" customFormat="1">
      <c r="F1613" s="81"/>
    </row>
    <row r="1614" spans="6:6" s="80" customFormat="1">
      <c r="F1614" s="81"/>
    </row>
    <row r="1615" spans="6:6" s="80" customFormat="1">
      <c r="F1615" s="81"/>
    </row>
    <row r="1616" spans="6:6" s="80" customFormat="1">
      <c r="F1616" s="81"/>
    </row>
    <row r="1617" spans="6:6" s="80" customFormat="1">
      <c r="F1617" s="81"/>
    </row>
    <row r="1618" spans="6:6" s="80" customFormat="1">
      <c r="F1618" s="81"/>
    </row>
    <row r="1619" spans="6:6" s="80" customFormat="1">
      <c r="F1619" s="81"/>
    </row>
    <row r="1620" spans="6:6" s="80" customFormat="1">
      <c r="F1620" s="81"/>
    </row>
    <row r="1621" spans="6:6" s="80" customFormat="1">
      <c r="F1621" s="81"/>
    </row>
    <row r="1622" spans="6:6" s="80" customFormat="1">
      <c r="F1622" s="81"/>
    </row>
    <row r="1623" spans="6:6" s="80" customFormat="1">
      <c r="F1623" s="81"/>
    </row>
    <row r="1624" spans="6:6" s="80" customFormat="1">
      <c r="F1624" s="81"/>
    </row>
    <row r="1625" spans="6:6" s="80" customFormat="1">
      <c r="F1625" s="81"/>
    </row>
    <row r="1626" spans="6:6" s="80" customFormat="1">
      <c r="F1626" s="81"/>
    </row>
    <row r="1627" spans="6:6" s="80" customFormat="1">
      <c r="F1627" s="81"/>
    </row>
    <row r="1628" spans="6:6" s="80" customFormat="1">
      <c r="F1628" s="81"/>
    </row>
    <row r="1629" spans="6:6" s="80" customFormat="1">
      <c r="F1629" s="81"/>
    </row>
    <row r="1630" spans="6:6" s="80" customFormat="1">
      <c r="F1630" s="81"/>
    </row>
    <row r="1631" spans="6:6" s="80" customFormat="1">
      <c r="F1631" s="81"/>
    </row>
    <row r="1632" spans="6:6" s="80" customFormat="1">
      <c r="F1632" s="81"/>
    </row>
    <row r="1633" spans="6:6" s="80" customFormat="1">
      <c r="F1633" s="81"/>
    </row>
    <row r="1634" spans="6:6" s="80" customFormat="1">
      <c r="F1634" s="81"/>
    </row>
    <row r="1635" spans="6:6" s="80" customFormat="1">
      <c r="F1635" s="81"/>
    </row>
    <row r="1636" spans="6:6" s="80" customFormat="1">
      <c r="F1636" s="81"/>
    </row>
    <row r="1637" spans="6:6" s="80" customFormat="1">
      <c r="F1637" s="81"/>
    </row>
    <row r="1638" spans="6:6" s="80" customFormat="1">
      <c r="F1638" s="81"/>
    </row>
    <row r="1639" spans="6:6" s="80" customFormat="1">
      <c r="F1639" s="81"/>
    </row>
    <row r="1640" spans="6:6" s="80" customFormat="1">
      <c r="F1640" s="81"/>
    </row>
    <row r="1641" spans="6:6" s="80" customFormat="1">
      <c r="F1641" s="81"/>
    </row>
    <row r="1642" spans="6:6" s="80" customFormat="1">
      <c r="F1642" s="81"/>
    </row>
    <row r="1643" spans="6:6" s="80" customFormat="1">
      <c r="F1643" s="81"/>
    </row>
    <row r="1644" spans="6:6" s="80" customFormat="1">
      <c r="F1644" s="81"/>
    </row>
    <row r="1645" spans="6:6" s="80" customFormat="1">
      <c r="F1645" s="81"/>
    </row>
    <row r="1646" spans="6:6" s="80" customFormat="1">
      <c r="F1646" s="81"/>
    </row>
    <row r="1647" spans="6:6" s="80" customFormat="1">
      <c r="F1647" s="81"/>
    </row>
    <row r="1648" spans="6:6" s="80" customFormat="1">
      <c r="F1648" s="81"/>
    </row>
    <row r="1649" spans="6:6" s="80" customFormat="1">
      <c r="F1649" s="81"/>
    </row>
    <row r="1650" spans="6:6" s="80" customFormat="1">
      <c r="F1650" s="81"/>
    </row>
    <row r="1651" spans="6:6" s="80" customFormat="1">
      <c r="F1651" s="81"/>
    </row>
    <row r="1652" spans="6:6" s="80" customFormat="1">
      <c r="F1652" s="81"/>
    </row>
    <row r="1653" spans="6:6" s="80" customFormat="1">
      <c r="F1653" s="81"/>
    </row>
    <row r="1654" spans="6:6" s="80" customFormat="1">
      <c r="F1654" s="81"/>
    </row>
    <row r="1655" spans="6:6" s="80" customFormat="1">
      <c r="F1655" s="81"/>
    </row>
    <row r="1656" spans="6:6" s="80" customFormat="1">
      <c r="F1656" s="81"/>
    </row>
    <row r="1657" spans="6:6" s="80" customFormat="1">
      <c r="F1657" s="81"/>
    </row>
    <row r="1658" spans="6:6" s="80" customFormat="1">
      <c r="F1658" s="81"/>
    </row>
    <row r="1659" spans="6:6" s="80" customFormat="1">
      <c r="F1659" s="81"/>
    </row>
    <row r="1660" spans="6:6" s="80" customFormat="1">
      <c r="F1660" s="81"/>
    </row>
    <row r="1661" spans="6:6" s="80" customFormat="1">
      <c r="F1661" s="81"/>
    </row>
    <row r="1662" spans="6:6" s="80" customFormat="1">
      <c r="F1662" s="81"/>
    </row>
    <row r="1663" spans="6:6" s="80" customFormat="1">
      <c r="F1663" s="81"/>
    </row>
    <row r="1664" spans="6:6" s="80" customFormat="1">
      <c r="F1664" s="81"/>
    </row>
    <row r="1665" spans="6:6" s="80" customFormat="1">
      <c r="F1665" s="81"/>
    </row>
    <row r="1666" spans="6:6" s="80" customFormat="1">
      <c r="F1666" s="81"/>
    </row>
    <row r="1667" spans="6:6" s="80" customFormat="1">
      <c r="F1667" s="81"/>
    </row>
    <row r="1668" spans="6:6" s="80" customFormat="1">
      <c r="F1668" s="81"/>
    </row>
    <row r="1669" spans="6:6" s="80" customFormat="1">
      <c r="F1669" s="81"/>
    </row>
    <row r="1670" spans="6:6" s="80" customFormat="1">
      <c r="F1670" s="81"/>
    </row>
    <row r="1671" spans="6:6" s="80" customFormat="1">
      <c r="F1671" s="81"/>
    </row>
    <row r="1672" spans="6:6" s="80" customFormat="1">
      <c r="F1672" s="81"/>
    </row>
    <row r="1673" spans="6:6" s="80" customFormat="1">
      <c r="F1673" s="81"/>
    </row>
    <row r="1674" spans="6:6" s="80" customFormat="1">
      <c r="F1674" s="81"/>
    </row>
    <row r="1675" spans="6:6" s="80" customFormat="1">
      <c r="F1675" s="81"/>
    </row>
    <row r="1676" spans="6:6" s="80" customFormat="1">
      <c r="F1676" s="81"/>
    </row>
    <row r="1677" spans="6:6" s="80" customFormat="1">
      <c r="F1677" s="81"/>
    </row>
    <row r="1678" spans="6:6" s="80" customFormat="1">
      <c r="F1678" s="81"/>
    </row>
    <row r="1679" spans="6:6" s="80" customFormat="1">
      <c r="F1679" s="81"/>
    </row>
    <row r="1680" spans="6:6" s="80" customFormat="1">
      <c r="F1680" s="81"/>
    </row>
    <row r="1681" spans="6:6" s="80" customFormat="1">
      <c r="F1681" s="81"/>
    </row>
    <row r="1682" spans="6:6" s="80" customFormat="1">
      <c r="F1682" s="81"/>
    </row>
    <row r="1683" spans="6:6" s="80" customFormat="1">
      <c r="F1683" s="81"/>
    </row>
    <row r="1684" spans="6:6" s="80" customFormat="1">
      <c r="F1684" s="81"/>
    </row>
    <row r="1685" spans="6:6" s="80" customFormat="1">
      <c r="F1685" s="81"/>
    </row>
    <row r="1686" spans="6:6" s="80" customFormat="1">
      <c r="F1686" s="81"/>
    </row>
    <row r="1687" spans="6:6" s="80" customFormat="1">
      <c r="F1687" s="81"/>
    </row>
    <row r="1688" spans="6:6" s="80" customFormat="1">
      <c r="F1688" s="81"/>
    </row>
    <row r="1689" spans="6:6" s="80" customFormat="1">
      <c r="F1689" s="81"/>
    </row>
    <row r="1690" spans="6:6" s="80" customFormat="1">
      <c r="F1690" s="81"/>
    </row>
    <row r="1691" spans="6:6" s="80" customFormat="1">
      <c r="F1691" s="81"/>
    </row>
    <row r="1692" spans="6:6" s="80" customFormat="1">
      <c r="F1692" s="81"/>
    </row>
    <row r="1693" spans="6:6" s="80" customFormat="1">
      <c r="F1693" s="81"/>
    </row>
    <row r="1694" spans="6:6" s="80" customFormat="1">
      <c r="F1694" s="81"/>
    </row>
    <row r="1695" spans="6:6" s="80" customFormat="1">
      <c r="F1695" s="81"/>
    </row>
    <row r="1696" spans="6:6" s="80" customFormat="1">
      <c r="F1696" s="81"/>
    </row>
    <row r="1697" spans="6:6" s="80" customFormat="1">
      <c r="F1697" s="81"/>
    </row>
    <row r="1698" spans="6:6" s="80" customFormat="1">
      <c r="F1698" s="81"/>
    </row>
    <row r="1699" spans="6:6" s="80" customFormat="1">
      <c r="F1699" s="81"/>
    </row>
    <row r="1700" spans="6:6" s="80" customFormat="1">
      <c r="F1700" s="81"/>
    </row>
    <row r="1701" spans="6:6" s="80" customFormat="1">
      <c r="F1701" s="81"/>
    </row>
    <row r="1702" spans="6:6" s="80" customFormat="1">
      <c r="F1702" s="81"/>
    </row>
    <row r="1703" spans="6:6" s="80" customFormat="1">
      <c r="F1703" s="81"/>
    </row>
    <row r="1704" spans="6:6" s="80" customFormat="1">
      <c r="F1704" s="81"/>
    </row>
    <row r="1705" spans="6:6" s="80" customFormat="1">
      <c r="F1705" s="81"/>
    </row>
    <row r="1706" spans="6:6" s="80" customFormat="1">
      <c r="F1706" s="81"/>
    </row>
    <row r="1707" spans="6:6" s="80" customFormat="1">
      <c r="F1707" s="81"/>
    </row>
    <row r="1708" spans="6:6" s="80" customFormat="1">
      <c r="F1708" s="81"/>
    </row>
    <row r="1709" spans="6:6" s="80" customFormat="1">
      <c r="F1709" s="81"/>
    </row>
    <row r="1710" spans="6:6" s="80" customFormat="1">
      <c r="F1710" s="81"/>
    </row>
    <row r="1711" spans="6:6" s="80" customFormat="1">
      <c r="F1711" s="81"/>
    </row>
    <row r="1712" spans="6:6" s="80" customFormat="1">
      <c r="F1712" s="81"/>
    </row>
    <row r="1713" spans="6:6" s="80" customFormat="1">
      <c r="F1713" s="81"/>
    </row>
    <row r="1714" spans="6:6" s="80" customFormat="1">
      <c r="F1714" s="81"/>
    </row>
    <row r="1715" spans="6:6" s="80" customFormat="1">
      <c r="F1715" s="81"/>
    </row>
    <row r="1716" spans="6:6" s="80" customFormat="1">
      <c r="F1716" s="81"/>
    </row>
    <row r="1717" spans="6:6" s="80" customFormat="1">
      <c r="F1717" s="81"/>
    </row>
    <row r="1718" spans="6:6" s="80" customFormat="1">
      <c r="F1718" s="81"/>
    </row>
    <row r="1719" spans="6:6" s="80" customFormat="1">
      <c r="F1719" s="81"/>
    </row>
    <row r="1720" spans="6:6" s="80" customFormat="1">
      <c r="F1720" s="81"/>
    </row>
    <row r="1721" spans="6:6" s="80" customFormat="1">
      <c r="F1721" s="81"/>
    </row>
    <row r="1722" spans="6:6" s="80" customFormat="1">
      <c r="F1722" s="81"/>
    </row>
    <row r="1723" spans="6:6" s="80" customFormat="1">
      <c r="F1723" s="81"/>
    </row>
    <row r="1724" spans="6:6" s="80" customFormat="1">
      <c r="F1724" s="81"/>
    </row>
    <row r="1725" spans="6:6" s="80" customFormat="1">
      <c r="F1725" s="81"/>
    </row>
    <row r="1726" spans="6:6" s="80" customFormat="1">
      <c r="F1726" s="81"/>
    </row>
    <row r="1727" spans="6:6" s="80" customFormat="1">
      <c r="F1727" s="81"/>
    </row>
    <row r="1728" spans="6:6" s="80" customFormat="1">
      <c r="F1728" s="81"/>
    </row>
    <row r="1729" spans="6:6" s="80" customFormat="1">
      <c r="F1729" s="81"/>
    </row>
    <row r="1730" spans="6:6" s="80" customFormat="1">
      <c r="F1730" s="81"/>
    </row>
    <row r="1731" spans="6:6" s="80" customFormat="1">
      <c r="F1731" s="81"/>
    </row>
    <row r="1732" spans="6:6" s="80" customFormat="1">
      <c r="F1732" s="81"/>
    </row>
    <row r="1733" spans="6:6" s="80" customFormat="1">
      <c r="F1733" s="81"/>
    </row>
    <row r="1734" spans="6:6" s="80" customFormat="1">
      <c r="F1734" s="81"/>
    </row>
    <row r="1735" spans="6:6" s="80" customFormat="1">
      <c r="F1735" s="81"/>
    </row>
    <row r="1736" spans="6:6" s="80" customFormat="1">
      <c r="F1736" s="81"/>
    </row>
    <row r="1737" spans="6:6" s="80" customFormat="1">
      <c r="F1737" s="81"/>
    </row>
    <row r="1738" spans="6:6" s="80" customFormat="1">
      <c r="F1738" s="81"/>
    </row>
    <row r="1739" spans="6:6" s="80" customFormat="1">
      <c r="F1739" s="81"/>
    </row>
    <row r="1740" spans="6:6" s="80" customFormat="1">
      <c r="F1740" s="81"/>
    </row>
    <row r="1741" spans="6:6" s="80" customFormat="1">
      <c r="F1741" s="81"/>
    </row>
    <row r="1742" spans="6:6" s="80" customFormat="1">
      <c r="F1742" s="81"/>
    </row>
    <row r="1743" spans="6:6" s="80" customFormat="1">
      <c r="F1743" s="81"/>
    </row>
    <row r="1744" spans="6:6" s="80" customFormat="1">
      <c r="F1744" s="81"/>
    </row>
    <row r="1745" spans="6:6" s="80" customFormat="1">
      <c r="F1745" s="81"/>
    </row>
    <row r="1746" spans="6:6" s="80" customFormat="1">
      <c r="F1746" s="81"/>
    </row>
    <row r="1747" spans="6:6" s="80" customFormat="1">
      <c r="F1747" s="81"/>
    </row>
    <row r="1748" spans="6:6" s="80" customFormat="1">
      <c r="F1748" s="81"/>
    </row>
    <row r="1749" spans="6:6" s="80" customFormat="1">
      <c r="F1749" s="81"/>
    </row>
    <row r="1750" spans="6:6" s="80" customFormat="1">
      <c r="F1750" s="81"/>
    </row>
    <row r="1751" spans="6:6" s="80" customFormat="1">
      <c r="F1751" s="81"/>
    </row>
    <row r="1752" spans="6:6" s="80" customFormat="1">
      <c r="F1752" s="81"/>
    </row>
    <row r="1753" spans="6:6" s="80" customFormat="1">
      <c r="F1753" s="81"/>
    </row>
    <row r="1754" spans="6:6" s="80" customFormat="1">
      <c r="F1754" s="81"/>
    </row>
    <row r="1755" spans="6:6" s="80" customFormat="1">
      <c r="F1755" s="81"/>
    </row>
    <row r="1756" spans="6:6" s="80" customFormat="1">
      <c r="F1756" s="81"/>
    </row>
    <row r="1757" spans="6:6" s="80" customFormat="1">
      <c r="F1757" s="81"/>
    </row>
    <row r="1758" spans="6:6" s="80" customFormat="1">
      <c r="F1758" s="81"/>
    </row>
    <row r="1759" spans="6:6" s="80" customFormat="1">
      <c r="F1759" s="81"/>
    </row>
    <row r="1760" spans="6:6" s="80" customFormat="1">
      <c r="F1760" s="81"/>
    </row>
    <row r="1761" spans="6:6" s="80" customFormat="1">
      <c r="F1761" s="81"/>
    </row>
    <row r="1762" spans="6:6" s="80" customFormat="1">
      <c r="F1762" s="81"/>
    </row>
    <row r="1763" spans="6:6" s="80" customFormat="1">
      <c r="F1763" s="81"/>
    </row>
    <row r="1764" spans="6:6" s="80" customFormat="1">
      <c r="F1764" s="81"/>
    </row>
    <row r="1765" spans="6:6" s="80" customFormat="1">
      <c r="F1765" s="81"/>
    </row>
    <row r="1766" spans="6:6" s="80" customFormat="1">
      <c r="F1766" s="81"/>
    </row>
    <row r="1767" spans="6:6" s="80" customFormat="1">
      <c r="F1767" s="81"/>
    </row>
    <row r="1768" spans="6:6" s="80" customFormat="1">
      <c r="F1768" s="81"/>
    </row>
    <row r="1769" spans="6:6" s="80" customFormat="1">
      <c r="F1769" s="81"/>
    </row>
    <row r="1770" spans="6:6" s="80" customFormat="1">
      <c r="F1770" s="81"/>
    </row>
    <row r="1771" spans="6:6" s="80" customFormat="1">
      <c r="F1771" s="81"/>
    </row>
    <row r="1772" spans="6:6" s="80" customFormat="1">
      <c r="F1772" s="81"/>
    </row>
    <row r="1773" spans="6:6" s="80" customFormat="1">
      <c r="F1773" s="81"/>
    </row>
    <row r="1774" spans="6:6" s="80" customFormat="1">
      <c r="F1774" s="81"/>
    </row>
    <row r="1775" spans="6:6" s="80" customFormat="1">
      <c r="F1775" s="81"/>
    </row>
    <row r="1776" spans="6:6" s="80" customFormat="1">
      <c r="F1776" s="81"/>
    </row>
    <row r="1777" spans="6:6" s="80" customFormat="1">
      <c r="F1777" s="81"/>
    </row>
    <row r="1778" spans="6:6" s="80" customFormat="1">
      <c r="F1778" s="81"/>
    </row>
    <row r="1779" spans="6:6" s="80" customFormat="1">
      <c r="F1779" s="81"/>
    </row>
    <row r="1780" spans="6:6" s="80" customFormat="1">
      <c r="F1780" s="81"/>
    </row>
    <row r="1781" spans="6:6" s="80" customFormat="1">
      <c r="F1781" s="81"/>
    </row>
    <row r="1782" spans="6:6" s="80" customFormat="1">
      <c r="F1782" s="81"/>
    </row>
    <row r="1783" spans="6:6" s="80" customFormat="1">
      <c r="F1783" s="81"/>
    </row>
    <row r="1784" spans="6:6" s="80" customFormat="1">
      <c r="F1784" s="81"/>
    </row>
    <row r="1785" spans="6:6" s="80" customFormat="1">
      <c r="F1785" s="81"/>
    </row>
    <row r="1786" spans="6:6" s="80" customFormat="1">
      <c r="F1786" s="81"/>
    </row>
    <row r="1787" spans="6:6" s="80" customFormat="1">
      <c r="F1787" s="81"/>
    </row>
    <row r="1788" spans="6:6" s="80" customFormat="1">
      <c r="F1788" s="81"/>
    </row>
    <row r="1789" spans="6:6" s="80" customFormat="1">
      <c r="F1789" s="81"/>
    </row>
    <row r="1790" spans="6:6" s="80" customFormat="1">
      <c r="F1790" s="81"/>
    </row>
    <row r="1791" spans="6:6" s="80" customFormat="1">
      <c r="F1791" s="81"/>
    </row>
    <row r="1792" spans="6:6" s="80" customFormat="1">
      <c r="F1792" s="81"/>
    </row>
    <row r="1793" spans="6:6" s="80" customFormat="1">
      <c r="F1793" s="81"/>
    </row>
    <row r="1794" spans="6:6" s="80" customFormat="1">
      <c r="F1794" s="81"/>
    </row>
    <row r="1795" spans="6:6" s="80" customFormat="1">
      <c r="F1795" s="81"/>
    </row>
    <row r="1796" spans="6:6" s="80" customFormat="1">
      <c r="F1796" s="81"/>
    </row>
    <row r="1797" spans="6:6" s="80" customFormat="1">
      <c r="F1797" s="81"/>
    </row>
    <row r="1798" spans="6:6" s="80" customFormat="1">
      <c r="F1798" s="81"/>
    </row>
    <row r="1799" spans="6:6" s="80" customFormat="1">
      <c r="F1799" s="81"/>
    </row>
    <row r="1800" spans="6:6" s="80" customFormat="1">
      <c r="F1800" s="81"/>
    </row>
    <row r="1801" spans="6:6" s="80" customFormat="1">
      <c r="F1801" s="81"/>
    </row>
    <row r="1802" spans="6:6" s="80" customFormat="1">
      <c r="F1802" s="81"/>
    </row>
    <row r="1803" spans="6:6" s="80" customFormat="1">
      <c r="F1803" s="81"/>
    </row>
    <row r="1804" spans="6:6" s="80" customFormat="1">
      <c r="F1804" s="81"/>
    </row>
    <row r="1805" spans="6:6" s="80" customFormat="1">
      <c r="F1805" s="81"/>
    </row>
    <row r="1806" spans="6:6" s="80" customFormat="1">
      <c r="F1806" s="81"/>
    </row>
    <row r="1807" spans="6:6" s="80" customFormat="1">
      <c r="F1807" s="81"/>
    </row>
    <row r="1808" spans="6:6" s="80" customFormat="1">
      <c r="F1808" s="81"/>
    </row>
    <row r="1809" spans="6:6" s="80" customFormat="1">
      <c r="F1809" s="81"/>
    </row>
    <row r="1810" spans="6:6" s="80" customFormat="1">
      <c r="F1810" s="81"/>
    </row>
    <row r="1811" spans="6:6" s="80" customFormat="1">
      <c r="F1811" s="81"/>
    </row>
    <row r="1812" spans="6:6" s="80" customFormat="1">
      <c r="F1812" s="81"/>
    </row>
    <row r="1813" spans="6:6" s="80" customFormat="1">
      <c r="F1813" s="81"/>
    </row>
    <row r="1814" spans="6:6" s="80" customFormat="1">
      <c r="F1814" s="81"/>
    </row>
    <row r="1815" spans="6:6" s="80" customFormat="1">
      <c r="F1815" s="81"/>
    </row>
    <row r="1816" spans="6:6" s="80" customFormat="1">
      <c r="F1816" s="81"/>
    </row>
    <row r="1817" spans="6:6" s="80" customFormat="1">
      <c r="F1817" s="81"/>
    </row>
    <row r="1818" spans="6:6" s="80" customFormat="1">
      <c r="F1818" s="81"/>
    </row>
    <row r="1819" spans="6:6" s="80" customFormat="1">
      <c r="F1819" s="81"/>
    </row>
    <row r="1820" spans="6:6" s="80" customFormat="1">
      <c r="F1820" s="81"/>
    </row>
    <row r="1821" spans="6:6" s="80" customFormat="1">
      <c r="F1821" s="81"/>
    </row>
    <row r="1822" spans="6:6" s="80" customFormat="1">
      <c r="F1822" s="81"/>
    </row>
    <row r="1823" spans="6:6" s="80" customFormat="1">
      <c r="F1823" s="81"/>
    </row>
    <row r="1824" spans="6:6" s="80" customFormat="1">
      <c r="F1824" s="81"/>
    </row>
    <row r="1825" spans="6:6" s="80" customFormat="1">
      <c r="F1825" s="81"/>
    </row>
    <row r="1826" spans="6:6" s="80" customFormat="1">
      <c r="F1826" s="81"/>
    </row>
    <row r="1827" spans="6:6" s="80" customFormat="1">
      <c r="F1827" s="81"/>
    </row>
    <row r="1828" spans="6:6" s="80" customFormat="1">
      <c r="F1828" s="81"/>
    </row>
    <row r="1829" spans="6:6" s="80" customFormat="1">
      <c r="F1829" s="81"/>
    </row>
    <row r="1830" spans="6:6" s="80" customFormat="1">
      <c r="F1830" s="81"/>
    </row>
    <row r="1831" spans="6:6" s="80" customFormat="1">
      <c r="F1831" s="81"/>
    </row>
    <row r="1832" spans="6:6" s="80" customFormat="1">
      <c r="F1832" s="81"/>
    </row>
    <row r="1833" spans="6:6" s="80" customFormat="1">
      <c r="F1833" s="81"/>
    </row>
    <row r="1834" spans="6:6" s="80" customFormat="1">
      <c r="F1834" s="81"/>
    </row>
    <row r="1835" spans="6:6" s="80" customFormat="1">
      <c r="F1835" s="81"/>
    </row>
    <row r="1836" spans="6:6" s="80" customFormat="1">
      <c r="F1836" s="81"/>
    </row>
    <row r="1837" spans="6:6" s="80" customFormat="1">
      <c r="F1837" s="81"/>
    </row>
    <row r="1838" spans="6:6" s="80" customFormat="1">
      <c r="F1838" s="81"/>
    </row>
    <row r="1839" spans="6:6" s="80" customFormat="1">
      <c r="F1839" s="81"/>
    </row>
    <row r="1840" spans="6:6" s="80" customFormat="1">
      <c r="F1840" s="81"/>
    </row>
    <row r="1841" spans="6:6" s="80" customFormat="1">
      <c r="F1841" s="81"/>
    </row>
    <row r="1842" spans="6:6" s="80" customFormat="1">
      <c r="F1842" s="81"/>
    </row>
    <row r="1843" spans="6:6" s="80" customFormat="1">
      <c r="F1843" s="81"/>
    </row>
    <row r="1844" spans="6:6" s="80" customFormat="1">
      <c r="F1844" s="81"/>
    </row>
    <row r="1845" spans="6:6" s="80" customFormat="1">
      <c r="F1845" s="81"/>
    </row>
    <row r="1846" spans="6:6" s="80" customFormat="1">
      <c r="F1846" s="81"/>
    </row>
    <row r="1847" spans="6:6" s="80" customFormat="1">
      <c r="F1847" s="81"/>
    </row>
    <row r="1848" spans="6:6" s="80" customFormat="1">
      <c r="F1848" s="81"/>
    </row>
    <row r="1849" spans="6:6" s="80" customFormat="1">
      <c r="F1849" s="81"/>
    </row>
    <row r="1850" spans="6:6" s="80" customFormat="1">
      <c r="F1850" s="81"/>
    </row>
    <row r="1851" spans="6:6" s="80" customFormat="1">
      <c r="F1851" s="81"/>
    </row>
    <row r="1852" spans="6:6" s="80" customFormat="1">
      <c r="F1852" s="81"/>
    </row>
    <row r="1853" spans="6:6" s="80" customFormat="1">
      <c r="F1853" s="81"/>
    </row>
    <row r="1854" spans="6:6" s="80" customFormat="1">
      <c r="F1854" s="81"/>
    </row>
    <row r="1855" spans="6:6" s="80" customFormat="1">
      <c r="F1855" s="81"/>
    </row>
    <row r="1856" spans="6:6" s="80" customFormat="1">
      <c r="F1856" s="81"/>
    </row>
    <row r="1857" spans="6:6" s="80" customFormat="1">
      <c r="F1857" s="81"/>
    </row>
    <row r="1858" spans="6:6" s="80" customFormat="1">
      <c r="F1858" s="81"/>
    </row>
    <row r="1859" spans="6:6" s="80" customFormat="1">
      <c r="F1859" s="81"/>
    </row>
    <row r="1860" spans="6:6" s="80" customFormat="1">
      <c r="F1860" s="81"/>
    </row>
    <row r="1861" spans="6:6" s="80" customFormat="1">
      <c r="F1861" s="81"/>
    </row>
    <row r="1862" spans="6:6" s="80" customFormat="1">
      <c r="F1862" s="81"/>
    </row>
    <row r="1863" spans="6:6" s="80" customFormat="1">
      <c r="F1863" s="81"/>
    </row>
    <row r="1864" spans="6:6" s="80" customFormat="1">
      <c r="F1864" s="81"/>
    </row>
    <row r="1865" spans="6:6" s="80" customFormat="1">
      <c r="F1865" s="81"/>
    </row>
    <row r="1866" spans="6:6" s="80" customFormat="1">
      <c r="F1866" s="81"/>
    </row>
    <row r="1867" spans="6:6" s="80" customFormat="1">
      <c r="F1867" s="81"/>
    </row>
    <row r="1868" spans="6:6" s="80" customFormat="1">
      <c r="F1868" s="81"/>
    </row>
    <row r="1869" spans="6:6" s="80" customFormat="1">
      <c r="F1869" s="81"/>
    </row>
    <row r="1870" spans="6:6" s="80" customFormat="1">
      <c r="F1870" s="81"/>
    </row>
    <row r="1871" spans="6:6" s="80" customFormat="1">
      <c r="F1871" s="81"/>
    </row>
    <row r="1872" spans="6:6" s="80" customFormat="1">
      <c r="F1872" s="81"/>
    </row>
    <row r="1873" spans="6:6" s="80" customFormat="1">
      <c r="F1873" s="81"/>
    </row>
    <row r="1874" spans="6:6" s="80" customFormat="1">
      <c r="F1874" s="81"/>
    </row>
    <row r="1875" spans="6:6" s="80" customFormat="1">
      <c r="F1875" s="81"/>
    </row>
    <row r="1876" spans="6:6" s="80" customFormat="1">
      <c r="F1876" s="81"/>
    </row>
    <row r="1877" spans="6:6" s="80" customFormat="1">
      <c r="F1877" s="81"/>
    </row>
    <row r="1878" spans="6:6" s="80" customFormat="1">
      <c r="F1878" s="81"/>
    </row>
    <row r="1879" spans="6:6" s="80" customFormat="1">
      <c r="F1879" s="81"/>
    </row>
    <row r="1880" spans="6:6" s="80" customFormat="1">
      <c r="F1880" s="81"/>
    </row>
    <row r="1881" spans="6:6" s="80" customFormat="1">
      <c r="F1881" s="81"/>
    </row>
    <row r="1882" spans="6:6" s="80" customFormat="1">
      <c r="F1882" s="81"/>
    </row>
    <row r="1883" spans="6:6" s="80" customFormat="1">
      <c r="F1883" s="81"/>
    </row>
    <row r="1884" spans="6:6" s="80" customFormat="1">
      <c r="F1884" s="81"/>
    </row>
    <row r="1885" spans="6:6" s="80" customFormat="1">
      <c r="F1885" s="81"/>
    </row>
    <row r="1886" spans="6:6" s="80" customFormat="1">
      <c r="F1886" s="81"/>
    </row>
    <row r="1887" spans="6:6" s="80" customFormat="1">
      <c r="F1887" s="81"/>
    </row>
    <row r="1888" spans="6:6" s="80" customFormat="1">
      <c r="F1888" s="81"/>
    </row>
    <row r="1889" spans="6:6" s="80" customFormat="1">
      <c r="F1889" s="81"/>
    </row>
    <row r="1890" spans="6:6" s="80" customFormat="1">
      <c r="F1890" s="81"/>
    </row>
    <row r="1891" spans="6:6" s="80" customFormat="1">
      <c r="F1891" s="81"/>
    </row>
    <row r="1892" spans="6:6" s="80" customFormat="1">
      <c r="F1892" s="81"/>
    </row>
    <row r="1893" spans="6:6" s="80" customFormat="1">
      <c r="F1893" s="81"/>
    </row>
    <row r="1894" spans="6:6" s="80" customFormat="1">
      <c r="F1894" s="81"/>
    </row>
    <row r="1895" spans="6:6" s="80" customFormat="1">
      <c r="F1895" s="81"/>
    </row>
    <row r="1896" spans="6:6" s="80" customFormat="1">
      <c r="F1896" s="81"/>
    </row>
    <row r="1897" spans="6:6" s="80" customFormat="1">
      <c r="F1897" s="81"/>
    </row>
    <row r="1898" spans="6:6" s="80" customFormat="1">
      <c r="F1898" s="81"/>
    </row>
    <row r="1899" spans="6:6" s="80" customFormat="1">
      <c r="F1899" s="81"/>
    </row>
    <row r="1900" spans="6:6" s="80" customFormat="1">
      <c r="F1900" s="81"/>
    </row>
    <row r="1901" spans="6:6" s="80" customFormat="1">
      <c r="F1901" s="81"/>
    </row>
    <row r="1902" spans="6:6" s="80" customFormat="1">
      <c r="F1902" s="81"/>
    </row>
    <row r="1903" spans="6:6" s="80" customFormat="1">
      <c r="F1903" s="81"/>
    </row>
    <row r="1904" spans="6:6" s="80" customFormat="1">
      <c r="F1904" s="81"/>
    </row>
    <row r="1905" spans="6:6" s="80" customFormat="1">
      <c r="F1905" s="81"/>
    </row>
    <row r="1906" spans="6:6" s="80" customFormat="1">
      <c r="F1906" s="81"/>
    </row>
    <row r="1907" spans="6:6" s="80" customFormat="1">
      <c r="F1907" s="81"/>
    </row>
    <row r="1908" spans="6:6" s="80" customFormat="1">
      <c r="F1908" s="81"/>
    </row>
    <row r="1909" spans="6:6" s="80" customFormat="1">
      <c r="F1909" s="81"/>
    </row>
    <row r="1910" spans="6:6" s="80" customFormat="1">
      <c r="F1910" s="81"/>
    </row>
    <row r="1911" spans="6:6" s="80" customFormat="1">
      <c r="F1911" s="81"/>
    </row>
    <row r="1912" spans="6:6" s="80" customFormat="1">
      <c r="F1912" s="81"/>
    </row>
    <row r="1913" spans="6:6" s="80" customFormat="1">
      <c r="F1913" s="81"/>
    </row>
    <row r="1914" spans="6:6" s="80" customFormat="1">
      <c r="F1914" s="81"/>
    </row>
    <row r="1915" spans="6:6" s="80" customFormat="1">
      <c r="F1915" s="81"/>
    </row>
    <row r="1916" spans="6:6" s="80" customFormat="1">
      <c r="F1916" s="81"/>
    </row>
    <row r="1917" spans="6:6" s="80" customFormat="1">
      <c r="F1917" s="81"/>
    </row>
    <row r="1918" spans="6:6" s="80" customFormat="1">
      <c r="F1918" s="81"/>
    </row>
    <row r="1919" spans="6:6" s="80" customFormat="1">
      <c r="F1919" s="81"/>
    </row>
    <row r="1920" spans="6:6" s="80" customFormat="1">
      <c r="F1920" s="81"/>
    </row>
    <row r="1921" spans="6:6" s="80" customFormat="1">
      <c r="F1921" s="81"/>
    </row>
    <row r="1922" spans="6:6" s="80" customFormat="1">
      <c r="F1922" s="81"/>
    </row>
    <row r="1923" spans="6:6" s="80" customFormat="1">
      <c r="F1923" s="81"/>
    </row>
    <row r="1924" spans="6:6" s="80" customFormat="1">
      <c r="F1924" s="81"/>
    </row>
    <row r="1925" spans="6:6" s="80" customFormat="1">
      <c r="F1925" s="81"/>
    </row>
    <row r="1926" spans="6:6" s="80" customFormat="1">
      <c r="F1926" s="81"/>
    </row>
    <row r="1927" spans="6:6" s="80" customFormat="1">
      <c r="F1927" s="81"/>
    </row>
    <row r="1928" spans="6:6" s="80" customFormat="1">
      <c r="F1928" s="81"/>
    </row>
    <row r="1929" spans="6:6" s="80" customFormat="1">
      <c r="F1929" s="81"/>
    </row>
    <row r="1930" spans="6:6" s="80" customFormat="1">
      <c r="F1930" s="81"/>
    </row>
    <row r="1931" spans="6:6" s="80" customFormat="1">
      <c r="F1931" s="81"/>
    </row>
    <row r="1932" spans="6:6" s="80" customFormat="1">
      <c r="F1932" s="81"/>
    </row>
    <row r="1933" spans="6:6" s="80" customFormat="1">
      <c r="F1933" s="81"/>
    </row>
    <row r="1934" spans="6:6" s="80" customFormat="1">
      <c r="F1934" s="81"/>
    </row>
    <row r="1935" spans="6:6" s="80" customFormat="1">
      <c r="F1935" s="81"/>
    </row>
    <row r="1936" spans="6:6" s="80" customFormat="1">
      <c r="F1936" s="81"/>
    </row>
    <row r="1937" spans="6:6" s="80" customFormat="1">
      <c r="F1937" s="81"/>
    </row>
    <row r="1938" spans="6:6" s="80" customFormat="1">
      <c r="F1938" s="81"/>
    </row>
    <row r="1939" spans="6:6" s="80" customFormat="1">
      <c r="F1939" s="81"/>
    </row>
    <row r="1940" spans="6:6" s="80" customFormat="1">
      <c r="F1940" s="81"/>
    </row>
    <row r="1941" spans="6:6" s="80" customFormat="1">
      <c r="F1941" s="81"/>
    </row>
    <row r="1942" spans="6:6" s="80" customFormat="1">
      <c r="F1942" s="81"/>
    </row>
    <row r="1943" spans="6:6" s="80" customFormat="1">
      <c r="F1943" s="81"/>
    </row>
    <row r="1944" spans="6:6" s="80" customFormat="1">
      <c r="F1944" s="81"/>
    </row>
    <row r="1945" spans="6:6" s="80" customFormat="1">
      <c r="F1945" s="81"/>
    </row>
    <row r="1946" spans="6:6" s="80" customFormat="1">
      <c r="F1946" s="81"/>
    </row>
    <row r="1947" spans="6:6" s="80" customFormat="1">
      <c r="F1947" s="81"/>
    </row>
    <row r="1948" spans="6:6" s="80" customFormat="1">
      <c r="F1948" s="81"/>
    </row>
    <row r="1949" spans="6:6" s="80" customFormat="1">
      <c r="F1949" s="81"/>
    </row>
    <row r="1950" spans="6:6" s="80" customFormat="1">
      <c r="F1950" s="81"/>
    </row>
    <row r="1951" spans="6:6" s="80" customFormat="1">
      <c r="F1951" s="81"/>
    </row>
    <row r="1952" spans="6:6" s="80" customFormat="1">
      <c r="F1952" s="81"/>
    </row>
    <row r="1953" spans="6:6" s="80" customFormat="1">
      <c r="F1953" s="81"/>
    </row>
    <row r="1954" spans="6:6" s="80" customFormat="1">
      <c r="F1954" s="81"/>
    </row>
    <row r="1955" spans="6:6" s="80" customFormat="1">
      <c r="F1955" s="81"/>
    </row>
    <row r="1956" spans="6:6" s="80" customFormat="1">
      <c r="F1956" s="81"/>
    </row>
    <row r="1957" spans="6:6" s="80" customFormat="1">
      <c r="F1957" s="81"/>
    </row>
    <row r="1958" spans="6:6" s="80" customFormat="1">
      <c r="F1958" s="81"/>
    </row>
    <row r="1959" spans="6:6" s="80" customFormat="1">
      <c r="F1959" s="81"/>
    </row>
    <row r="1960" spans="6:6" s="80" customFormat="1">
      <c r="F1960" s="81"/>
    </row>
    <row r="1961" spans="6:6" s="80" customFormat="1">
      <c r="F1961" s="81"/>
    </row>
    <row r="1962" spans="6:6" s="80" customFormat="1">
      <c r="F1962" s="81"/>
    </row>
    <row r="1963" spans="6:6" s="80" customFormat="1">
      <c r="F1963" s="81"/>
    </row>
    <row r="1964" spans="6:6" s="80" customFormat="1">
      <c r="F1964" s="81"/>
    </row>
    <row r="1965" spans="6:6" s="80" customFormat="1">
      <c r="F1965" s="81"/>
    </row>
    <row r="1966" spans="6:6" s="80" customFormat="1">
      <c r="F1966" s="81"/>
    </row>
    <row r="1967" spans="6:6" s="80" customFormat="1">
      <c r="F1967" s="81"/>
    </row>
    <row r="1968" spans="6:6" s="80" customFormat="1">
      <c r="F1968" s="81"/>
    </row>
    <row r="1969" spans="6:6" s="80" customFormat="1">
      <c r="F1969" s="81"/>
    </row>
    <row r="1970" spans="6:6" s="80" customFormat="1">
      <c r="F1970" s="81"/>
    </row>
    <row r="1971" spans="6:6" s="80" customFormat="1">
      <c r="F1971" s="81"/>
    </row>
    <row r="1972" spans="6:6" s="80" customFormat="1">
      <c r="F1972" s="81"/>
    </row>
    <row r="1973" spans="6:6" s="80" customFormat="1">
      <c r="F1973" s="81"/>
    </row>
    <row r="1974" spans="6:6" s="80" customFormat="1">
      <c r="F1974" s="81"/>
    </row>
    <row r="1975" spans="6:6" s="80" customFormat="1">
      <c r="F1975" s="81"/>
    </row>
    <row r="1976" spans="6:6" s="80" customFormat="1">
      <c r="F1976" s="81"/>
    </row>
    <row r="1977" spans="6:6" s="80" customFormat="1">
      <c r="F1977" s="81"/>
    </row>
    <row r="1978" spans="6:6" s="80" customFormat="1">
      <c r="F1978" s="81"/>
    </row>
    <row r="1979" spans="6:6" s="80" customFormat="1">
      <c r="F1979" s="81"/>
    </row>
    <row r="1980" spans="6:6" s="80" customFormat="1">
      <c r="F1980" s="81"/>
    </row>
    <row r="1981" spans="6:6" s="80" customFormat="1">
      <c r="F1981" s="81"/>
    </row>
    <row r="1982" spans="6:6" s="80" customFormat="1">
      <c r="F1982" s="81"/>
    </row>
    <row r="1983" spans="6:6" s="80" customFormat="1">
      <c r="F1983" s="81"/>
    </row>
    <row r="1984" spans="6:6" s="80" customFormat="1">
      <c r="F1984" s="81"/>
    </row>
    <row r="1985" spans="6:6" s="80" customFormat="1">
      <c r="F1985" s="81"/>
    </row>
    <row r="1986" spans="6:6" s="80" customFormat="1">
      <c r="F1986" s="81"/>
    </row>
    <row r="1987" spans="6:6" s="80" customFormat="1">
      <c r="F1987" s="81"/>
    </row>
    <row r="1988" spans="6:6" s="80" customFormat="1">
      <c r="F1988" s="81"/>
    </row>
    <row r="1989" spans="6:6" s="80" customFormat="1">
      <c r="F1989" s="81"/>
    </row>
    <row r="1990" spans="6:6" s="80" customFormat="1">
      <c r="F1990" s="81"/>
    </row>
    <row r="1991" spans="6:6" s="80" customFormat="1">
      <c r="F1991" s="81"/>
    </row>
    <row r="1992" spans="6:6" s="80" customFormat="1">
      <c r="F1992" s="81"/>
    </row>
    <row r="1993" spans="6:6" s="80" customFormat="1">
      <c r="F1993" s="81"/>
    </row>
    <row r="1994" spans="6:6" s="80" customFormat="1">
      <c r="F1994" s="81"/>
    </row>
    <row r="1995" spans="6:6" s="80" customFormat="1">
      <c r="F1995" s="81"/>
    </row>
    <row r="1996" spans="6:6">
      <c r="F1996" s="65"/>
    </row>
    <row r="1997" spans="6:6">
      <c r="F1997" s="65"/>
    </row>
    <row r="1998" spans="6:6">
      <c r="F1998" s="65"/>
    </row>
    <row r="1999" spans="6:6">
      <c r="F1999" s="65"/>
    </row>
    <row r="2000" spans="6:6">
      <c r="F2000" s="65"/>
    </row>
    <row r="2001" spans="6:6">
      <c r="F2001" s="65"/>
    </row>
    <row r="2002" spans="6:6">
      <c r="F2002" s="65"/>
    </row>
    <row r="2003" spans="6:6">
      <c r="F2003" s="65"/>
    </row>
    <row r="2004" spans="6:6">
      <c r="F2004" s="65"/>
    </row>
    <row r="2005" spans="6:6">
      <c r="F2005" s="65"/>
    </row>
    <row r="2006" spans="6:6">
      <c r="F2006" s="65"/>
    </row>
    <row r="2007" spans="6:6">
      <c r="F2007" s="65"/>
    </row>
    <row r="2008" spans="6:6">
      <c r="F2008" s="65"/>
    </row>
    <row r="2009" spans="6:6">
      <c r="F2009" s="65"/>
    </row>
    <row r="2010" spans="6:6">
      <c r="F2010" s="65"/>
    </row>
    <row r="2011" spans="6:6">
      <c r="F2011" s="65"/>
    </row>
    <row r="2012" spans="6:6">
      <c r="F2012" s="65"/>
    </row>
    <row r="2013" spans="6:6">
      <c r="F2013" s="65"/>
    </row>
    <row r="2014" spans="6:6">
      <c r="F2014" s="65"/>
    </row>
    <row r="2015" spans="6:6">
      <c r="F2015" s="65"/>
    </row>
    <row r="2016" spans="6:6">
      <c r="F2016" s="65"/>
    </row>
    <row r="2017" spans="1:8">
      <c r="F2017" s="65"/>
    </row>
    <row r="2018" spans="1:8">
      <c r="F2018" s="65"/>
    </row>
    <row r="2019" spans="1:8">
      <c r="A2019" s="66"/>
      <c r="B2019" s="66"/>
      <c r="C2019" s="66"/>
      <c r="D2019" s="66"/>
      <c r="E2019" s="66"/>
      <c r="F2019" s="67"/>
      <c r="G2019" s="66"/>
      <c r="H2019" s="66"/>
    </row>
    <row r="2020" spans="1:8">
      <c r="A2020" s="66"/>
      <c r="B2020" s="66"/>
      <c r="C2020" s="66"/>
      <c r="D2020" s="66"/>
      <c r="E2020" s="66"/>
      <c r="F2020" s="67"/>
      <c r="G2020" s="66"/>
      <c r="H2020" s="66"/>
    </row>
    <row r="2021" spans="1:8">
      <c r="A2021" s="66"/>
      <c r="B2021" s="66"/>
      <c r="C2021" s="66"/>
      <c r="D2021" s="66"/>
      <c r="E2021" s="66"/>
      <c r="F2021" s="67"/>
      <c r="G2021" s="66"/>
      <c r="H2021" s="66"/>
    </row>
    <row r="2022" spans="1:8">
      <c r="A2022" s="66"/>
      <c r="B2022" s="66"/>
      <c r="C2022" s="66"/>
      <c r="D2022" s="66"/>
      <c r="E2022" s="66"/>
      <c r="F2022" s="67"/>
      <c r="G2022" s="66"/>
      <c r="H2022" s="66"/>
    </row>
    <row r="2023" spans="1:8">
      <c r="A2023" s="66"/>
      <c r="B2023" s="66"/>
      <c r="C2023" s="66"/>
      <c r="D2023" s="66"/>
      <c r="E2023" s="66"/>
      <c r="F2023" s="67"/>
      <c r="G2023" s="66"/>
      <c r="H2023" s="66"/>
    </row>
    <row r="2024" spans="1:8">
      <c r="A2024" s="66"/>
      <c r="B2024" s="66"/>
      <c r="C2024" s="66"/>
      <c r="D2024" s="66"/>
      <c r="E2024" s="66"/>
      <c r="F2024" s="67"/>
      <c r="G2024" s="66"/>
      <c r="H2024" s="66"/>
    </row>
    <row r="2025" spans="1:8">
      <c r="A2025" s="66"/>
      <c r="B2025" s="66"/>
      <c r="C2025" s="66"/>
      <c r="D2025" s="66"/>
      <c r="E2025" s="66"/>
      <c r="F2025" s="67"/>
      <c r="G2025" s="66"/>
      <c r="H2025" s="66"/>
    </row>
    <row r="2026" spans="1:8">
      <c r="A2026" s="66"/>
      <c r="B2026" s="66"/>
      <c r="C2026" s="66"/>
      <c r="D2026" s="66"/>
      <c r="E2026" s="66"/>
      <c r="F2026" s="67"/>
      <c r="G2026" s="66"/>
      <c r="H2026" s="66"/>
    </row>
    <row r="2027" spans="1:8">
      <c r="A2027" s="66"/>
      <c r="B2027" s="66"/>
      <c r="C2027" s="66"/>
      <c r="D2027" s="66"/>
      <c r="E2027" s="66"/>
      <c r="F2027" s="67"/>
      <c r="G2027" s="66"/>
      <c r="H2027" s="66"/>
    </row>
    <row r="2028" spans="1:8">
      <c r="A2028" s="66"/>
      <c r="B2028" s="66"/>
      <c r="C2028" s="66"/>
      <c r="D2028" s="66"/>
      <c r="E2028" s="66"/>
      <c r="F2028" s="67"/>
      <c r="G2028" s="66"/>
      <c r="H2028" s="66"/>
    </row>
    <row r="2029" spans="1:8">
      <c r="A2029" s="66"/>
      <c r="B2029" s="66"/>
      <c r="C2029" s="66"/>
      <c r="D2029" s="66"/>
      <c r="E2029" s="66"/>
      <c r="F2029" s="67"/>
      <c r="G2029" s="66"/>
      <c r="H2029" s="66"/>
    </row>
    <row r="2030" spans="1:8">
      <c r="A2030" s="66"/>
      <c r="B2030" s="66"/>
      <c r="C2030" s="66"/>
      <c r="D2030" s="66"/>
      <c r="E2030" s="66"/>
      <c r="F2030" s="67"/>
      <c r="G2030" s="66"/>
      <c r="H2030" s="66"/>
    </row>
    <row r="2031" spans="1:8">
      <c r="F2031" s="65"/>
    </row>
    <row r="2032" spans="1:8">
      <c r="F2032" s="65"/>
    </row>
    <row r="2033" spans="6:6">
      <c r="F2033" s="65"/>
    </row>
    <row r="2034" spans="6:6">
      <c r="F2034" s="65"/>
    </row>
    <row r="2035" spans="6:6">
      <c r="F2035" s="65"/>
    </row>
    <row r="2036" spans="6:6">
      <c r="F2036" s="65"/>
    </row>
    <row r="2037" spans="6:6">
      <c r="F2037" s="65"/>
    </row>
    <row r="2038" spans="6:6">
      <c r="F2038" s="65"/>
    </row>
    <row r="2039" spans="6:6">
      <c r="F2039" s="65"/>
    </row>
    <row r="2040" spans="6:6">
      <c r="F2040" s="65"/>
    </row>
    <row r="2041" spans="6:6">
      <c r="F2041" s="65"/>
    </row>
    <row r="2042" spans="6:6">
      <c r="F2042" s="65"/>
    </row>
    <row r="2043" spans="6:6">
      <c r="F2043" s="65"/>
    </row>
    <row r="2044" spans="6:6">
      <c r="F2044" s="65"/>
    </row>
    <row r="2045" spans="6:6">
      <c r="F2045" s="65"/>
    </row>
    <row r="2046" spans="6:6">
      <c r="F2046" s="65"/>
    </row>
    <row r="2047" spans="6:6">
      <c r="F2047" s="65"/>
    </row>
    <row r="2048" spans="6:6">
      <c r="F2048" s="65"/>
    </row>
    <row r="2049" spans="6:6">
      <c r="F2049" s="65"/>
    </row>
    <row r="2050" spans="6:6">
      <c r="F2050" s="65"/>
    </row>
    <row r="2051" spans="6:6">
      <c r="F2051" s="65"/>
    </row>
    <row r="2052" spans="6:6">
      <c r="F2052" s="65"/>
    </row>
    <row r="2053" spans="6:6">
      <c r="F2053" s="65"/>
    </row>
    <row r="2054" spans="6:6">
      <c r="F2054" s="65"/>
    </row>
    <row r="2055" spans="6:6">
      <c r="F2055" s="65"/>
    </row>
    <row r="2056" spans="6:6">
      <c r="F2056" s="65"/>
    </row>
    <row r="2057" spans="6:6">
      <c r="F2057" s="65"/>
    </row>
    <row r="2058" spans="6:6">
      <c r="F2058" s="65"/>
    </row>
    <row r="2059" spans="6:6">
      <c r="F2059" s="65"/>
    </row>
    <row r="2060" spans="6:6">
      <c r="F2060" s="65"/>
    </row>
    <row r="2061" spans="6:6">
      <c r="F2061" s="65"/>
    </row>
    <row r="2062" spans="6:6">
      <c r="F2062" s="65"/>
    </row>
    <row r="2063" spans="6:6">
      <c r="F2063" s="65"/>
    </row>
    <row r="2064" spans="6:6">
      <c r="F2064" s="65"/>
    </row>
    <row r="2065" spans="6:6">
      <c r="F2065" s="65"/>
    </row>
    <row r="2066" spans="6:6">
      <c r="F2066" s="65"/>
    </row>
    <row r="2067" spans="6:6">
      <c r="F2067" s="65"/>
    </row>
    <row r="2068" spans="6:6">
      <c r="F2068" s="65"/>
    </row>
    <row r="2069" spans="6:6">
      <c r="F2069" s="65"/>
    </row>
    <row r="2070" spans="6:6">
      <c r="F2070" s="65"/>
    </row>
    <row r="2071" spans="6:6">
      <c r="F2071" s="65"/>
    </row>
    <row r="2072" spans="6:6">
      <c r="F2072" s="65"/>
    </row>
    <row r="2073" spans="6:6">
      <c r="F2073" s="65"/>
    </row>
    <row r="2074" spans="6:6">
      <c r="F2074" s="65"/>
    </row>
    <row r="2075" spans="6:6">
      <c r="F2075" s="65"/>
    </row>
    <row r="2076" spans="6:6">
      <c r="F2076" s="65"/>
    </row>
    <row r="2077" spans="6:6">
      <c r="F2077" s="65"/>
    </row>
    <row r="2078" spans="6:6">
      <c r="F2078" s="65"/>
    </row>
    <row r="2079" spans="6:6">
      <c r="F2079" s="65"/>
    </row>
    <row r="2080" spans="6:6">
      <c r="F2080" s="65"/>
    </row>
    <row r="2081" spans="6:6">
      <c r="F2081" s="65"/>
    </row>
    <row r="2082" spans="6:6">
      <c r="F2082" s="65"/>
    </row>
    <row r="2083" spans="6:6">
      <c r="F2083" s="65"/>
    </row>
    <row r="2084" spans="6:6">
      <c r="F2084" s="65"/>
    </row>
    <row r="2085" spans="6:6">
      <c r="F2085" s="65"/>
    </row>
    <row r="2086" spans="6:6">
      <c r="F2086" s="65"/>
    </row>
    <row r="2087" spans="6:6">
      <c r="F2087" s="65"/>
    </row>
    <row r="2088" spans="6:6">
      <c r="F2088" s="65"/>
    </row>
    <row r="2089" spans="6:6">
      <c r="F2089" s="65"/>
    </row>
    <row r="2090" spans="6:6">
      <c r="F2090" s="65"/>
    </row>
    <row r="2091" spans="6:6">
      <c r="F2091" s="65"/>
    </row>
    <row r="2092" spans="6:6">
      <c r="F2092" s="65"/>
    </row>
    <row r="2093" spans="6:6">
      <c r="F2093" s="65"/>
    </row>
    <row r="2094" spans="6:6">
      <c r="F2094" s="65"/>
    </row>
    <row r="2095" spans="6:6">
      <c r="F2095" s="65"/>
    </row>
    <row r="2096" spans="6:6">
      <c r="F2096" s="65"/>
    </row>
    <row r="2097" spans="6:6">
      <c r="F2097" s="65"/>
    </row>
    <row r="2098" spans="6:6">
      <c r="F2098" s="65"/>
    </row>
    <row r="2099" spans="6:6">
      <c r="F2099" s="65"/>
    </row>
    <row r="2100" spans="6:6">
      <c r="F2100" s="65"/>
    </row>
    <row r="2101" spans="6:6">
      <c r="F2101" s="65"/>
    </row>
    <row r="2102" spans="6:6">
      <c r="F2102" s="65"/>
    </row>
    <row r="2103" spans="6:6">
      <c r="F2103" s="65"/>
    </row>
    <row r="2104" spans="6:6">
      <c r="F2104" s="65"/>
    </row>
    <row r="2105" spans="6:6">
      <c r="F2105" s="65"/>
    </row>
    <row r="2106" spans="6:6">
      <c r="F2106" s="65"/>
    </row>
    <row r="2107" spans="6:6">
      <c r="F2107" s="65"/>
    </row>
    <row r="2108" spans="6:6">
      <c r="F2108" s="65"/>
    </row>
    <row r="2109" spans="6:6">
      <c r="F2109" s="65"/>
    </row>
    <row r="2110" spans="6:6">
      <c r="F2110" s="65"/>
    </row>
    <row r="2111" spans="6:6">
      <c r="F2111" s="65"/>
    </row>
    <row r="2112" spans="6:6">
      <c r="F2112" s="65"/>
    </row>
    <row r="2113" spans="6:6">
      <c r="F2113" s="65"/>
    </row>
    <row r="2114" spans="6:6">
      <c r="F2114" s="65"/>
    </row>
    <row r="2115" spans="6:6">
      <c r="F2115" s="65"/>
    </row>
    <row r="2116" spans="6:6">
      <c r="F2116" s="65"/>
    </row>
    <row r="2117" spans="6:6">
      <c r="F2117" s="65"/>
    </row>
    <row r="2118" spans="6:6">
      <c r="F2118" s="65"/>
    </row>
    <row r="2119" spans="6:6">
      <c r="F2119" s="65"/>
    </row>
    <row r="2120" spans="6:6">
      <c r="F2120" s="65"/>
    </row>
    <row r="2121" spans="6:6">
      <c r="F2121" s="65"/>
    </row>
    <row r="2122" spans="6:6">
      <c r="F2122" s="65"/>
    </row>
    <row r="2123" spans="6:6">
      <c r="F2123" s="65"/>
    </row>
    <row r="2124" spans="6:6">
      <c r="F2124" s="65"/>
    </row>
    <row r="2125" spans="6:6">
      <c r="F2125" s="65"/>
    </row>
    <row r="2126" spans="6:6">
      <c r="F2126" s="65"/>
    </row>
    <row r="2127" spans="6:6">
      <c r="F2127" s="65"/>
    </row>
    <row r="2128" spans="6:6">
      <c r="F2128" s="65"/>
    </row>
    <row r="2129" spans="6:6">
      <c r="F2129" s="65"/>
    </row>
    <row r="2130" spans="6:6">
      <c r="F2130" s="65"/>
    </row>
    <row r="2131" spans="6:6">
      <c r="F2131" s="65"/>
    </row>
    <row r="2132" spans="6:6">
      <c r="F2132" s="65"/>
    </row>
    <row r="2133" spans="6:6">
      <c r="F2133" s="65"/>
    </row>
    <row r="2134" spans="6:6">
      <c r="F2134" s="65"/>
    </row>
    <row r="2135" spans="6:6">
      <c r="F2135" s="65"/>
    </row>
    <row r="2136" spans="6:6">
      <c r="F2136" s="65"/>
    </row>
    <row r="2137" spans="6:6">
      <c r="F2137" s="65"/>
    </row>
    <row r="2138" spans="6:6">
      <c r="F2138" s="65"/>
    </row>
    <row r="2139" spans="6:6">
      <c r="F2139" s="65"/>
    </row>
    <row r="2140" spans="6:6">
      <c r="F2140" s="65"/>
    </row>
    <row r="2141" spans="6:6">
      <c r="F2141" s="65"/>
    </row>
    <row r="2142" spans="6:6">
      <c r="F2142" s="65"/>
    </row>
    <row r="2143" spans="6:6">
      <c r="F2143" s="65"/>
    </row>
    <row r="2144" spans="6:6">
      <c r="F2144" s="65"/>
    </row>
    <row r="2145" spans="6:6">
      <c r="F2145" s="65"/>
    </row>
    <row r="2146" spans="6:6">
      <c r="F2146" s="65"/>
    </row>
    <row r="2147" spans="6:6">
      <c r="F2147" s="65"/>
    </row>
    <row r="2148" spans="6:6">
      <c r="F2148" s="65"/>
    </row>
    <row r="2149" spans="6:6">
      <c r="F2149" s="65"/>
    </row>
    <row r="2150" spans="6:6">
      <c r="F2150" s="65"/>
    </row>
    <row r="2151" spans="6:6">
      <c r="F2151" s="65"/>
    </row>
    <row r="2152" spans="6:6">
      <c r="F2152" s="65"/>
    </row>
    <row r="2153" spans="6:6">
      <c r="F2153" s="65"/>
    </row>
    <row r="2154" spans="6:6">
      <c r="F2154" s="65"/>
    </row>
    <row r="2155" spans="6:6">
      <c r="F2155" s="65"/>
    </row>
    <row r="2156" spans="6:6">
      <c r="F2156" s="65"/>
    </row>
    <row r="2157" spans="6:6">
      <c r="F2157" s="65"/>
    </row>
    <row r="2158" spans="6:6">
      <c r="F2158" s="65"/>
    </row>
    <row r="2159" spans="6:6">
      <c r="F2159" s="65"/>
    </row>
    <row r="2160" spans="6:6">
      <c r="F2160" s="65"/>
    </row>
    <row r="2161" spans="1:8">
      <c r="F2161" s="65"/>
    </row>
    <row r="2162" spans="1:8">
      <c r="F2162" s="65"/>
    </row>
    <row r="2163" spans="1:8">
      <c r="F2163" s="65"/>
    </row>
    <row r="2164" spans="1:8">
      <c r="F2164" s="65"/>
    </row>
    <row r="2165" spans="1:8">
      <c r="F2165" s="65"/>
    </row>
    <row r="2166" spans="1:8">
      <c r="F2166" s="65"/>
    </row>
    <row r="2167" spans="1:8">
      <c r="F2167" s="65"/>
    </row>
    <row r="2168" spans="1:8">
      <c r="F2168" s="65"/>
    </row>
    <row r="2169" spans="1:8">
      <c r="F2169" s="65"/>
    </row>
    <row r="2170" spans="1:8">
      <c r="F2170" s="65"/>
    </row>
    <row r="2171" spans="1:8">
      <c r="F2171" s="65"/>
    </row>
    <row r="2172" spans="1:8">
      <c r="F2172" s="65"/>
    </row>
    <row r="2173" spans="1:8">
      <c r="F2173" s="65"/>
    </row>
    <row r="2174" spans="1:8">
      <c r="F2174" s="65"/>
    </row>
    <row r="2175" spans="1:8">
      <c r="A2175" s="66"/>
      <c r="B2175" s="66"/>
      <c r="C2175" s="66"/>
      <c r="D2175" s="66"/>
      <c r="E2175" s="66"/>
      <c r="F2175" s="67"/>
      <c r="G2175" s="66"/>
      <c r="H2175" s="66"/>
    </row>
    <row r="2176" spans="1:8">
      <c r="A2176" s="66"/>
      <c r="B2176" s="66"/>
      <c r="C2176" s="66"/>
      <c r="D2176" s="66"/>
      <c r="E2176" s="66"/>
      <c r="F2176" s="67"/>
      <c r="G2176" s="66"/>
      <c r="H2176" s="66"/>
    </row>
    <row r="2177" spans="1:8">
      <c r="A2177" s="66"/>
      <c r="B2177" s="66"/>
      <c r="C2177" s="66"/>
      <c r="D2177" s="66"/>
      <c r="E2177" s="66"/>
      <c r="F2177" s="67"/>
      <c r="G2177" s="66"/>
      <c r="H2177" s="66"/>
    </row>
    <row r="2178" spans="1:8">
      <c r="A2178" s="66"/>
      <c r="B2178" s="66"/>
      <c r="C2178" s="66"/>
      <c r="D2178" s="66"/>
      <c r="E2178" s="66"/>
      <c r="F2178" s="67"/>
      <c r="G2178" s="66"/>
      <c r="H2178" s="66"/>
    </row>
    <row r="2179" spans="1:8">
      <c r="A2179" s="66"/>
      <c r="B2179" s="66"/>
      <c r="C2179" s="66"/>
      <c r="D2179" s="66"/>
      <c r="E2179" s="66"/>
      <c r="F2179" s="67"/>
      <c r="G2179" s="66"/>
      <c r="H2179" s="66"/>
    </row>
    <row r="2180" spans="1:8">
      <c r="A2180" s="66"/>
      <c r="B2180" s="66"/>
      <c r="C2180" s="66"/>
      <c r="D2180" s="66"/>
      <c r="E2180" s="66"/>
      <c r="F2180" s="67"/>
      <c r="G2180" s="66"/>
      <c r="H2180" s="66"/>
    </row>
    <row r="2181" spans="1:8">
      <c r="A2181" s="66"/>
      <c r="B2181" s="66"/>
      <c r="C2181" s="66"/>
      <c r="D2181" s="66"/>
      <c r="E2181" s="66"/>
      <c r="F2181" s="67"/>
      <c r="G2181" s="66"/>
      <c r="H2181" s="66"/>
    </row>
    <row r="2182" spans="1:8">
      <c r="A2182" s="66"/>
      <c r="B2182" s="66"/>
      <c r="C2182" s="66"/>
      <c r="D2182" s="66"/>
      <c r="E2182" s="66"/>
      <c r="F2182" s="67"/>
      <c r="G2182" s="66"/>
      <c r="H2182" s="66"/>
    </row>
    <row r="2183" spans="1:8">
      <c r="A2183" s="66"/>
      <c r="B2183" s="66"/>
      <c r="C2183" s="66"/>
      <c r="D2183" s="66"/>
      <c r="E2183" s="66"/>
      <c r="F2183" s="67"/>
      <c r="G2183" s="66"/>
      <c r="H2183" s="66"/>
    </row>
    <row r="2184" spans="1:8">
      <c r="A2184" s="66"/>
      <c r="B2184" s="66"/>
      <c r="C2184" s="66"/>
      <c r="D2184" s="66"/>
      <c r="E2184" s="66"/>
      <c r="F2184" s="67"/>
      <c r="G2184" s="66"/>
      <c r="H2184" s="66"/>
    </row>
    <row r="2185" spans="1:8">
      <c r="A2185" s="66"/>
      <c r="B2185" s="66"/>
      <c r="C2185" s="66"/>
      <c r="D2185" s="66"/>
      <c r="E2185" s="66"/>
      <c r="F2185" s="67"/>
      <c r="G2185" s="66"/>
      <c r="H2185" s="66"/>
    </row>
    <row r="2186" spans="1:8">
      <c r="A2186" s="66"/>
      <c r="B2186" s="66"/>
      <c r="C2186" s="66"/>
      <c r="D2186" s="66"/>
      <c r="E2186" s="66"/>
      <c r="F2186" s="67"/>
      <c r="G2186" s="66"/>
      <c r="H2186" s="66"/>
    </row>
    <row r="2187" spans="1:8">
      <c r="F2187" s="65"/>
    </row>
    <row r="2188" spans="1:8">
      <c r="F2188" s="65"/>
    </row>
    <row r="2189" spans="1:8">
      <c r="F2189" s="65"/>
    </row>
    <row r="2190" spans="1:8">
      <c r="F2190" s="65"/>
    </row>
    <row r="2191" spans="1:8">
      <c r="F2191" s="65"/>
    </row>
    <row r="2192" spans="1:8">
      <c r="F2192" s="65"/>
    </row>
    <row r="2193" spans="6:6">
      <c r="F2193" s="65"/>
    </row>
    <row r="2194" spans="6:6">
      <c r="F2194" s="65"/>
    </row>
    <row r="2195" spans="6:6">
      <c r="F2195" s="65"/>
    </row>
    <row r="2196" spans="6:6">
      <c r="F2196" s="65"/>
    </row>
    <row r="2197" spans="6:6">
      <c r="F2197" s="65"/>
    </row>
    <row r="2198" spans="6:6">
      <c r="F2198" s="65"/>
    </row>
    <row r="2199" spans="6:6">
      <c r="F2199" s="65"/>
    </row>
    <row r="2200" spans="6:6">
      <c r="F2200" s="65"/>
    </row>
    <row r="2201" spans="6:6">
      <c r="F2201" s="65"/>
    </row>
    <row r="2202" spans="6:6">
      <c r="F2202" s="65"/>
    </row>
    <row r="2203" spans="6:6">
      <c r="F2203" s="65"/>
    </row>
    <row r="2204" spans="6:6">
      <c r="F2204" s="65"/>
    </row>
    <row r="2205" spans="6:6">
      <c r="F2205" s="65"/>
    </row>
    <row r="2206" spans="6:6">
      <c r="F2206" s="65"/>
    </row>
    <row r="2207" spans="6:6">
      <c r="F2207" s="65"/>
    </row>
    <row r="2208" spans="6:6">
      <c r="F2208" s="65"/>
    </row>
    <row r="2209" spans="6:6">
      <c r="F2209" s="65"/>
    </row>
    <row r="2210" spans="6:6">
      <c r="F2210" s="65"/>
    </row>
    <row r="2211" spans="6:6">
      <c r="F2211" s="65"/>
    </row>
    <row r="2212" spans="6:6">
      <c r="F2212" s="65"/>
    </row>
    <row r="2213" spans="6:6">
      <c r="F2213" s="65"/>
    </row>
    <row r="2214" spans="6:6">
      <c r="F2214" s="65"/>
    </row>
    <row r="2215" spans="6:6">
      <c r="F2215" s="65"/>
    </row>
    <row r="2216" spans="6:6">
      <c r="F2216" s="65"/>
    </row>
    <row r="2217" spans="6:6">
      <c r="F2217" s="65"/>
    </row>
    <row r="2218" spans="6:6">
      <c r="F2218" s="65"/>
    </row>
    <row r="2219" spans="6:6">
      <c r="F2219" s="65"/>
    </row>
    <row r="2220" spans="6:6">
      <c r="F2220" s="65"/>
    </row>
    <row r="2221" spans="6:6">
      <c r="F2221" s="65"/>
    </row>
    <row r="2222" spans="6:6">
      <c r="F2222" s="65"/>
    </row>
    <row r="2223" spans="6:6">
      <c r="F2223" s="65"/>
    </row>
    <row r="2224" spans="6:6">
      <c r="F2224" s="65"/>
    </row>
    <row r="2225" spans="6:6">
      <c r="F2225" s="65"/>
    </row>
    <row r="2226" spans="6:6">
      <c r="F2226" s="65"/>
    </row>
    <row r="2227" spans="6:6">
      <c r="F2227" s="65"/>
    </row>
    <row r="2228" spans="6:6">
      <c r="F2228" s="65"/>
    </row>
    <row r="2229" spans="6:6">
      <c r="F2229" s="65"/>
    </row>
    <row r="2230" spans="6:6">
      <c r="F2230" s="65"/>
    </row>
    <row r="2231" spans="6:6">
      <c r="F2231" s="65"/>
    </row>
    <row r="2232" spans="6:6">
      <c r="F2232" s="65"/>
    </row>
    <row r="2233" spans="6:6">
      <c r="F2233" s="65"/>
    </row>
    <row r="2234" spans="6:6">
      <c r="F2234" s="65"/>
    </row>
    <row r="2235" spans="6:6">
      <c r="F2235" s="65"/>
    </row>
    <row r="2236" spans="6:6">
      <c r="F2236" s="65"/>
    </row>
    <row r="2237" spans="6:6">
      <c r="F2237" s="65"/>
    </row>
    <row r="2238" spans="6:6">
      <c r="F2238" s="65"/>
    </row>
    <row r="2239" spans="6:6">
      <c r="F2239" s="65"/>
    </row>
    <row r="2240" spans="6:6">
      <c r="F2240" s="65"/>
    </row>
    <row r="2241" spans="6:6">
      <c r="F2241" s="65"/>
    </row>
    <row r="2242" spans="6:6">
      <c r="F2242" s="65"/>
    </row>
    <row r="2243" spans="6:6">
      <c r="F2243" s="65"/>
    </row>
    <row r="2244" spans="6:6">
      <c r="F2244" s="65"/>
    </row>
    <row r="2245" spans="6:6">
      <c r="F2245" s="65"/>
    </row>
    <row r="2246" spans="6:6">
      <c r="F2246" s="65"/>
    </row>
    <row r="2247" spans="6:6">
      <c r="F2247" s="65"/>
    </row>
    <row r="2248" spans="6:6">
      <c r="F2248" s="65"/>
    </row>
    <row r="2249" spans="6:6">
      <c r="F2249" s="65"/>
    </row>
    <row r="2250" spans="6:6">
      <c r="F2250" s="65"/>
    </row>
    <row r="2251" spans="6:6">
      <c r="F2251" s="65"/>
    </row>
    <row r="2252" spans="6:6">
      <c r="F2252" s="65"/>
    </row>
    <row r="2253" spans="6:6">
      <c r="F2253" s="65"/>
    </row>
    <row r="2254" spans="6:6">
      <c r="F2254" s="65"/>
    </row>
    <row r="2255" spans="6:6">
      <c r="F2255" s="65"/>
    </row>
    <row r="2256" spans="6:6">
      <c r="F2256" s="65"/>
    </row>
    <row r="2257" spans="6:6">
      <c r="F2257" s="65"/>
    </row>
    <row r="2258" spans="6:6">
      <c r="F2258" s="65"/>
    </row>
    <row r="2259" spans="6:6">
      <c r="F2259" s="65"/>
    </row>
    <row r="2260" spans="6:6">
      <c r="F2260" s="65"/>
    </row>
    <row r="2261" spans="6:6">
      <c r="F2261" s="65"/>
    </row>
    <row r="2262" spans="6:6">
      <c r="F2262" s="65"/>
    </row>
    <row r="2263" spans="6:6">
      <c r="F2263" s="65"/>
    </row>
    <row r="2264" spans="6:6">
      <c r="F2264" s="65"/>
    </row>
    <row r="2265" spans="6:6">
      <c r="F2265" s="65"/>
    </row>
    <row r="2266" spans="6:6">
      <c r="F2266" s="65"/>
    </row>
    <row r="2267" spans="6:6">
      <c r="F2267" s="65"/>
    </row>
    <row r="2268" spans="6:6">
      <c r="F2268" s="65"/>
    </row>
    <row r="2269" spans="6:6">
      <c r="F2269" s="65"/>
    </row>
    <row r="2270" spans="6:6">
      <c r="F2270" s="65"/>
    </row>
    <row r="2271" spans="6:6">
      <c r="F2271" s="65"/>
    </row>
    <row r="2272" spans="6:6">
      <c r="F2272" s="65"/>
    </row>
    <row r="2273" spans="6:6">
      <c r="F2273" s="65"/>
    </row>
    <row r="2274" spans="6:6">
      <c r="F2274" s="65"/>
    </row>
    <row r="2275" spans="6:6">
      <c r="F2275" s="65"/>
    </row>
    <row r="2276" spans="6:6">
      <c r="F2276" s="65"/>
    </row>
    <row r="2277" spans="6:6">
      <c r="F2277" s="65"/>
    </row>
    <row r="2278" spans="6:6">
      <c r="F2278" s="65"/>
    </row>
    <row r="2279" spans="6:6">
      <c r="F2279" s="65"/>
    </row>
    <row r="2280" spans="6:6">
      <c r="F2280" s="65"/>
    </row>
    <row r="2281" spans="6:6">
      <c r="F2281" s="65"/>
    </row>
    <row r="2282" spans="6:6">
      <c r="F2282" s="65"/>
    </row>
    <row r="2283" spans="6:6">
      <c r="F2283" s="65"/>
    </row>
    <row r="2284" spans="6:6">
      <c r="F2284" s="65"/>
    </row>
    <row r="2285" spans="6:6">
      <c r="F2285" s="65"/>
    </row>
    <row r="2286" spans="6:6">
      <c r="F2286" s="65"/>
    </row>
    <row r="2287" spans="6:6">
      <c r="F2287" s="65"/>
    </row>
    <row r="2288" spans="6:6">
      <c r="F2288" s="65"/>
    </row>
    <row r="2289" spans="6:6">
      <c r="F2289" s="65"/>
    </row>
    <row r="2290" spans="6:6">
      <c r="F2290" s="65"/>
    </row>
    <row r="2291" spans="6:6">
      <c r="F2291" s="65"/>
    </row>
    <row r="2292" spans="6:6">
      <c r="F2292" s="65"/>
    </row>
    <row r="2293" spans="6:6">
      <c r="F2293" s="65"/>
    </row>
    <row r="2294" spans="6:6">
      <c r="F2294" s="65"/>
    </row>
    <row r="2295" spans="6:6">
      <c r="F2295" s="65"/>
    </row>
    <row r="2296" spans="6:6">
      <c r="F2296" s="65"/>
    </row>
    <row r="2297" spans="6:6">
      <c r="F2297" s="65"/>
    </row>
    <row r="2298" spans="6:6">
      <c r="F2298" s="65"/>
    </row>
    <row r="2299" spans="6:6">
      <c r="F2299" s="65"/>
    </row>
    <row r="2300" spans="6:6">
      <c r="F2300" s="65"/>
    </row>
    <row r="2301" spans="6:6">
      <c r="F2301" s="65"/>
    </row>
    <row r="2302" spans="6:6">
      <c r="F2302" s="65"/>
    </row>
    <row r="2303" spans="6:6">
      <c r="F2303" s="65"/>
    </row>
    <row r="2304" spans="6:6">
      <c r="F2304" s="65"/>
    </row>
    <row r="2305" spans="6:6">
      <c r="F2305" s="65"/>
    </row>
    <row r="2306" spans="6:6">
      <c r="F2306" s="65"/>
    </row>
    <row r="2307" spans="6:6">
      <c r="F2307" s="65"/>
    </row>
    <row r="2308" spans="6:6">
      <c r="F2308" s="65"/>
    </row>
    <row r="2309" spans="6:6">
      <c r="F2309" s="65"/>
    </row>
    <row r="2310" spans="6:6">
      <c r="F2310" s="65"/>
    </row>
    <row r="2311" spans="6:6">
      <c r="F2311" s="65"/>
    </row>
    <row r="2312" spans="6:6">
      <c r="F2312" s="65"/>
    </row>
    <row r="2313" spans="6:6">
      <c r="F2313" s="65"/>
    </row>
    <row r="2314" spans="6:6">
      <c r="F2314" s="65"/>
    </row>
    <row r="2315" spans="6:6">
      <c r="F2315" s="65"/>
    </row>
    <row r="2316" spans="6:6">
      <c r="F2316" s="65"/>
    </row>
    <row r="2317" spans="6:6">
      <c r="F2317" s="65"/>
    </row>
    <row r="2318" spans="6:6">
      <c r="F2318" s="65"/>
    </row>
    <row r="2319" spans="6:6">
      <c r="F2319" s="65"/>
    </row>
    <row r="2320" spans="6:6">
      <c r="F2320" s="65"/>
    </row>
    <row r="2321" spans="6:6">
      <c r="F2321" s="65"/>
    </row>
    <row r="2322" spans="6:6">
      <c r="F2322" s="65"/>
    </row>
    <row r="2323" spans="6:6">
      <c r="F2323" s="65"/>
    </row>
    <row r="2324" spans="6:6">
      <c r="F2324" s="65"/>
    </row>
    <row r="2325" spans="6:6">
      <c r="F2325" s="65"/>
    </row>
    <row r="2326" spans="6:6">
      <c r="F2326" s="65"/>
    </row>
    <row r="2327" spans="6:6">
      <c r="F2327" s="65"/>
    </row>
    <row r="2328" spans="6:6">
      <c r="F2328" s="65"/>
    </row>
    <row r="2329" spans="6:6">
      <c r="F2329" s="65"/>
    </row>
    <row r="2330" spans="6:6">
      <c r="F2330" s="65"/>
    </row>
    <row r="2331" spans="6:6">
      <c r="F2331" s="65"/>
    </row>
    <row r="2332" spans="6:6">
      <c r="F2332" s="65"/>
    </row>
    <row r="2333" spans="6:6">
      <c r="F2333" s="65"/>
    </row>
    <row r="2334" spans="6:6">
      <c r="F2334" s="65"/>
    </row>
    <row r="2335" spans="6:6">
      <c r="F2335" s="65"/>
    </row>
    <row r="2336" spans="6:6">
      <c r="F2336" s="65"/>
    </row>
    <row r="2337" spans="6:6">
      <c r="F2337" s="65"/>
    </row>
    <row r="2338" spans="6:6">
      <c r="F2338" s="65"/>
    </row>
    <row r="2339" spans="6:6">
      <c r="F2339" s="65"/>
    </row>
    <row r="2340" spans="6:6">
      <c r="F2340" s="65"/>
    </row>
    <row r="2341" spans="6:6">
      <c r="F2341" s="65"/>
    </row>
    <row r="2342" spans="6:6">
      <c r="F2342" s="65"/>
    </row>
    <row r="2343" spans="6:6">
      <c r="F2343" s="65"/>
    </row>
    <row r="2344" spans="6:6">
      <c r="F2344" s="65"/>
    </row>
    <row r="2345" spans="6:6">
      <c r="F2345" s="65"/>
    </row>
    <row r="2346" spans="6:6">
      <c r="F2346" s="65"/>
    </row>
    <row r="2347" spans="6:6">
      <c r="F2347" s="65"/>
    </row>
    <row r="2348" spans="6:6">
      <c r="F2348" s="65"/>
    </row>
    <row r="2349" spans="6:6">
      <c r="F2349" s="65"/>
    </row>
    <row r="2350" spans="6:6">
      <c r="F2350" s="65"/>
    </row>
    <row r="2351" spans="6:6">
      <c r="F2351" s="65"/>
    </row>
    <row r="2352" spans="6:6">
      <c r="F2352" s="65"/>
    </row>
    <row r="2353" spans="6:6">
      <c r="F2353" s="65"/>
    </row>
    <row r="2354" spans="6:6">
      <c r="F2354" s="65"/>
    </row>
    <row r="2355" spans="6:6">
      <c r="F2355" s="65"/>
    </row>
    <row r="2356" spans="6:6">
      <c r="F2356" s="65"/>
    </row>
    <row r="2357" spans="6:6">
      <c r="F2357" s="65"/>
    </row>
    <row r="2358" spans="6:6">
      <c r="F2358" s="65"/>
    </row>
    <row r="2359" spans="6:6">
      <c r="F2359" s="65"/>
    </row>
    <row r="2360" spans="6:6">
      <c r="F2360" s="65"/>
    </row>
    <row r="2361" spans="6:6">
      <c r="F2361" s="65"/>
    </row>
    <row r="2362" spans="6:6">
      <c r="F2362" s="65"/>
    </row>
    <row r="2363" spans="6:6">
      <c r="F2363" s="65"/>
    </row>
    <row r="2364" spans="6:6">
      <c r="F2364" s="65"/>
    </row>
    <row r="2365" spans="6:6">
      <c r="F2365" s="65"/>
    </row>
    <row r="2366" spans="6:6">
      <c r="F2366" s="65"/>
    </row>
    <row r="2367" spans="6:6">
      <c r="F2367" s="65"/>
    </row>
    <row r="2368" spans="6:6">
      <c r="F2368" s="65"/>
    </row>
    <row r="2369" spans="6:6">
      <c r="F2369" s="65"/>
    </row>
    <row r="2370" spans="6:6">
      <c r="F2370" s="65"/>
    </row>
    <row r="2371" spans="6:6">
      <c r="F2371" s="65"/>
    </row>
    <row r="2372" spans="6:6">
      <c r="F2372" s="65"/>
    </row>
    <row r="2373" spans="6:6">
      <c r="F2373" s="65"/>
    </row>
    <row r="2374" spans="6:6">
      <c r="F2374" s="65"/>
    </row>
    <row r="2375" spans="6:6">
      <c r="F2375" s="65"/>
    </row>
    <row r="2376" spans="6:6">
      <c r="F2376" s="65"/>
    </row>
    <row r="2377" spans="6:6">
      <c r="F2377" s="65"/>
    </row>
    <row r="2378" spans="6:6">
      <c r="F2378" s="65"/>
    </row>
    <row r="2379" spans="6:6">
      <c r="F2379" s="65"/>
    </row>
    <row r="2380" spans="6:6">
      <c r="F2380" s="65"/>
    </row>
    <row r="2381" spans="6:6">
      <c r="F2381" s="65"/>
    </row>
    <row r="2382" spans="6:6">
      <c r="F2382" s="65"/>
    </row>
    <row r="2383" spans="6:6">
      <c r="F2383" s="65"/>
    </row>
    <row r="2384" spans="6:6">
      <c r="F2384" s="65"/>
    </row>
    <row r="2385" spans="6:6">
      <c r="F2385" s="65"/>
    </row>
    <row r="2386" spans="6:6">
      <c r="F2386" s="65"/>
    </row>
    <row r="2387" spans="6:6">
      <c r="F2387" s="65"/>
    </row>
    <row r="2388" spans="6:6">
      <c r="F2388" s="65"/>
    </row>
    <row r="2389" spans="6:6">
      <c r="F2389" s="65"/>
    </row>
    <row r="2390" spans="6:6">
      <c r="F2390" s="65"/>
    </row>
    <row r="2391" spans="6:6">
      <c r="F2391" s="65"/>
    </row>
    <row r="2392" spans="6:6">
      <c r="F2392" s="65"/>
    </row>
    <row r="2393" spans="6:6">
      <c r="F2393" s="65"/>
    </row>
    <row r="2394" spans="6:6">
      <c r="F2394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6:E405"/>
  <sheetViews>
    <sheetView workbookViewId="0">
      <selection activeCell="E7" sqref="E7:E17"/>
    </sheetView>
  </sheetViews>
  <sheetFormatPr baseColWidth="10" defaultRowHeight="12.75"/>
  <cols>
    <col min="3" max="3" width="38.28515625" customWidth="1"/>
    <col min="4" max="4" width="15.42578125" customWidth="1"/>
    <col min="5" max="5" width="14" customWidth="1"/>
  </cols>
  <sheetData>
    <row r="6" spans="2:5" ht="14.25">
      <c r="B6" s="50" t="s">
        <v>1326</v>
      </c>
      <c r="C6" s="50" t="s">
        <v>1335</v>
      </c>
      <c r="D6" s="50" t="s">
        <v>1355</v>
      </c>
      <c r="E6" s="50" t="s">
        <v>1356</v>
      </c>
    </row>
    <row r="7" spans="2:5">
      <c r="B7" s="45" t="str">
        <f>IF(Ingreso!K11="","",Ingreso!K11)</f>
        <v>09.503.712-7</v>
      </c>
      <c r="C7" s="45" t="str">
        <f>IF(Ingreso!L11="","",Ingreso!L11)</f>
        <v>MANUEL  ORTIZ  CONTRERAS</v>
      </c>
      <c r="D7" s="78">
        <f>IF(Ingreso!AU11="","",Ingreso!AU11)</f>
        <v>5</v>
      </c>
      <c r="E7" s="78" t="e">
        <f>IF(B7="","",VLOOKUP(B7,#REF!,3,FALSE)/60)</f>
        <v>#REF!</v>
      </c>
    </row>
    <row r="8" spans="2:5">
      <c r="B8" s="45" t="str">
        <f>IF(Ingreso!K12="","",Ingreso!K12)</f>
        <v>15.891.790-4</v>
      </c>
      <c r="C8" s="45" t="str">
        <f>IF(Ingreso!L12="","",Ingreso!L12)</f>
        <v>LUIS ALBERTO  SALINAS  SALDIAS</v>
      </c>
      <c r="D8" s="78">
        <f>IF(Ingreso!AU12="","",Ingreso!AU12)</f>
        <v>5</v>
      </c>
      <c r="E8" s="78" t="e">
        <f>IF(B8="","",VLOOKUP(B8,#REF!,3,FALSE)/60)</f>
        <v>#REF!</v>
      </c>
    </row>
    <row r="9" spans="2:5">
      <c r="B9" s="45" t="str">
        <f>IF(Ingreso!K13="","",Ingreso!K13)</f>
        <v>08.465.592-9</v>
      </c>
      <c r="C9" s="45" t="str">
        <f>IF(Ingreso!L13="","",Ingreso!L13)</f>
        <v>JUAN A  CASTAÑEDA  SANHUEZA</v>
      </c>
      <c r="D9" s="78">
        <f>IF(Ingreso!AU13="","",Ingreso!AU13)</f>
        <v>7.5</v>
      </c>
      <c r="E9" s="78" t="e">
        <f>IF(B9="","",VLOOKUP(B9,#REF!,3,FALSE)/60)</f>
        <v>#REF!</v>
      </c>
    </row>
    <row r="10" spans="2:5">
      <c r="B10" s="45" t="str">
        <f>IF(Ingreso!K14="","",Ingreso!K14)</f>
        <v>08.881.760-5</v>
      </c>
      <c r="C10" s="45" t="str">
        <f>IF(Ingreso!L14="","",Ingreso!L14)</f>
        <v>MANUEL ORLANDO  VEGA  LEYTON</v>
      </c>
      <c r="D10" s="78">
        <f>IF(Ingreso!AU14="","",Ingreso!AU14)</f>
        <v>7.5</v>
      </c>
      <c r="E10" s="78" t="e">
        <f>IF(B10="","",VLOOKUP(B10,#REF!,3,FALSE)/60)</f>
        <v>#REF!</v>
      </c>
    </row>
    <row r="11" spans="2:5">
      <c r="B11" s="45" t="str">
        <f>IF(Ingreso!K15="","",Ingreso!K15)</f>
        <v>15.437.429-9</v>
      </c>
      <c r="C11" s="45" t="str">
        <f>IF(Ingreso!L15="","",Ingreso!L15)</f>
        <v>JULIO  NADEAU  JOFRE</v>
      </c>
      <c r="D11" s="78">
        <f>IF(Ingreso!AU15="","",Ingreso!AU15)</f>
        <v>6</v>
      </c>
      <c r="E11" s="78" t="e">
        <f>IF(B11="","",VLOOKUP(B11,#REF!,3,FALSE)/60)</f>
        <v>#REF!</v>
      </c>
    </row>
    <row r="12" spans="2:5">
      <c r="B12" s="45" t="str">
        <f>IF(Ingreso!K16="","",Ingreso!K16)</f>
        <v>13.045.231-0</v>
      </c>
      <c r="C12" s="45" t="str">
        <f>IF(Ingreso!L16="","",Ingreso!L16)</f>
        <v>FELIPE  ARANCIBIA  SILVA</v>
      </c>
      <c r="D12" s="78">
        <f>IF(Ingreso!AU16="","",Ingreso!AU16)</f>
        <v>1</v>
      </c>
      <c r="E12" s="78" t="e">
        <f>IF(B12="","",VLOOKUP(B12,#REF!,3,FALSE)/60)</f>
        <v>#REF!</v>
      </c>
    </row>
    <row r="13" spans="2:5">
      <c r="B13" s="45" t="str">
        <f>IF(Ingreso!K17="","",Ingreso!K17)</f>
        <v>13.557.248-9</v>
      </c>
      <c r="C13" s="45" t="str">
        <f>IF(Ingreso!L17="","",Ingreso!L17)</f>
        <v>OSCAR MAURICIO  BERRIOS  LOPEZ</v>
      </c>
      <c r="D13" s="78">
        <f>IF(Ingreso!AU17="","",Ingreso!AU17)</f>
        <v>7.5</v>
      </c>
      <c r="E13" s="78" t="e">
        <f>IF(B13="","",VLOOKUP(B13,#REF!,3,FALSE)/60)</f>
        <v>#REF!</v>
      </c>
    </row>
    <row r="14" spans="2:5">
      <c r="B14" s="45" t="str">
        <f>IF(Ingreso!K18="","",Ingreso!K18)</f>
        <v>14.336.364-3</v>
      </c>
      <c r="C14" s="45" t="str">
        <f>IF(Ingreso!L18="","",Ingreso!L18)</f>
        <v>ARIEL A.  HERRERA  PALMA</v>
      </c>
      <c r="D14" s="78">
        <f>IF(Ingreso!AU18="","",Ingreso!AU18)</f>
        <v>7.5</v>
      </c>
      <c r="E14" s="78" t="e">
        <f>IF(B14="","",VLOOKUP(B14,#REF!,3,FALSE)/60)</f>
        <v>#REF!</v>
      </c>
    </row>
    <row r="15" spans="2:5">
      <c r="B15" s="45" t="str">
        <f>IF(Ingreso!K19="","",Ingreso!K19)</f>
        <v>07.916.907-2</v>
      </c>
      <c r="C15" s="45" t="str">
        <f>IF(Ingreso!L19="","",Ingreso!L19)</f>
        <v>MARCOS A  RUBIO  CASTRO</v>
      </c>
      <c r="D15" s="78">
        <f>IF(Ingreso!AU19="","",Ingreso!AU19)</f>
        <v>7.5</v>
      </c>
      <c r="E15" s="78" t="e">
        <f>IF(B15="","",VLOOKUP(B15,#REF!,3,FALSE)/60)</f>
        <v>#REF!</v>
      </c>
    </row>
    <row r="16" spans="2:5">
      <c r="B16" s="45" t="str">
        <f>IF(Ingreso!K20="","",Ingreso!K20)</f>
        <v>09.774.031-3</v>
      </c>
      <c r="C16" s="45" t="str">
        <f>IF(Ingreso!L20="","",Ingreso!L20)</f>
        <v>VICTOR  CACERES  VASQUEZ</v>
      </c>
      <c r="D16" s="78">
        <f>IF(Ingreso!AU20="","",Ingreso!AU20)</f>
        <v>7.5</v>
      </c>
      <c r="E16" s="78" t="e">
        <f>IF(B16="","",VLOOKUP(B16,#REF!,3,FALSE)/60)</f>
        <v>#REF!</v>
      </c>
    </row>
    <row r="17" spans="2:5">
      <c r="B17" s="45" t="str">
        <f>IF(Ingreso!K21="","",Ingreso!K21)</f>
        <v>17.542.884-4</v>
      </c>
      <c r="C17" s="45" t="str">
        <f>IF(Ingreso!L21="","",Ingreso!L21)</f>
        <v>FRANCISCO JAVIER  CASTILLO  AHUMADA</v>
      </c>
      <c r="D17" s="78">
        <f>IF(Ingreso!AU21="","",Ingreso!AU21)</f>
        <v>7.5</v>
      </c>
      <c r="E17" s="78"/>
    </row>
    <row r="18" spans="2:5">
      <c r="B18" s="45" t="str">
        <f>IF(Ingreso!K22="","",Ingreso!K22)</f>
        <v>13.295.279-5</v>
      </c>
      <c r="C18" s="45" t="str">
        <f>IF(Ingreso!L22="","",Ingreso!L22)</f>
        <v>JUAN OSVALDO  TOLEDO  YEVENES</v>
      </c>
      <c r="D18" s="78">
        <f>IF(Ingreso!AU22="","",Ingreso!AU22)</f>
        <v>7.5</v>
      </c>
      <c r="E18" s="78" t="e">
        <f>IF(B18="","",VLOOKUP(B18,#REF!,3,FALSE)/60)</f>
        <v>#REF!</v>
      </c>
    </row>
    <row r="19" spans="2:5">
      <c r="B19" s="45" t="str">
        <f>IF(Ingreso!K23="","",Ingreso!K23)</f>
        <v>08.224.093-4</v>
      </c>
      <c r="C19" s="45" t="str">
        <f>IF(Ingreso!L23="","",Ingreso!L23)</f>
        <v>MARIO DEL TRANSITO  ACEVEDO  MARTINEZ</v>
      </c>
      <c r="D19" s="78" t="str">
        <f>IF(Ingreso!AU23="","",Ingreso!AU23)</f>
        <v/>
      </c>
      <c r="E19" s="78" t="e">
        <f>IF(B19="","",VLOOKUP(B19,#REF!,2,FALSE)/60)</f>
        <v>#REF!</v>
      </c>
    </row>
    <row r="20" spans="2:5">
      <c r="B20" s="45" t="str">
        <f>IF(Ingreso!K24="","",Ingreso!K24)</f>
        <v>12.677.439-7</v>
      </c>
      <c r="C20" s="45" t="str">
        <f>IF(Ingreso!L24="","",Ingreso!L24)</f>
        <v>ANDRES RAUL  AEDO  MUÑOZ</v>
      </c>
      <c r="D20" s="78" t="str">
        <f>IF(Ingreso!AU24="","",Ingreso!AU24)</f>
        <v/>
      </c>
      <c r="E20" s="78" t="e">
        <f>IF(B20="","",VLOOKUP(B20,#REF!,2,FALSE)/60)</f>
        <v>#REF!</v>
      </c>
    </row>
    <row r="21" spans="2:5">
      <c r="B21" s="45" t="str">
        <f>IF(Ingreso!K25="","",Ingreso!K25)</f>
        <v>16.191.666-8</v>
      </c>
      <c r="C21" s="45" t="str">
        <f>IF(Ingreso!L25="","",Ingreso!L25)</f>
        <v>KAREN FABIOLA  ALARCON  SILVA</v>
      </c>
      <c r="D21" s="78" t="str">
        <f>IF(Ingreso!AU25="","",Ingreso!AU25)</f>
        <v/>
      </c>
      <c r="E21" s="78" t="e">
        <f>IF(B21="","",VLOOKUP(B21,#REF!,2,FALSE)/60)</f>
        <v>#REF!</v>
      </c>
    </row>
    <row r="22" spans="2:5">
      <c r="B22" s="45" t="str">
        <f>IF(Ingreso!K26="","",Ingreso!K26)</f>
        <v>11.325.204-9</v>
      </c>
      <c r="C22" s="45" t="str">
        <f>IF(Ingreso!L26="","",Ingreso!L26)</f>
        <v>LUIS ALBERTO  ALVARADO  MARTINEZ</v>
      </c>
      <c r="D22" s="78">
        <f>IF(Ingreso!AU26="","",Ingreso!AU26)</f>
        <v>7.5</v>
      </c>
      <c r="E22" s="78" t="e">
        <f>IF(B22="","",VLOOKUP(B22,#REF!,2,FALSE)/60)</f>
        <v>#REF!</v>
      </c>
    </row>
    <row r="23" spans="2:5">
      <c r="B23" s="45" t="str">
        <f>IF(Ingreso!K27="","",Ingreso!K27)</f>
        <v>17.609.782-5</v>
      </c>
      <c r="C23" s="45" t="str">
        <f>IF(Ingreso!L27="","",Ingreso!L27)</f>
        <v>CRISTIAN DANIEL  ALVAREZ  REYES</v>
      </c>
      <c r="D23" s="78">
        <f>IF(Ingreso!AU27="","",Ingreso!AU27)</f>
        <v>2</v>
      </c>
      <c r="E23" s="78" t="e">
        <f>IF(B23="","",VLOOKUP(B23,#REF!,2,FALSE)/60)</f>
        <v>#REF!</v>
      </c>
    </row>
    <row r="24" spans="2:5">
      <c r="B24" s="45" t="str">
        <f>IF(Ingreso!K28="","",Ingreso!K28)</f>
        <v>07.760.886-9</v>
      </c>
      <c r="C24" s="45" t="str">
        <f>IF(Ingreso!L28="","",Ingreso!L28)</f>
        <v>OSCAR ALFREDO  ALBORNOZ  ROA</v>
      </c>
      <c r="D24" s="78">
        <f>IF(Ingreso!AU28="","",Ingreso!AU28)</f>
        <v>10</v>
      </c>
      <c r="E24" s="78" t="e">
        <f>IF(B24="","",VLOOKUP(B24,#REF!,2,FALSE)/60)</f>
        <v>#REF!</v>
      </c>
    </row>
    <row r="25" spans="2:5">
      <c r="B25" s="45" t="str">
        <f>IF(Ingreso!K29="","",Ingreso!K29)</f>
        <v>12.093.228-4</v>
      </c>
      <c r="C25" s="45" t="str">
        <f>IF(Ingreso!L29="","",Ingreso!L29)</f>
        <v>CRISTIAN  ARANCIBIA  NIETO</v>
      </c>
      <c r="D25" s="78">
        <f>IF(Ingreso!AU29="","",Ingreso!AU29)</f>
        <v>9</v>
      </c>
      <c r="E25" s="78" t="e">
        <f>IF(B25="","",VLOOKUP(B25,#REF!,2,FALSE)/60)</f>
        <v>#REF!</v>
      </c>
    </row>
    <row r="26" spans="2:5">
      <c r="B26" s="45" t="str">
        <f>IF(Ingreso!K30="","",Ingreso!K30)</f>
        <v>08.283.277-7</v>
      </c>
      <c r="C26" s="45" t="str">
        <f>IF(Ingreso!L30="","",Ingreso!L30)</f>
        <v>LEONARDO ALFREDO  ARANCIBIA  VILLARROEL</v>
      </c>
      <c r="D26" s="78">
        <f>IF(Ingreso!AU30="","",Ingreso!AU30)</f>
        <v>8</v>
      </c>
      <c r="E26" s="78" t="e">
        <f>IF(B26="","",VLOOKUP(B26,#REF!,2,FALSE)/60)</f>
        <v>#REF!</v>
      </c>
    </row>
    <row r="27" spans="2:5">
      <c r="B27" s="45" t="str">
        <f>IF(Ingreso!K31="","",Ingreso!K31)</f>
        <v>10.173.910-4</v>
      </c>
      <c r="C27" s="45" t="str">
        <f>IF(Ingreso!L31="","",Ingreso!L31)</f>
        <v>FELIX  EXEQUIEL  ARSENDIGA  PALMA</v>
      </c>
      <c r="D27" s="78" t="str">
        <f>IF(Ingreso!AU31="","",Ingreso!AU31)</f>
        <v/>
      </c>
      <c r="E27" s="78" t="e">
        <f>IF(B27="","",VLOOKUP(B27,#REF!,2,FALSE)/60)</f>
        <v>#REF!</v>
      </c>
    </row>
    <row r="28" spans="2:5">
      <c r="B28" s="45" t="str">
        <f>IF(Ingreso!K32="","",Ingreso!K32)</f>
        <v>09.148.214-2</v>
      </c>
      <c r="C28" s="45" t="str">
        <f>IF(Ingreso!L32="","",Ingreso!L32)</f>
        <v>JORGE  BAEZA  REYES</v>
      </c>
      <c r="D28" s="78" t="str">
        <f>IF(Ingreso!AU32="","",Ingreso!AU32)</f>
        <v/>
      </c>
      <c r="E28" s="78" t="e">
        <f>IF(B28="","",VLOOKUP(B28,#REF!,2,FALSE)/60)</f>
        <v>#REF!</v>
      </c>
    </row>
    <row r="29" spans="2:5">
      <c r="B29" s="45" t="str">
        <f>IF(Ingreso!K33="","",Ingreso!K33)</f>
        <v>13.236.100-2</v>
      </c>
      <c r="C29" s="45" t="str">
        <f>IF(Ingreso!L33="","",Ingreso!L33)</f>
        <v>MARCO ANTONIO  BUSTAMANTE  GONZALEZ</v>
      </c>
      <c r="D29" s="78">
        <f>IF(Ingreso!AU33="","",Ingreso!AU33)</f>
        <v>5</v>
      </c>
      <c r="E29" s="78" t="e">
        <f>IF(B29="","",VLOOKUP(B29,#REF!,2,FALSE)/60)</f>
        <v>#REF!</v>
      </c>
    </row>
    <row r="30" spans="2:5">
      <c r="B30" s="45" t="str">
        <f>IF(Ingreso!K34="","",Ingreso!K34)</f>
        <v>13.899.407-4</v>
      </c>
      <c r="C30" s="45" t="str">
        <f>IF(Ingreso!L34="","",Ingreso!L34)</f>
        <v>MAURICIO ANDRES  BUSTAMANTE  GONZALEZ</v>
      </c>
      <c r="D30" s="78">
        <f>IF(Ingreso!AU34="","",Ingreso!AU34)</f>
        <v>7.5</v>
      </c>
      <c r="E30" s="78" t="e">
        <f>IF(B30="","",VLOOKUP(B30,#REF!,2,FALSE)/60)</f>
        <v>#REF!</v>
      </c>
    </row>
    <row r="31" spans="2:5">
      <c r="B31" s="45" t="str">
        <f>IF(Ingreso!K35="","",Ingreso!K35)</f>
        <v>10.116.815-8</v>
      </c>
      <c r="C31" s="45" t="str">
        <f>IF(Ingreso!L35="","",Ingreso!L35)</f>
        <v>TERESA DE LAS NIEVES  BUSTOS  JARA</v>
      </c>
      <c r="D31" s="78" t="str">
        <f>IF(Ingreso!AU35="","",Ingreso!AU35)</f>
        <v/>
      </c>
      <c r="E31" s="78" t="e">
        <f>IF(B31="","",VLOOKUP(B31,#REF!,2,FALSE)/60)</f>
        <v>#REF!</v>
      </c>
    </row>
    <row r="32" spans="2:5">
      <c r="B32" s="45" t="str">
        <f>IF(Ingreso!K36="","",Ingreso!K36)</f>
        <v>16.441.340-3</v>
      </c>
      <c r="C32" s="45" t="str">
        <f>IF(Ingreso!L36="","",Ingreso!L36)</f>
        <v>LUIS HERNAN  CACERES  ORMAZABAL</v>
      </c>
      <c r="D32" s="78" t="str">
        <f>IF(Ingreso!AU36="","",Ingreso!AU36)</f>
        <v/>
      </c>
      <c r="E32" s="78" t="e">
        <f>IF(B32="","",VLOOKUP(B32,#REF!,2,FALSE)/60)</f>
        <v>#REF!</v>
      </c>
    </row>
    <row r="33" spans="2:5">
      <c r="B33" s="45" t="str">
        <f>IF(Ingreso!K37="","",Ingreso!K37)</f>
        <v>08.454.836-7</v>
      </c>
      <c r="C33" s="45" t="str">
        <f>IF(Ingreso!L37="","",Ingreso!L37)</f>
        <v>BRIGIDA DEL CARMEN  CARES  LOPEZ</v>
      </c>
      <c r="D33" s="78" t="str">
        <f>IF(Ingreso!AU37="","",Ingreso!AU37)</f>
        <v/>
      </c>
      <c r="E33" s="78" t="e">
        <f>IF(B33="","",VLOOKUP(B33,#REF!,2,FALSE)/60)</f>
        <v>#REF!</v>
      </c>
    </row>
    <row r="34" spans="2:5">
      <c r="B34" s="45" t="str">
        <f>IF(Ingreso!K38="","",Ingreso!K38)</f>
        <v>09.832.710-K</v>
      </c>
      <c r="C34" s="45" t="str">
        <f>IF(Ingreso!L38="","",Ingreso!L38)</f>
        <v>OMAR FCO.  CARO  RODRIGUEZ</v>
      </c>
      <c r="D34" s="78" t="str">
        <f>IF(Ingreso!AU38="","",Ingreso!AU38)</f>
        <v/>
      </c>
      <c r="E34" s="78" t="e">
        <f>IF(B34="","",VLOOKUP(B34,#REF!,2,FALSE)/60)</f>
        <v>#REF!</v>
      </c>
    </row>
    <row r="35" spans="2:5">
      <c r="B35" s="45" t="str">
        <f>IF(Ingreso!K39="","",Ingreso!K39)</f>
        <v>11.660.411-6</v>
      </c>
      <c r="C35" s="45" t="str">
        <f>IF(Ingreso!L39="","",Ingreso!L39)</f>
        <v>SIXTO PATRICIO  CORTES  HERRERA</v>
      </c>
      <c r="D35" s="78" t="str">
        <f>IF(Ingreso!AU39="","",Ingreso!AU39)</f>
        <v/>
      </c>
      <c r="E35" s="78" t="e">
        <f>IF(B35="","",VLOOKUP(B35,#REF!,2,FALSE)/60)</f>
        <v>#REF!</v>
      </c>
    </row>
    <row r="36" spans="2:5">
      <c r="B36" s="45" t="str">
        <f>IF(Ingreso!K40="","",Ingreso!K40)</f>
        <v>11.347.053-4</v>
      </c>
      <c r="C36" s="45" t="str">
        <f>IF(Ingreso!L40="","",Ingreso!L40)</f>
        <v>LUISA ISABEL  CRUZ  ROMERO</v>
      </c>
      <c r="D36" s="78" t="str">
        <f>IF(Ingreso!AU40="","",Ingreso!AU40)</f>
        <v/>
      </c>
      <c r="E36" s="78" t="e">
        <f>IF(B36="","",VLOOKUP(B36,#REF!,2,FALSE)/60)</f>
        <v>#REF!</v>
      </c>
    </row>
    <row r="37" spans="2:5">
      <c r="B37" s="45" t="str">
        <f>IF(Ingreso!K41="","",Ingreso!K41)</f>
        <v>07.815.607-4</v>
      </c>
      <c r="C37" s="45" t="str">
        <f>IF(Ingreso!L41="","",Ingreso!L41)</f>
        <v>PATRICIO HERNAN  CUEVAS  ORDENES</v>
      </c>
      <c r="D37" s="78" t="str">
        <f>IF(Ingreso!AU41="","",Ingreso!AU41)</f>
        <v/>
      </c>
      <c r="E37" s="78" t="e">
        <f>IF(B37="","",VLOOKUP(B37,#REF!,2,FALSE)/60)</f>
        <v>#REF!</v>
      </c>
    </row>
    <row r="38" spans="2:5">
      <c r="B38" s="45" t="str">
        <f>IF(Ingreso!K42="","",Ingreso!K42)</f>
        <v>14.181.387-0</v>
      </c>
      <c r="C38" s="45" t="str">
        <f>IF(Ingreso!L42="","",Ingreso!L42)</f>
        <v>JORGE ANDRES  DEL RIO  TRONCOSO</v>
      </c>
      <c r="D38" s="78" t="str">
        <f>IF(Ingreso!AU42="","",Ingreso!AU42)</f>
        <v/>
      </c>
      <c r="E38" s="78" t="e">
        <f>IF(B38="","",VLOOKUP(B38,#REF!,2,FALSE)/60)</f>
        <v>#REF!</v>
      </c>
    </row>
    <row r="39" spans="2:5">
      <c r="B39" s="45" t="str">
        <f>IF(Ingreso!K43="","",Ingreso!K43)</f>
        <v>07.944.613-0</v>
      </c>
      <c r="C39" s="45" t="str">
        <f>IF(Ingreso!L43="","",Ingreso!L43)</f>
        <v>MIGUEL ANGEL  DIAZ  CASTRO</v>
      </c>
      <c r="D39" s="78" t="str">
        <f>IF(Ingreso!AU43="","",Ingreso!AU43)</f>
        <v/>
      </c>
      <c r="E39" s="78" t="e">
        <f>IF(B39="","",VLOOKUP(B39,#REF!,2,FALSE)/60)</f>
        <v>#REF!</v>
      </c>
    </row>
    <row r="40" spans="2:5">
      <c r="B40" s="45" t="str">
        <f>IF(Ingreso!K44="","",Ingreso!K44)</f>
        <v>05.267.317-8</v>
      </c>
      <c r="C40" s="45" t="str">
        <f>IF(Ingreso!L44="","",Ingreso!L44)</f>
        <v>LUIS  DUARTE  BECERRA</v>
      </c>
      <c r="D40" s="78">
        <f>IF(Ingreso!AU44="","",Ingreso!AU44)</f>
        <v>9</v>
      </c>
      <c r="E40" s="78" t="e">
        <f>IF(B40="","",VLOOKUP(B40,#REF!,2,FALSE)/60)</f>
        <v>#REF!</v>
      </c>
    </row>
    <row r="41" spans="2:5">
      <c r="B41" s="45" t="str">
        <f>IF(Ingreso!K45="","",Ingreso!K45)</f>
        <v>11.267.594-9</v>
      </c>
      <c r="C41" s="45" t="str">
        <f>IF(Ingreso!L45="","",Ingreso!L45)</f>
        <v>JOAQUIN  ESPINOZA  MORENO</v>
      </c>
      <c r="D41" s="78">
        <f>IF(Ingreso!AU45="","",Ingreso!AU45)</f>
        <v>8</v>
      </c>
      <c r="E41" s="78" t="e">
        <f>IF(B41="","",VLOOKUP(B41,#REF!,2,FALSE)/60)</f>
        <v>#REF!</v>
      </c>
    </row>
    <row r="42" spans="2:5">
      <c r="B42" s="45" t="str">
        <f>IF(Ingreso!K46="","",Ingreso!K46)</f>
        <v>16.031.949-6</v>
      </c>
      <c r="C42" s="45" t="str">
        <f>IF(Ingreso!L46="","",Ingreso!L46)</f>
        <v>JONATHAN  ESPINOZA  MORENO</v>
      </c>
      <c r="D42" s="78" t="str">
        <f>IF(Ingreso!AU46="","",Ingreso!AU46)</f>
        <v/>
      </c>
      <c r="E42" s="78" t="e">
        <f>IF(B42="","",VLOOKUP(B42,#REF!,2,FALSE)/60)</f>
        <v>#REF!</v>
      </c>
    </row>
    <row r="43" spans="2:5">
      <c r="B43" s="45" t="str">
        <f>IF(Ingreso!K47="","",Ingreso!K47)</f>
        <v>05.080.993-5</v>
      </c>
      <c r="C43" s="45" t="str">
        <f>IF(Ingreso!L47="","",Ingreso!L47)</f>
        <v>CARLOS  FIGUEROA  NILO</v>
      </c>
      <c r="D43" s="78" t="str">
        <f>IF(Ingreso!AU47="","",Ingreso!AU47)</f>
        <v/>
      </c>
      <c r="E43" s="78" t="e">
        <f>IF(B43="","",VLOOKUP(B43,#REF!,2,FALSE)/60)</f>
        <v>#REF!</v>
      </c>
    </row>
    <row r="44" spans="2:5">
      <c r="B44" s="45" t="str">
        <f>IF(Ingreso!K48="","",Ingreso!K48)</f>
        <v>05.989.878-7</v>
      </c>
      <c r="C44" s="45" t="str">
        <f>IF(Ingreso!L48="","",Ingreso!L48)</f>
        <v>NELLY E.  FIGUEROA  PAVEZ</v>
      </c>
      <c r="D44" s="78" t="str">
        <f>IF(Ingreso!AU48="","",Ingreso!AU48)</f>
        <v/>
      </c>
      <c r="E44" s="78" t="e">
        <f>IF(B44="","",VLOOKUP(B44,#REF!,2,FALSE)/60)</f>
        <v>#REF!</v>
      </c>
    </row>
    <row r="45" spans="2:5">
      <c r="B45" s="45" t="str">
        <f>IF(Ingreso!K49="","",Ingreso!K49)</f>
        <v>16.380.050-0</v>
      </c>
      <c r="C45" s="45" t="str">
        <f>IF(Ingreso!L49="","",Ingreso!L49)</f>
        <v>MARCELO  FLORES  ARANDA</v>
      </c>
      <c r="D45" s="78" t="str">
        <f>IF(Ingreso!AU49="","",Ingreso!AU49)</f>
        <v/>
      </c>
      <c r="E45" s="78" t="e">
        <f>IF(B45="","",VLOOKUP(B45,#REF!,2,FALSE)/60)</f>
        <v>#REF!</v>
      </c>
    </row>
    <row r="46" spans="2:5">
      <c r="B46" s="45" t="str">
        <f>IF(Ingreso!K50="","",Ingreso!K50)</f>
        <v>09.571.017-4</v>
      </c>
      <c r="C46" s="45" t="str">
        <f>IF(Ingreso!L50="","",Ingreso!L50)</f>
        <v>MIGUEL FRANCISCO  GALLARDO  CASTRO</v>
      </c>
      <c r="D46" s="78" t="str">
        <f>IF(Ingreso!AU50="","",Ingreso!AU50)</f>
        <v/>
      </c>
      <c r="E46" s="78" t="e">
        <f>IF(B46="","",VLOOKUP(B46,#REF!,2,FALSE)/60)</f>
        <v>#REF!</v>
      </c>
    </row>
    <row r="47" spans="2:5">
      <c r="B47" s="45" t="str">
        <f>IF(Ingreso!K51="","",Ingreso!K51)</f>
        <v>17.065.312-2</v>
      </c>
      <c r="C47" s="45" t="str">
        <f>IF(Ingreso!L51="","",Ingreso!L51)</f>
        <v>ARIEL ALFREDO  GALVEZ  CERNA</v>
      </c>
      <c r="D47" s="78" t="str">
        <f>IF(Ingreso!AU51="","",Ingreso!AU51)</f>
        <v/>
      </c>
      <c r="E47" s="78" t="e">
        <f>IF(B47="","",VLOOKUP(B47,#REF!,2,FALSE)/60)</f>
        <v>#REF!</v>
      </c>
    </row>
    <row r="48" spans="2:5">
      <c r="B48" s="45" t="str">
        <f>IF(Ingreso!K52="","",Ingreso!K52)</f>
        <v>16.132.065-K</v>
      </c>
      <c r="C48" s="45" t="str">
        <f>IF(Ingreso!L52="","",Ingreso!L52)</f>
        <v>EMERSON  GALLARDO  LUCERO</v>
      </c>
      <c r="D48" s="78" t="str">
        <f>IF(Ingreso!AU52="","",Ingreso!AU52)</f>
        <v/>
      </c>
      <c r="E48" s="78" t="e">
        <f>IF(B48="","",VLOOKUP(B48,#REF!,2,FALSE)/60)</f>
        <v>#REF!</v>
      </c>
    </row>
    <row r="49" spans="2:5">
      <c r="B49" s="45" t="str">
        <f>IF(Ingreso!K53="","",Ingreso!K53)</f>
        <v>17.002.272-6</v>
      </c>
      <c r="C49" s="45" t="str">
        <f>IF(Ingreso!L53="","",Ingreso!L53)</f>
        <v>JUAN DIEGO ALEXIS  GARCES  MUÑOZ</v>
      </c>
      <c r="D49" s="78" t="str">
        <f>IF(Ingreso!AU53="","",Ingreso!AU53)</f>
        <v/>
      </c>
      <c r="E49" s="78" t="e">
        <f>IF(B49="","",VLOOKUP(B49,#REF!,2,FALSE)/60)</f>
        <v>#REF!</v>
      </c>
    </row>
    <row r="50" spans="2:5">
      <c r="B50" s="45" t="str">
        <f>IF(Ingreso!K54="","",Ingreso!K54)</f>
        <v>09.048.185-1</v>
      </c>
      <c r="C50" s="45" t="str">
        <f>IF(Ingreso!L54="","",Ingreso!L54)</f>
        <v>PABLO HORACIO  GARCIA  DIAZ</v>
      </c>
      <c r="D50" s="78" t="str">
        <f>IF(Ingreso!AU54="","",Ingreso!AU54)</f>
        <v/>
      </c>
      <c r="E50" s="78" t="e">
        <f>IF(B50="","",VLOOKUP(B50,#REF!,2,FALSE)/60)</f>
        <v>#REF!</v>
      </c>
    </row>
    <row r="51" spans="2:5">
      <c r="B51" s="45" t="str">
        <f>IF(Ingreso!K55="","",Ingreso!K55)</f>
        <v>09.068.490-6</v>
      </c>
      <c r="C51" s="45" t="str">
        <f>IF(Ingreso!L55="","",Ingreso!L55)</f>
        <v>DARIO RODOLFO  GONZALEZ  DEL VALLE</v>
      </c>
      <c r="D51" s="78" t="str">
        <f>IF(Ingreso!AU55="","",Ingreso!AU55)</f>
        <v/>
      </c>
      <c r="E51" s="78" t="e">
        <f>IF(B51="","",VLOOKUP(B51,#REF!,2,FALSE)/60)</f>
        <v>#REF!</v>
      </c>
    </row>
    <row r="52" spans="2:5">
      <c r="B52" s="45" t="str">
        <f>IF(Ingreso!K56="","",Ingreso!K56)</f>
        <v>09.748.915-7</v>
      </c>
      <c r="C52" s="45" t="str">
        <f>IF(Ingreso!L56="","",Ingreso!L56)</f>
        <v>VICTOR MANUEL  HENRIQUEZ  FLORES</v>
      </c>
      <c r="D52" s="78" t="str">
        <f>IF(Ingreso!AU56="","",Ingreso!AU56)</f>
        <v/>
      </c>
      <c r="E52" s="78" t="e">
        <f>IF(B52="","",VLOOKUP(B52,#REF!,2,FALSE)/60)</f>
        <v>#REF!</v>
      </c>
    </row>
    <row r="53" spans="2:5">
      <c r="B53" s="45" t="str">
        <f>IF(Ingreso!K57="","",Ingreso!K57)</f>
        <v>09.989.723-6</v>
      </c>
      <c r="C53" s="45" t="str">
        <f>IF(Ingreso!L57="","",Ingreso!L57)</f>
        <v>FRANKLIN LEONEL  HERNANDEZ  CESPEDES</v>
      </c>
      <c r="D53" s="78" t="str">
        <f>IF(Ingreso!AU57="","",Ingreso!AU57)</f>
        <v/>
      </c>
      <c r="E53" s="78" t="e">
        <f>IF(B53="","",VLOOKUP(B53,#REF!,2,FALSE)/60)</f>
        <v>#REF!</v>
      </c>
    </row>
    <row r="54" spans="2:5">
      <c r="B54" s="45" t="str">
        <f>IF(Ingreso!K58="","",Ingreso!K58)</f>
        <v>10.199.755-3</v>
      </c>
      <c r="C54" s="45" t="str">
        <f>IF(Ingreso!L58="","",Ingreso!L58)</f>
        <v>QUINTIN ROBERTO  HERNANDEZ  GONZALEZ</v>
      </c>
      <c r="D54" s="78" t="str">
        <f>IF(Ingreso!AU58="","",Ingreso!AU58)</f>
        <v/>
      </c>
      <c r="E54" s="78" t="e">
        <f>IF(B54="","",VLOOKUP(B54,#REF!,2,FALSE)/60)</f>
        <v>#REF!</v>
      </c>
    </row>
    <row r="55" spans="2:5">
      <c r="B55" s="45" t="str">
        <f>IF(Ingreso!K59="","",Ingreso!K59)</f>
        <v>11.656.057-7</v>
      </c>
      <c r="C55" s="45" t="str">
        <f>IF(Ingreso!L59="","",Ingreso!L59)</f>
        <v>PAOLO CESAR  IBAÑEZ  GRANIFO</v>
      </c>
      <c r="D55" s="78" t="str">
        <f>IF(Ingreso!AU59="","",Ingreso!AU59)</f>
        <v/>
      </c>
      <c r="E55" s="78" t="e">
        <f>IF(B55="","",VLOOKUP(B55,#REF!,2,FALSE)/60)</f>
        <v>#REF!</v>
      </c>
    </row>
    <row r="56" spans="2:5">
      <c r="B56" s="45" t="str">
        <f>IF(Ingreso!K60="","",Ingreso!K60)</f>
        <v>10.970.380-K</v>
      </c>
      <c r="C56" s="45" t="str">
        <f>IF(Ingreso!L60="","",Ingreso!L60)</f>
        <v>JUAN ENRIQUE  LEIVA  MUÑOZ</v>
      </c>
      <c r="D56" s="78" t="str">
        <f>IF(Ingreso!AU60="","",Ingreso!AU60)</f>
        <v/>
      </c>
      <c r="E56" s="78" t="e">
        <f>IF(B56="","",VLOOKUP(B56,#REF!,2,FALSE)/60)</f>
        <v>#REF!</v>
      </c>
    </row>
    <row r="57" spans="2:5">
      <c r="B57" s="45" t="str">
        <f>IF(Ingreso!K61="","",Ingreso!K61)</f>
        <v>11.873.201-4</v>
      </c>
      <c r="C57" s="45" t="str">
        <f>IF(Ingreso!L61="","",Ingreso!L61)</f>
        <v>CARLOS  LEMUS  VELIZ</v>
      </c>
      <c r="D57" s="78" t="str">
        <f>IF(Ingreso!AU61="","",Ingreso!AU61)</f>
        <v/>
      </c>
      <c r="E57" s="78" t="e">
        <f>IF(B57="","",VLOOKUP(B57,#REF!,2,FALSE)/60)</f>
        <v>#REF!</v>
      </c>
    </row>
    <row r="58" spans="2:5">
      <c r="B58" s="45" t="str">
        <f>IF(Ingreso!K62="","",Ingreso!K62)</f>
        <v>10.869.222-7</v>
      </c>
      <c r="C58" s="45" t="str">
        <f>IF(Ingreso!L62="","",Ingreso!L62)</f>
        <v>MARCO ANTONIO  MADRID  PINTO</v>
      </c>
      <c r="D58" s="78" t="str">
        <f>IF(Ingreso!AU62="","",Ingreso!AU62)</f>
        <v/>
      </c>
      <c r="E58" s="78" t="e">
        <f>IF(B58="","",VLOOKUP(B58,#REF!,2,FALSE)/60)</f>
        <v>#REF!</v>
      </c>
    </row>
    <row r="59" spans="2:5">
      <c r="B59" s="45" t="str">
        <f>IF(Ingreso!K63="","",Ingreso!K63)</f>
        <v>13.486.907-0</v>
      </c>
      <c r="C59" s="45" t="str">
        <f>IF(Ingreso!L63="","",Ingreso!L63)</f>
        <v>MIGUEL  MALDONADO  DIAZ</v>
      </c>
      <c r="D59" s="78" t="str">
        <f>IF(Ingreso!AU63="","",Ingreso!AU63)</f>
        <v/>
      </c>
      <c r="E59" s="78" t="e">
        <f>IF(B59="","",VLOOKUP(B59,#REF!,2,FALSE)/60)</f>
        <v>#REF!</v>
      </c>
    </row>
    <row r="60" spans="2:5">
      <c r="B60" s="45" t="str">
        <f>IF(Ingreso!K64="","",Ingreso!K64)</f>
        <v>11.306.351-3</v>
      </c>
      <c r="C60" s="45" t="str">
        <f>IF(Ingreso!L64="","",Ingreso!L64)</f>
        <v>RUBEN MARCO  MANQUIAN  NORIEGA</v>
      </c>
      <c r="D60" s="78" t="str">
        <f>IF(Ingreso!AU64="","",Ingreso!AU64)</f>
        <v/>
      </c>
      <c r="E60" s="78" t="e">
        <f>IF(B60="","",VLOOKUP(B60,#REF!,2,FALSE)/60)</f>
        <v>#REF!</v>
      </c>
    </row>
    <row r="61" spans="2:5">
      <c r="B61" s="45" t="str">
        <f>IF(Ingreso!K65="","",Ingreso!K65)</f>
        <v>11.370.436-5</v>
      </c>
      <c r="C61" s="45" t="str">
        <f>IF(Ingreso!L65="","",Ingreso!L65)</f>
        <v>LUIS HUMBERTO  MARDONES  ALVARADO</v>
      </c>
      <c r="D61" s="78" t="str">
        <f>IF(Ingreso!AU65="","",Ingreso!AU65)</f>
        <v/>
      </c>
      <c r="E61" s="78" t="e">
        <f>IF(B61="","",VLOOKUP(B61,#REF!,2,FALSE)/60)</f>
        <v>#REF!</v>
      </c>
    </row>
    <row r="62" spans="2:5">
      <c r="B62" s="45" t="str">
        <f>IF(Ingreso!K66="","",Ingreso!K66)</f>
        <v>09.081.025-1</v>
      </c>
      <c r="C62" s="45" t="str">
        <f>IF(Ingreso!L66="","",Ingreso!L66)</f>
        <v>SERGIO SEGUNDO  MARDONES  ALVARADO</v>
      </c>
      <c r="D62" s="78" t="str">
        <f>IF(Ingreso!AU66="","",Ingreso!AU66)</f>
        <v/>
      </c>
      <c r="E62" s="78" t="e">
        <f>IF(B62="","",VLOOKUP(B62,#REF!,2,FALSE)/60)</f>
        <v>#REF!</v>
      </c>
    </row>
    <row r="63" spans="2:5">
      <c r="B63" s="45" t="str">
        <f>IF(Ingreso!K67="","",Ingreso!K67)</f>
        <v>13.835.848-8</v>
      </c>
      <c r="C63" s="45" t="str">
        <f>IF(Ingreso!L67="","",Ingreso!L67)</f>
        <v>MARION RAQUEL  MARIN  MOSCOSO</v>
      </c>
      <c r="D63" s="78" t="str">
        <f>IF(Ingreso!AU67="","",Ingreso!AU67)</f>
        <v/>
      </c>
      <c r="E63" s="78" t="e">
        <f>IF(B63="","",VLOOKUP(B63,#REF!,2,FALSE)/60)</f>
        <v>#REF!</v>
      </c>
    </row>
    <row r="64" spans="2:5">
      <c r="B64" s="45" t="str">
        <f>IF(Ingreso!K68="","",Ingreso!K68)</f>
        <v>17.546.614-2</v>
      </c>
      <c r="C64" s="45" t="str">
        <f>IF(Ingreso!L68="","",Ingreso!L68)</f>
        <v>ISAAC MARTINEZ</v>
      </c>
      <c r="D64" s="78" t="str">
        <f>IF(Ingreso!AU68="","",Ingreso!AU68)</f>
        <v/>
      </c>
      <c r="E64" s="78" t="e">
        <f>IF(B64="","",VLOOKUP(B64,#REF!,2,FALSE)/60)</f>
        <v>#REF!</v>
      </c>
    </row>
    <row r="65" spans="2:5">
      <c r="B65" s="45" t="str">
        <f>IF(Ingreso!K69="","",Ingreso!K69)</f>
        <v>11.267.622-8</v>
      </c>
      <c r="C65" s="45" t="str">
        <f>IF(Ingreso!L69="","",Ingreso!L69)</f>
        <v>JOSE MATURANA RIOS</v>
      </c>
      <c r="D65" s="78" t="str">
        <f>IF(Ingreso!AU69="","",Ingreso!AU69)</f>
        <v/>
      </c>
      <c r="E65" s="78" t="e">
        <f>IF(B65="","",VLOOKUP(B65,#REF!,2,FALSE)/60)</f>
        <v>#REF!</v>
      </c>
    </row>
    <row r="66" spans="2:5">
      <c r="B66" s="45" t="str">
        <f>IF(Ingreso!K70="","",Ingreso!K70)</f>
        <v>10.157.067-3</v>
      </c>
      <c r="C66" s="45" t="str">
        <f>IF(Ingreso!L70="","",Ingreso!L70)</f>
        <v>MIGUEL ALBERTO  MELLA  FRIAS</v>
      </c>
      <c r="D66" s="78" t="str">
        <f>IF(Ingreso!AU70="","",Ingreso!AU70)</f>
        <v/>
      </c>
      <c r="E66" s="78" t="e">
        <f>IF(B66="","",VLOOKUP(B66,#REF!,2,FALSE)/60)</f>
        <v>#REF!</v>
      </c>
    </row>
    <row r="67" spans="2:5">
      <c r="B67" s="45" t="str">
        <f>IF(Ingreso!K71="","",Ingreso!K71)</f>
        <v>13.834.251-4</v>
      </c>
      <c r="C67" s="45" t="str">
        <f>IF(Ingreso!L71="","",Ingreso!L71)</f>
        <v>MARIA ELIANA  MILLAN  HERRERA</v>
      </c>
      <c r="D67" s="78">
        <f>IF(Ingreso!AU71="","",Ingreso!AU71)</f>
        <v>10</v>
      </c>
      <c r="E67" s="78" t="e">
        <f>IF(B67="","",VLOOKUP(B67,#REF!,2,FALSE)/60)</f>
        <v>#REF!</v>
      </c>
    </row>
    <row r="68" spans="2:5">
      <c r="B68" s="45" t="str">
        <f>IF(Ingreso!K72="","",Ingreso!K72)</f>
        <v>10.407.614-9</v>
      </c>
      <c r="C68" s="45" t="str">
        <f>IF(Ingreso!L72="","",Ingreso!L72)</f>
        <v>CARLOS ALEJANDRO  MORA  MORA</v>
      </c>
      <c r="D68" s="78" t="str">
        <f>IF(Ingreso!AU72="","",Ingreso!AU72)</f>
        <v/>
      </c>
      <c r="E68" s="78" t="e">
        <f>IF(B68="","",VLOOKUP(B68,#REF!,2,FALSE)/60)</f>
        <v>#REF!</v>
      </c>
    </row>
    <row r="69" spans="2:5">
      <c r="B69" s="45" t="str">
        <f>IF(Ingreso!K73="","",Ingreso!K73)</f>
        <v>11.659.510-9</v>
      </c>
      <c r="C69" s="45" t="str">
        <f>IF(Ingreso!L73="","",Ingreso!L73)</f>
        <v>CLAUDIO ARTURO  MUÑOZ  MUÑOZ</v>
      </c>
      <c r="D69" s="78">
        <f>IF(Ingreso!AU73="","",Ingreso!AU73)</f>
        <v>1</v>
      </c>
      <c r="E69" s="78" t="e">
        <f>IF(B69="","",VLOOKUP(B69,#REF!,2,FALSE)/60)</f>
        <v>#REF!</v>
      </c>
    </row>
    <row r="70" spans="2:5">
      <c r="B70" s="45" t="str">
        <f>IF(Ingreso!K74="","",Ingreso!K74)</f>
        <v>11.124.307-7</v>
      </c>
      <c r="C70" s="45" t="str">
        <f>IF(Ingreso!L74="","",Ingreso!L74)</f>
        <v>JOSE ENRIQUE  MUÑOZ  QUENPUL</v>
      </c>
      <c r="D70" s="78" t="str">
        <f>IF(Ingreso!AU74="","",Ingreso!AU74)</f>
        <v/>
      </c>
      <c r="E70" s="78" t="e">
        <f>IF(B70="","",VLOOKUP(B70,#REF!,2,FALSE)/60)</f>
        <v>#REF!</v>
      </c>
    </row>
    <row r="71" spans="2:5">
      <c r="B71" s="45" t="str">
        <f>IF(Ingreso!K75="","",Ingreso!K75)</f>
        <v>11.754.811-2</v>
      </c>
      <c r="C71" s="45" t="str">
        <f>IF(Ingreso!L75="","",Ingreso!L75)</f>
        <v>ALEXIS ANTONIO  NARVAI  DIAZ</v>
      </c>
      <c r="D71" s="78" t="str">
        <f>IF(Ingreso!AU75="","",Ingreso!AU75)</f>
        <v/>
      </c>
      <c r="E71" s="78" t="e">
        <f>IF(B71="","",VLOOKUP(B71,#REF!,2,FALSE)/60)</f>
        <v>#REF!</v>
      </c>
    </row>
    <row r="72" spans="2:5">
      <c r="B72" s="45" t="str">
        <f>IF(Ingreso!K76="","",Ingreso!K76)</f>
        <v>12.828.475-3</v>
      </c>
      <c r="C72" s="45" t="str">
        <f>IF(Ingreso!L76="","",Ingreso!L76)</f>
        <v>ELSON GONZALO  NARVAI  DIAZ</v>
      </c>
      <c r="D72" s="78">
        <f>IF(Ingreso!AU76="","",Ingreso!AU76)</f>
        <v>5</v>
      </c>
      <c r="E72" s="78" t="e">
        <f>IF(B72="","",VLOOKUP(B72,#REF!,2,FALSE)/60)</f>
        <v>#REF!</v>
      </c>
    </row>
    <row r="73" spans="2:5">
      <c r="B73" s="45" t="str">
        <f>IF(Ingreso!K77="","",Ingreso!K77)</f>
        <v>11.523.497-8</v>
      </c>
      <c r="C73" s="45" t="str">
        <f>IF(Ingreso!L77="","",Ingreso!L77)</f>
        <v>LUIS  NARVAI  DIAZ</v>
      </c>
      <c r="D73" s="78">
        <f>IF(Ingreso!AU77="","",Ingreso!AU77)</f>
        <v>8</v>
      </c>
      <c r="E73" s="78" t="e">
        <f>IF(B73="","",VLOOKUP(B73,#REF!,2,FALSE)/60)</f>
        <v>#REF!</v>
      </c>
    </row>
    <row r="74" spans="2:5">
      <c r="B74" s="45" t="str">
        <f>IF(Ingreso!K78="","",Ingreso!K78)</f>
        <v>07.481.602-9</v>
      </c>
      <c r="C74" s="45" t="str">
        <f>IF(Ingreso!L78="","",Ingreso!L78)</f>
        <v>JORGE PATRICIO  NARVAI  RIVERA</v>
      </c>
      <c r="D74" s="78" t="str">
        <f>IF(Ingreso!AU78="","",Ingreso!AU78)</f>
        <v/>
      </c>
      <c r="E74" s="78" t="e">
        <f>IF(B74="","",VLOOKUP(B74,#REF!,2,FALSE)/60)</f>
        <v>#REF!</v>
      </c>
    </row>
    <row r="75" spans="2:5">
      <c r="B75" s="45" t="str">
        <f>IF(Ingreso!K79="","",Ingreso!K79)</f>
        <v>14005685-7</v>
      </c>
      <c r="C75" s="45" t="str">
        <f>IF(Ingreso!L79="","",Ingreso!L79)</f>
        <v>NICOLAS NARVAI ZUBICUETA</v>
      </c>
      <c r="D75" s="78" t="str">
        <f>IF(Ingreso!AU79="","",Ingreso!AU79)</f>
        <v/>
      </c>
      <c r="E75" s="78" t="e">
        <f>IF(B75="","",VLOOKUP(B75,#REF!,2,FALSE)/60)</f>
        <v>#REF!</v>
      </c>
    </row>
    <row r="76" spans="2:5">
      <c r="B76" s="45" t="str">
        <f>IF(Ingreso!K80="","",Ingreso!K80)</f>
        <v>12.051.254-4</v>
      </c>
      <c r="C76" s="45" t="str">
        <f>IF(Ingreso!L80="","",Ingreso!L80)</f>
        <v>MAURICIO  NOVA  FIGUEROA</v>
      </c>
      <c r="D76" s="78">
        <f>IF(Ingreso!AU80="","",Ingreso!AU80)</f>
        <v>11.5</v>
      </c>
      <c r="E76" s="78" t="e">
        <f>IF(B76="","",VLOOKUP(B76,#REF!,2,FALSE)/60)</f>
        <v>#REF!</v>
      </c>
    </row>
    <row r="77" spans="2:5">
      <c r="B77" s="45" t="str">
        <f>IF(Ingreso!K81="","",Ingreso!K81)</f>
        <v>13.681.026-K</v>
      </c>
      <c r="C77" s="45" t="str">
        <f>IF(Ingreso!L81="","",Ingreso!L81)</f>
        <v>JULIO HERNAN  OYANEDEL  COFRE</v>
      </c>
      <c r="D77" s="78" t="str">
        <f>IF(Ingreso!AU81="","",Ingreso!AU81)</f>
        <v/>
      </c>
      <c r="E77" s="78" t="e">
        <f>IF(B77="","",VLOOKUP(B77,#REF!,2,FALSE)/60)</f>
        <v>#REF!</v>
      </c>
    </row>
    <row r="78" spans="2:5">
      <c r="B78" s="45" t="str">
        <f>IF(Ingreso!K82="","",Ingreso!K82)</f>
        <v>14.017.495-5</v>
      </c>
      <c r="C78" s="45" t="str">
        <f>IF(Ingreso!L82="","",Ingreso!L82)</f>
        <v>CARLOS EUGENIO  OYARCE  DIAZ</v>
      </c>
      <c r="D78" s="78">
        <f>IF(Ingreso!AU82="","",Ingreso!AU82)</f>
        <v>4.5</v>
      </c>
      <c r="E78" s="78" t="e">
        <f>IF(B78="","",VLOOKUP(B78,#REF!,2,FALSE)/60)</f>
        <v>#REF!</v>
      </c>
    </row>
    <row r="79" spans="2:5">
      <c r="B79" s="45" t="str">
        <f>IF(Ingreso!K83="","",Ingreso!K83)</f>
        <v>16.266.817-K</v>
      </c>
      <c r="C79" s="45" t="str">
        <f>IF(Ingreso!L83="","",Ingreso!L83)</f>
        <v>RODRIGO ALEJANDRO  PEREZ  PADILLA</v>
      </c>
      <c r="D79" s="78">
        <f>IF(Ingreso!AU83="","",Ingreso!AU83)</f>
        <v>8</v>
      </c>
      <c r="E79" s="78" t="e">
        <f>IF(B79="","",VLOOKUP(B79,#REF!,2,FALSE)/60)</f>
        <v>#REF!</v>
      </c>
    </row>
    <row r="80" spans="2:5">
      <c r="B80" s="45" t="str">
        <f>IF(Ingreso!K84="","",Ingreso!K84)</f>
        <v>23.040.236-1</v>
      </c>
      <c r="C80" s="45" t="str">
        <f>IF(Ingreso!L84="","",Ingreso!L84)</f>
        <v>SEBASTIAN PEREZ</v>
      </c>
      <c r="D80" s="78" t="str">
        <f>IF(Ingreso!AU84="","",Ingreso!AU84)</f>
        <v/>
      </c>
      <c r="E80" s="78" t="e">
        <f>IF(B80="","",VLOOKUP(B80,#REF!,2,FALSE)/60)</f>
        <v>#REF!</v>
      </c>
    </row>
    <row r="81" spans="2:5">
      <c r="B81" s="45" t="str">
        <f>IF(Ingreso!K85="","",Ingreso!K85)</f>
        <v>12.020.450-5</v>
      </c>
      <c r="C81" s="45" t="str">
        <f>IF(Ingreso!L85="","",Ingreso!L85)</f>
        <v>ROBERTO  PINEDA  PEREZ</v>
      </c>
      <c r="D81" s="78">
        <f>IF(Ingreso!AU85="","",Ingreso!AU85)</f>
        <v>2</v>
      </c>
      <c r="E81" s="78" t="e">
        <f>IF(B81="","",VLOOKUP(B81,#REF!,2,FALSE)/60)</f>
        <v>#REF!</v>
      </c>
    </row>
    <row r="82" spans="2:5">
      <c r="B82" s="45" t="str">
        <f>IF(Ingreso!K86="","",Ingreso!K86)</f>
        <v>15.444.951-5</v>
      </c>
      <c r="C82" s="45" t="str">
        <f>IF(Ingreso!L86="","",Ingreso!L86)</f>
        <v>MIGUEL ANTONIO  PLAZA  ARAYA</v>
      </c>
      <c r="D82" s="78" t="str">
        <f>IF(Ingreso!AU86="","",Ingreso!AU86)</f>
        <v/>
      </c>
      <c r="E82" s="78" t="e">
        <f>IF(B82="","",VLOOKUP(B82,#REF!,2,FALSE)/60)</f>
        <v>#REF!</v>
      </c>
    </row>
    <row r="83" spans="2:5">
      <c r="B83" s="45" t="str">
        <f>IF(Ingreso!K87="","",Ingreso!K87)</f>
        <v>07.721.223-K</v>
      </c>
      <c r="C83" s="45" t="str">
        <f>IF(Ingreso!L87="","",Ingreso!L87)</f>
        <v>JOSE MANUEL  QUIROZ  VENEGAS</v>
      </c>
      <c r="D83" s="78" t="str">
        <f>IF(Ingreso!AU87="","",Ingreso!AU87)</f>
        <v/>
      </c>
      <c r="E83" s="78" t="e">
        <f>IF(B83="","",VLOOKUP(B83,#REF!,2,FALSE)/60)</f>
        <v>#REF!</v>
      </c>
    </row>
    <row r="84" spans="2:5">
      <c r="B84" s="45" t="str">
        <f>IF(Ingreso!K88="","",Ingreso!K88)</f>
        <v>07.913.597-6</v>
      </c>
      <c r="C84" s="45" t="str">
        <f>IF(Ingreso!L88="","",Ingreso!L88)</f>
        <v>JOSE  RAMIREZ  ROJAS</v>
      </c>
      <c r="D84" s="78">
        <f>IF(Ingreso!AU88="","",Ingreso!AU88)</f>
        <v>4</v>
      </c>
      <c r="E84" s="78" t="e">
        <f>IF(B84="","",VLOOKUP(B84,#REF!,2,FALSE)/60)</f>
        <v>#REF!</v>
      </c>
    </row>
    <row r="85" spans="2:5">
      <c r="B85" s="45" t="str">
        <f>IF(Ingreso!K89="","",Ingreso!K89)</f>
        <v>10.168.958-1</v>
      </c>
      <c r="C85" s="45" t="str">
        <f>IF(Ingreso!L89="","",Ingreso!L89)</f>
        <v>RAUL  RAMIREZ  VASQUEZ</v>
      </c>
      <c r="D85" s="78" t="str">
        <f>IF(Ingreso!AU89="","",Ingreso!AU89)</f>
        <v/>
      </c>
      <c r="E85" s="78" t="e">
        <f>IF(B85="","",VLOOKUP(B85,#REF!,2,FALSE)/60)</f>
        <v>#REF!</v>
      </c>
    </row>
    <row r="86" spans="2:5">
      <c r="B86" s="45" t="str">
        <f>IF(Ingreso!K90="","",Ingreso!K90)</f>
        <v>09.741.880-2</v>
      </c>
      <c r="C86" s="45" t="str">
        <f>IF(Ingreso!L90="","",Ingreso!L90)</f>
        <v>LAURA CECILIA  REINOSO  SALAS</v>
      </c>
      <c r="D86" s="78" t="str">
        <f>IF(Ingreso!AU90="","",Ingreso!AU90)</f>
        <v/>
      </c>
      <c r="E86" s="78" t="e">
        <f>IF(B86="","",VLOOKUP(B86,#REF!,2,FALSE)/60)</f>
        <v>#REF!</v>
      </c>
    </row>
    <row r="87" spans="2:5">
      <c r="B87" s="45" t="str">
        <f>IF(Ingreso!K91="","",Ingreso!K91)</f>
        <v>16.697.450-K</v>
      </c>
      <c r="C87" s="45" t="str">
        <f>IF(Ingreso!L91="","",Ingreso!L91)</f>
        <v>NATALIA BELEN  REYES  ESPINOZA</v>
      </c>
      <c r="D87" s="78" t="str">
        <f>IF(Ingreso!AU91="","",Ingreso!AU91)</f>
        <v/>
      </c>
      <c r="E87" s="78" t="e">
        <f>IF(B87="","",VLOOKUP(B87,#REF!,2,FALSE)/60)</f>
        <v>#REF!</v>
      </c>
    </row>
    <row r="88" spans="2:5">
      <c r="B88" s="45" t="str">
        <f>IF(Ingreso!K92="","",Ingreso!K92)</f>
        <v>14.185.109-8</v>
      </c>
      <c r="C88" s="45" t="str">
        <f>IF(Ingreso!L92="","",Ingreso!L92)</f>
        <v>GUILLERMO ANTONIO  REYES  FUENZALIDA</v>
      </c>
      <c r="D88" s="78" t="str">
        <f>IF(Ingreso!AU92="","",Ingreso!AU92)</f>
        <v/>
      </c>
      <c r="E88" s="78" t="e">
        <f>IF(B88="","",VLOOKUP(B88,#REF!,2,FALSE)/60)</f>
        <v>#REF!</v>
      </c>
    </row>
    <row r="89" spans="2:5">
      <c r="B89" s="45" t="str">
        <f>IF(Ingreso!K93="","",Ingreso!K93)</f>
        <v>10.309.203-5</v>
      </c>
      <c r="C89" s="45" t="str">
        <f>IF(Ingreso!L93="","",Ingreso!L93)</f>
        <v>ANGELA ADELA  REYES  LARA</v>
      </c>
      <c r="D89" s="78" t="str">
        <f>IF(Ingreso!AU93="","",Ingreso!AU93)</f>
        <v/>
      </c>
      <c r="E89" s="78" t="e">
        <f>IF(B89="","",VLOOKUP(B89,#REF!,2,FALSE)/60)</f>
        <v>#REF!</v>
      </c>
    </row>
    <row r="90" spans="2:5">
      <c r="B90" s="45" t="str">
        <f>IF(Ingreso!K94="","",Ingreso!K94)</f>
        <v>15.444.698-2</v>
      </c>
      <c r="C90" s="45" t="str">
        <f>IF(Ingreso!L94="","",Ingreso!L94)</f>
        <v>MAURICIO ALEJANDRO  RETAMAL  ACUÑA</v>
      </c>
      <c r="D90" s="78" t="str">
        <f>IF(Ingreso!AU94="","",Ingreso!AU94)</f>
        <v/>
      </c>
      <c r="E90" s="78" t="e">
        <f>IF(B90="","",VLOOKUP(B90,#REF!,2,FALSE)/60)</f>
        <v>#REF!</v>
      </c>
    </row>
    <row r="91" spans="2:5">
      <c r="B91" s="45" t="str">
        <f>IF(Ingreso!K95="","",Ingreso!K95)</f>
        <v>16.296.340-6</v>
      </c>
      <c r="C91" s="45" t="str">
        <f>IF(Ingreso!L95="","",Ingreso!L95)</f>
        <v>FRANCISCO JAVIER  RIQUELME  GONZALEZ</v>
      </c>
      <c r="D91" s="78" t="str">
        <f>IF(Ingreso!AU95="","",Ingreso!AU95)</f>
        <v/>
      </c>
      <c r="E91" s="78" t="e">
        <f>IF(B91="","",VLOOKUP(B91,#REF!,2,FALSE)/60)</f>
        <v>#REF!</v>
      </c>
    </row>
    <row r="92" spans="2:5">
      <c r="B92" s="45" t="str">
        <f>IF(Ingreso!K96="","",Ingreso!K96)</f>
        <v>12.688.280-7</v>
      </c>
      <c r="C92" s="45" t="str">
        <f>IF(Ingreso!L96="","",Ingreso!L96)</f>
        <v>VERONICA ANDREA  RIVERA  VARGAS</v>
      </c>
      <c r="D92" s="78" t="str">
        <f>IF(Ingreso!AU96="","",Ingreso!AU96)</f>
        <v/>
      </c>
      <c r="E92" s="78" t="e">
        <f>IF(B92="","",VLOOKUP(B92,#REF!,2,FALSE)/60)</f>
        <v>#REF!</v>
      </c>
    </row>
    <row r="93" spans="2:5">
      <c r="B93" s="45" t="str">
        <f>IF(Ingreso!K97="","",Ingreso!K97)</f>
        <v>09.485.526-8</v>
      </c>
      <c r="C93" s="45" t="str">
        <f>IF(Ingreso!L97="","",Ingreso!L97)</f>
        <v>LUIS ALBERTO  ROJAS  GONZALEZ</v>
      </c>
      <c r="D93" s="78" t="str">
        <f>IF(Ingreso!AU97="","",Ingreso!AU97)</f>
        <v/>
      </c>
      <c r="E93" s="78" t="e">
        <f>IF(B93="","",VLOOKUP(B93,#REF!,2,FALSE)/60)</f>
        <v>#REF!</v>
      </c>
    </row>
    <row r="94" spans="2:5">
      <c r="B94" s="45" t="str">
        <f>IF(Ingreso!K98="","",Ingreso!K98)</f>
        <v>17.245.009-1</v>
      </c>
      <c r="C94" s="45" t="str">
        <f>IF(Ingreso!L98="","",Ingreso!L98)</f>
        <v>RODRIGO ALEJANDRO  ROJAS  SALAMANCA</v>
      </c>
      <c r="D94" s="78" t="str">
        <f>IF(Ingreso!AU98="","",Ingreso!AU98)</f>
        <v/>
      </c>
      <c r="E94" s="78" t="e">
        <f>IF(B94="","",VLOOKUP(B94,#REF!,2,FALSE)/60)</f>
        <v>#REF!</v>
      </c>
    </row>
    <row r="95" spans="2:5">
      <c r="B95" s="45" t="str">
        <f>IF(Ingreso!K99="","",Ingreso!K99)</f>
        <v>11.657.838-7</v>
      </c>
      <c r="C95" s="45" t="str">
        <f>IF(Ingreso!L99="","",Ingreso!L99)</f>
        <v>JUAN RAMON  SALAMANCA  VIDAL</v>
      </c>
      <c r="D95" s="78" t="str">
        <f>IF(Ingreso!AU99="","",Ingreso!AU99)</f>
        <v/>
      </c>
      <c r="E95" s="78" t="e">
        <f>IF(B95="","",VLOOKUP(B95,#REF!,2,FALSE)/60)</f>
        <v>#REF!</v>
      </c>
    </row>
    <row r="96" spans="2:5">
      <c r="B96" s="45" t="str">
        <f>IF(Ingreso!K100="","",Ingreso!K100)</f>
        <v>12.647.009-6</v>
      </c>
      <c r="C96" s="45" t="str">
        <f>IF(Ingreso!L100="","",Ingreso!L100)</f>
        <v>PAULO  SALAZAR  FREYHOFER</v>
      </c>
      <c r="D96" s="78" t="str">
        <f>IF(Ingreso!AU100="","",Ingreso!AU100)</f>
        <v/>
      </c>
      <c r="E96" s="78" t="e">
        <f>IF(B96="","",VLOOKUP(B96,#REF!,2,FALSE)/60)</f>
        <v>#REF!</v>
      </c>
    </row>
    <row r="97" spans="2:5">
      <c r="B97" s="45" t="str">
        <f>IF(Ingreso!K101="","",Ingreso!K101)</f>
        <v>07.009.784-2</v>
      </c>
      <c r="C97" s="45" t="str">
        <f>IF(Ingreso!L101="","",Ingreso!L101)</f>
        <v>HECTOR ENRIQUE  SALAZAR  VIDELA</v>
      </c>
      <c r="D97" s="78" t="str">
        <f>IF(Ingreso!AU101="","",Ingreso!AU101)</f>
        <v/>
      </c>
      <c r="E97" s="78" t="e">
        <f>IF(B97="","",VLOOKUP(B97,#REF!,2,FALSE)/60)</f>
        <v>#REF!</v>
      </c>
    </row>
    <row r="98" spans="2:5">
      <c r="B98" s="45" t="str">
        <f>IF(Ingreso!K102="","",Ingreso!K102)</f>
        <v>08.245.727-5</v>
      </c>
      <c r="C98" s="45" t="str">
        <f>IF(Ingreso!L102="","",Ingreso!L102)</f>
        <v>JUAN  SALINAS  CUEVAS</v>
      </c>
      <c r="D98" s="78" t="str">
        <f>IF(Ingreso!AU102="","",Ingreso!AU102)</f>
        <v/>
      </c>
      <c r="E98" s="78" t="e">
        <f>IF(B98="","",VLOOKUP(B98,#REF!,2,FALSE)/60)</f>
        <v>#REF!</v>
      </c>
    </row>
    <row r="99" spans="2:5">
      <c r="B99" s="45" t="str">
        <f>IF(Ingreso!K103="","",Ingreso!K103)</f>
        <v>10.835.391-0</v>
      </c>
      <c r="C99" s="45" t="str">
        <f>IF(Ingreso!L103="","",Ingreso!L103)</f>
        <v>DANIEL PATRICIO  SANCHEZ  VASQUEZ</v>
      </c>
      <c r="D99" s="78" t="str">
        <f>IF(Ingreso!AU103="","",Ingreso!AU103)</f>
        <v/>
      </c>
      <c r="E99" s="78" t="e">
        <f>IF(B99="","",VLOOKUP(B99,#REF!,2,FALSE)/60)</f>
        <v>#REF!</v>
      </c>
    </row>
    <row r="100" spans="2:5">
      <c r="B100" s="45" t="str">
        <f>IF(Ingreso!K104="","",Ingreso!K104)</f>
        <v>12.500.119-K</v>
      </c>
      <c r="C100" s="45" t="str">
        <f>IF(Ingreso!L104="","",Ingreso!L104)</f>
        <v>FREDDY  SANCHEZ  TORRES</v>
      </c>
      <c r="D100" s="78" t="str">
        <f>IF(Ingreso!AU104="","",Ingreso!AU104)</f>
        <v/>
      </c>
      <c r="E100" s="78" t="e">
        <f>IF(B100="","",VLOOKUP(B100,#REF!,2,FALSE)/60)</f>
        <v>#REF!</v>
      </c>
    </row>
    <row r="101" spans="2:5">
      <c r="B101" s="45" t="str">
        <f>IF(Ingreso!K105="","",Ingreso!K105)</f>
        <v>13.701.209-K</v>
      </c>
      <c r="C101" s="45" t="str">
        <f>IF(Ingreso!L105="","",Ingreso!L105)</f>
        <v>MARCELINO JHONATTAN  SANCHEZ  TORRES</v>
      </c>
      <c r="D101" s="78" t="str">
        <f>IF(Ingreso!AU105="","",Ingreso!AU105)</f>
        <v/>
      </c>
      <c r="E101" s="78" t="e">
        <f>IF(B101="","",VLOOKUP(B101,#REF!,2,FALSE)/60)</f>
        <v>#REF!</v>
      </c>
    </row>
    <row r="102" spans="2:5">
      <c r="B102" s="45" t="str">
        <f>IF(Ingreso!K106="","",Ingreso!K106)</f>
        <v>16.691.386-1</v>
      </c>
      <c r="C102" s="45" t="str">
        <f>IF(Ingreso!L106="","",Ingreso!L106)</f>
        <v>LORENZO ARTURO  SANDOVAL  ALTAMIRANO</v>
      </c>
      <c r="D102" s="78" t="str">
        <f>IF(Ingreso!AU106="","",Ingreso!AU106)</f>
        <v/>
      </c>
      <c r="E102" s="78" t="e">
        <f>IF(B102="","",VLOOKUP(B102,#REF!,2,FALSE)/60)</f>
        <v>#REF!</v>
      </c>
    </row>
    <row r="103" spans="2:5">
      <c r="B103" s="45" t="str">
        <f>IF(Ingreso!K107="","",Ingreso!K107)</f>
        <v>08.618.882-1</v>
      </c>
      <c r="C103" s="45" t="str">
        <f>IF(Ingreso!L107="","",Ingreso!L107)</f>
        <v>VICTOR H.  SANDOVAL  ACUÑA</v>
      </c>
      <c r="D103" s="78" t="str">
        <f>IF(Ingreso!AU107="","",Ingreso!AU107)</f>
        <v/>
      </c>
      <c r="E103" s="78" t="e">
        <f>IF(B103="","",VLOOKUP(B103,#REF!,2,FALSE)/60)</f>
        <v>#REF!</v>
      </c>
    </row>
    <row r="104" spans="2:5">
      <c r="B104" s="45" t="str">
        <f>IF(Ingreso!K108="","",Ingreso!K108)</f>
        <v>13.079.999-K</v>
      </c>
      <c r="C104" s="45" t="str">
        <f>IF(Ingreso!L108="","",Ingreso!L108)</f>
        <v>MAGALY ANDREA  SEPULVEDA  ARAVENA</v>
      </c>
      <c r="D104" s="78">
        <f>IF(Ingreso!AU108="","",Ingreso!AU108)</f>
        <v>7.5</v>
      </c>
      <c r="E104" s="78" t="e">
        <f>IF(B104="","",VLOOKUP(B104,#REF!,2,FALSE)/60)</f>
        <v>#REF!</v>
      </c>
    </row>
    <row r="105" spans="2:5">
      <c r="B105" s="45" t="str">
        <f>IF(Ingreso!K109="","",Ingreso!K109)</f>
        <v>06.467.952-K</v>
      </c>
      <c r="C105" s="45" t="str">
        <f>IF(Ingreso!L109="","",Ingreso!L109)</f>
        <v>ORLANDINO GUMERCINDO  TAPIA  OLIVARES</v>
      </c>
      <c r="D105" s="78" t="str">
        <f>IF(Ingreso!AU109="","",Ingreso!AU109)</f>
        <v/>
      </c>
      <c r="E105" s="78" t="e">
        <f>IF(B105="","",VLOOKUP(B105,#REF!,2,FALSE)/60)</f>
        <v>#REF!</v>
      </c>
    </row>
    <row r="106" spans="2:5">
      <c r="B106" s="45" t="str">
        <f>IF(Ingreso!K110="","",Ingreso!K110)</f>
        <v>10.572.816-6</v>
      </c>
      <c r="C106" s="45" t="str">
        <f>IF(Ingreso!L110="","",Ingreso!L110)</f>
        <v>MARCO ANTONIO  VARGAS  MORENO</v>
      </c>
      <c r="D106" s="78" t="str">
        <f>IF(Ingreso!AU110="","",Ingreso!AU110)</f>
        <v/>
      </c>
      <c r="E106" s="78" t="e">
        <f>IF(B106="","",VLOOKUP(B106,#REF!,2,FALSE)/60)</f>
        <v>#REF!</v>
      </c>
    </row>
    <row r="107" spans="2:5">
      <c r="B107" s="45" t="str">
        <f>IF(Ingreso!K111="","",Ingreso!K111)</f>
        <v/>
      </c>
      <c r="C107" s="45" t="str">
        <f>IF(Ingreso!L111="","",Ingreso!L111)</f>
        <v/>
      </c>
      <c r="D107" s="78" t="str">
        <f>IF(Ingreso!AU111="","",Ingreso!AU111)</f>
        <v/>
      </c>
      <c r="E107" s="78" t="str">
        <f>IF(B107="","",VLOOKUP(B107,#REF!,2,FALSE)/60)</f>
        <v/>
      </c>
    </row>
    <row r="108" spans="2:5">
      <c r="B108" s="45" t="str">
        <f>IF(Ingreso!K112="","",Ingreso!K112)</f>
        <v/>
      </c>
      <c r="C108" s="45" t="str">
        <f>IF(Ingreso!L112="","",Ingreso!L112)</f>
        <v/>
      </c>
      <c r="D108" s="78" t="str">
        <f>IF(Ingreso!AU112="","",Ingreso!AU112)</f>
        <v/>
      </c>
      <c r="E108" s="78" t="str">
        <f>IF(B108="","",VLOOKUP(B108,#REF!,2,FALSE)/60)</f>
        <v/>
      </c>
    </row>
    <row r="109" spans="2:5">
      <c r="B109" s="45" t="str">
        <f>IF(Ingreso!K113="","",Ingreso!K113)</f>
        <v/>
      </c>
      <c r="C109" s="45" t="str">
        <f>IF(Ingreso!L113="","",Ingreso!L113)</f>
        <v/>
      </c>
      <c r="D109" s="78" t="str">
        <f>IF(Ingreso!AU113="","",Ingreso!AU113)</f>
        <v/>
      </c>
      <c r="E109" s="78" t="str">
        <f>IF(B109="","",VLOOKUP(B109,#REF!,2,FALSE)/60)</f>
        <v/>
      </c>
    </row>
    <row r="110" spans="2:5">
      <c r="B110" s="45" t="str">
        <f>IF(Ingreso!K114="","",Ingreso!K114)</f>
        <v/>
      </c>
      <c r="C110" s="45" t="str">
        <f>IF(Ingreso!L114="","",Ingreso!L114)</f>
        <v/>
      </c>
      <c r="D110" s="78" t="str">
        <f>IF(Ingreso!AU114="","",Ingreso!AU114)</f>
        <v/>
      </c>
      <c r="E110" s="78" t="str">
        <f>IF(B110="","",VLOOKUP(B110,#REF!,2,FALSE)/60)</f>
        <v/>
      </c>
    </row>
    <row r="111" spans="2:5">
      <c r="B111" s="45" t="str">
        <f>IF(Ingreso!K115="","",Ingreso!K115)</f>
        <v/>
      </c>
      <c r="C111" s="45" t="str">
        <f>IF(Ingreso!L115="","",Ingreso!L115)</f>
        <v/>
      </c>
      <c r="D111" s="78" t="str">
        <f>IF(Ingreso!AU115="","",Ingreso!AU115)</f>
        <v/>
      </c>
      <c r="E111" s="78" t="str">
        <f>IF(B111="","",VLOOKUP(B111,#REF!,2,FALSE)/60)</f>
        <v/>
      </c>
    </row>
    <row r="112" spans="2:5">
      <c r="B112" s="45" t="str">
        <f>IF(Ingreso!K116="","",Ingreso!K116)</f>
        <v/>
      </c>
      <c r="C112" s="45" t="str">
        <f>IF(Ingreso!L116="","",Ingreso!L116)</f>
        <v/>
      </c>
      <c r="D112" s="78" t="str">
        <f>IF(Ingreso!AU116="","",Ingreso!AU116)</f>
        <v/>
      </c>
      <c r="E112" s="78" t="str">
        <f>IF(B112="","",VLOOKUP(B112,#REF!,2,FALSE)/60)</f>
        <v/>
      </c>
    </row>
    <row r="113" spans="2:5">
      <c r="B113" s="45" t="str">
        <f>IF(Ingreso!K117="","",Ingreso!K117)</f>
        <v/>
      </c>
      <c r="C113" s="45" t="str">
        <f>IF(Ingreso!L117="","",Ingreso!L117)</f>
        <v/>
      </c>
      <c r="D113" s="78" t="str">
        <f>IF(Ingreso!AU117="","",Ingreso!AU117)</f>
        <v/>
      </c>
      <c r="E113" s="78" t="str">
        <f>IF(B113="","",VLOOKUP(B113,#REF!,2,FALSE)/60)</f>
        <v/>
      </c>
    </row>
    <row r="114" spans="2:5">
      <c r="B114" s="45" t="str">
        <f>IF(Ingreso!K118="","",Ingreso!K118)</f>
        <v/>
      </c>
      <c r="C114" s="45" t="str">
        <f>IF(Ingreso!L118="","",Ingreso!L118)</f>
        <v/>
      </c>
      <c r="D114" s="78" t="str">
        <f>IF(Ingreso!AU118="","",Ingreso!AU118)</f>
        <v/>
      </c>
      <c r="E114" s="78" t="str">
        <f>IF(B114="","",VLOOKUP(B114,#REF!,2,FALSE)/60)</f>
        <v/>
      </c>
    </row>
    <row r="115" spans="2:5">
      <c r="B115" s="45" t="str">
        <f>IF(Ingreso!K119="","",Ingreso!K119)</f>
        <v/>
      </c>
      <c r="C115" s="45" t="str">
        <f>IF(Ingreso!L119="","",Ingreso!L119)</f>
        <v/>
      </c>
      <c r="D115" s="78" t="str">
        <f>IF(Ingreso!AU119="","",Ingreso!AU119)</f>
        <v/>
      </c>
      <c r="E115" s="78" t="str">
        <f>IF(B115="","",VLOOKUP(B115,#REF!,2,FALSE)/60)</f>
        <v/>
      </c>
    </row>
    <row r="116" spans="2:5">
      <c r="B116" s="45" t="str">
        <f>IF(Ingreso!K120="","",Ingreso!K120)</f>
        <v/>
      </c>
      <c r="C116" s="45" t="str">
        <f>IF(Ingreso!L120="","",Ingreso!L120)</f>
        <v/>
      </c>
      <c r="D116" s="78" t="str">
        <f>IF(Ingreso!AU120="","",Ingreso!AU120)</f>
        <v/>
      </c>
      <c r="E116" s="78" t="str">
        <f>IF(B116="","",VLOOKUP(B116,#REF!,2,FALSE)/60)</f>
        <v/>
      </c>
    </row>
    <row r="117" spans="2:5">
      <c r="B117" s="45" t="str">
        <f>IF(Ingreso!K121="","",Ingreso!K121)</f>
        <v/>
      </c>
      <c r="C117" s="45" t="str">
        <f>IF(Ingreso!L121="","",Ingreso!L121)</f>
        <v/>
      </c>
      <c r="D117" s="78" t="str">
        <f>IF(Ingreso!AU121="","",Ingreso!AU121)</f>
        <v/>
      </c>
      <c r="E117" s="78" t="str">
        <f>IF(B117="","",VLOOKUP(B117,#REF!,2,FALSE)/60)</f>
        <v/>
      </c>
    </row>
    <row r="118" spans="2:5">
      <c r="B118" s="45" t="str">
        <f>IF(Ingreso!K122="","",Ingreso!K122)</f>
        <v/>
      </c>
      <c r="C118" s="45" t="str">
        <f>IF(Ingreso!L122="","",Ingreso!L122)</f>
        <v/>
      </c>
      <c r="D118" s="78" t="str">
        <f>IF(Ingreso!AU122="","",Ingreso!AU122)</f>
        <v/>
      </c>
      <c r="E118" s="78" t="str">
        <f>IF(B118="","",VLOOKUP(B118,#REF!,2,FALSE)/60)</f>
        <v/>
      </c>
    </row>
    <row r="119" spans="2:5">
      <c r="B119" s="45" t="str">
        <f>IF(Ingreso!K123="","",Ingreso!K123)</f>
        <v/>
      </c>
      <c r="C119" s="45" t="str">
        <f>IF(Ingreso!L123="","",Ingreso!L123)</f>
        <v/>
      </c>
      <c r="D119" s="78" t="str">
        <f>IF(Ingreso!AU123="","",Ingreso!AU123)</f>
        <v/>
      </c>
      <c r="E119" s="78" t="str">
        <f>IF(B119="","",VLOOKUP(B119,#REF!,2,FALSE)/60)</f>
        <v/>
      </c>
    </row>
    <row r="120" spans="2:5">
      <c r="B120" s="45" t="str">
        <f>IF(Ingreso!K124="","",Ingreso!K124)</f>
        <v/>
      </c>
      <c r="C120" s="45" t="str">
        <f>IF(Ingreso!L124="","",Ingreso!L124)</f>
        <v/>
      </c>
      <c r="D120" s="78" t="str">
        <f>IF(Ingreso!AU124="","",Ingreso!AU124)</f>
        <v/>
      </c>
      <c r="E120" s="78" t="str">
        <f>IF(B120="","",VLOOKUP(B120,#REF!,2,FALSE)/60)</f>
        <v/>
      </c>
    </row>
    <row r="121" spans="2:5">
      <c r="B121" s="45" t="str">
        <f>IF(Ingreso!K125="","",Ingreso!K125)</f>
        <v/>
      </c>
      <c r="C121" s="45" t="str">
        <f>IF(Ingreso!L125="","",Ingreso!L125)</f>
        <v/>
      </c>
      <c r="D121" s="78" t="str">
        <f>IF(Ingreso!AU125="","",Ingreso!AU125)</f>
        <v/>
      </c>
      <c r="E121" s="78" t="str">
        <f>IF(B121="","",VLOOKUP(B121,#REF!,2,FALSE)/60)</f>
        <v/>
      </c>
    </row>
    <row r="122" spans="2:5">
      <c r="B122" s="45" t="str">
        <f>IF(Ingreso!K126="","",Ingreso!K126)</f>
        <v/>
      </c>
      <c r="C122" s="45" t="str">
        <f>IF(Ingreso!L126="","",Ingreso!L126)</f>
        <v/>
      </c>
      <c r="D122" s="78" t="str">
        <f>IF(Ingreso!AU126="","",Ingreso!AU126)</f>
        <v/>
      </c>
      <c r="E122" s="78" t="str">
        <f>IF(B122="","",VLOOKUP(B122,#REF!,2,FALSE)/60)</f>
        <v/>
      </c>
    </row>
    <row r="123" spans="2:5">
      <c r="B123" s="45" t="str">
        <f>IF(Ingreso!K127="","",Ingreso!K127)</f>
        <v/>
      </c>
      <c r="C123" s="45" t="str">
        <f>IF(Ingreso!L127="","",Ingreso!L127)</f>
        <v/>
      </c>
      <c r="D123" s="78" t="str">
        <f>IF(Ingreso!AU127="","",Ingreso!AU127)</f>
        <v/>
      </c>
      <c r="E123" s="78" t="str">
        <f>IF(B123="","",VLOOKUP(B123,#REF!,2,FALSE)/60)</f>
        <v/>
      </c>
    </row>
    <row r="124" spans="2:5">
      <c r="B124" s="45" t="str">
        <f>IF(Ingreso!K128="","",Ingreso!K128)</f>
        <v/>
      </c>
      <c r="C124" s="45" t="str">
        <f>IF(Ingreso!L128="","",Ingreso!L128)</f>
        <v/>
      </c>
      <c r="D124" s="78" t="str">
        <f>IF(Ingreso!AU128="","",Ingreso!AU128)</f>
        <v/>
      </c>
      <c r="E124" s="78" t="str">
        <f>IF(B124="","",VLOOKUP(B124,#REF!,2,FALSE)/60)</f>
        <v/>
      </c>
    </row>
    <row r="125" spans="2:5">
      <c r="B125" s="45" t="str">
        <f>IF(Ingreso!K129="","",Ingreso!K129)</f>
        <v/>
      </c>
      <c r="C125" s="45" t="str">
        <f>IF(Ingreso!L129="","",Ingreso!L129)</f>
        <v/>
      </c>
      <c r="D125" s="78" t="str">
        <f>IF(Ingreso!AU129="","",Ingreso!AU129)</f>
        <v/>
      </c>
      <c r="E125" s="78" t="str">
        <f>IF(B125="","",VLOOKUP(B125,#REF!,2,FALSE)/60)</f>
        <v/>
      </c>
    </row>
    <row r="126" spans="2:5">
      <c r="B126" s="45" t="str">
        <f>IF(Ingreso!K130="","",Ingreso!K130)</f>
        <v/>
      </c>
      <c r="C126" s="45" t="str">
        <f>IF(Ingreso!L130="","",Ingreso!L130)</f>
        <v/>
      </c>
      <c r="D126" s="78" t="str">
        <f>IF(Ingreso!AU130="","",Ingreso!AU130)</f>
        <v/>
      </c>
      <c r="E126" s="78" t="str">
        <f>IF(B126="","",VLOOKUP(B126,#REF!,2,FALSE)/60)</f>
        <v/>
      </c>
    </row>
    <row r="127" spans="2:5">
      <c r="B127" s="45" t="str">
        <f>IF(Ingreso!K131="","",Ingreso!K131)</f>
        <v/>
      </c>
      <c r="C127" s="45" t="str">
        <f>IF(Ingreso!L131="","",Ingreso!L131)</f>
        <v/>
      </c>
      <c r="D127" s="78" t="str">
        <f>IF(Ingreso!AU131="","",Ingreso!AU131)</f>
        <v/>
      </c>
      <c r="E127" s="78" t="str">
        <f>IF(B127="","",VLOOKUP(B127,#REF!,2,FALSE)/60)</f>
        <v/>
      </c>
    </row>
    <row r="128" spans="2:5">
      <c r="B128" s="45" t="str">
        <f>IF(Ingreso!K132="","",Ingreso!K132)</f>
        <v/>
      </c>
      <c r="C128" s="45" t="str">
        <f>IF(Ingreso!L132="","",Ingreso!L132)</f>
        <v/>
      </c>
      <c r="D128" s="78" t="str">
        <f>IF(Ingreso!AU132="","",Ingreso!AU132)</f>
        <v/>
      </c>
      <c r="E128" s="78" t="str">
        <f>IF(B128="","",VLOOKUP(B128,#REF!,2,FALSE)/60)</f>
        <v/>
      </c>
    </row>
    <row r="129" spans="2:5">
      <c r="B129" s="45" t="str">
        <f>IF(Ingreso!K133="","",Ingreso!K133)</f>
        <v/>
      </c>
      <c r="C129" s="45" t="str">
        <f>IF(Ingreso!L133="","",Ingreso!L133)</f>
        <v/>
      </c>
      <c r="D129" s="78" t="str">
        <f>IF(Ingreso!AU133="","",Ingreso!AU133)</f>
        <v/>
      </c>
      <c r="E129" s="78" t="str">
        <f>IF(B129="","",VLOOKUP(B129,#REF!,2,FALSE)/60)</f>
        <v/>
      </c>
    </row>
    <row r="130" spans="2:5">
      <c r="B130" s="45" t="str">
        <f>IF(Ingreso!K134="","",Ingreso!K134)</f>
        <v/>
      </c>
      <c r="C130" s="45" t="str">
        <f>IF(Ingreso!L134="","",Ingreso!L134)</f>
        <v/>
      </c>
      <c r="D130" s="78" t="str">
        <f>IF(Ingreso!AU134="","",Ingreso!AU134)</f>
        <v/>
      </c>
      <c r="E130" s="78" t="str">
        <f>IF(B130="","",VLOOKUP(B130,#REF!,2,FALSE)/60)</f>
        <v/>
      </c>
    </row>
    <row r="131" spans="2:5">
      <c r="B131" s="45" t="str">
        <f>IF(Ingreso!K135="","",Ingreso!K135)</f>
        <v/>
      </c>
      <c r="C131" s="45" t="str">
        <f>IF(Ingreso!L135="","",Ingreso!L135)</f>
        <v/>
      </c>
      <c r="D131" s="78" t="str">
        <f>IF(Ingreso!AU135="","",Ingreso!AU135)</f>
        <v/>
      </c>
      <c r="E131" s="78" t="str">
        <f>IF(B131="","",VLOOKUP(B131,#REF!,2,FALSE)/60)</f>
        <v/>
      </c>
    </row>
    <row r="132" spans="2:5">
      <c r="B132" s="45" t="str">
        <f>IF(Ingreso!K136="","",Ingreso!K136)</f>
        <v/>
      </c>
      <c r="C132" s="45" t="str">
        <f>IF(Ingreso!L136="","",Ingreso!L136)</f>
        <v/>
      </c>
      <c r="D132" s="78" t="str">
        <f>IF(Ingreso!AU136="","",Ingreso!AU136)</f>
        <v/>
      </c>
      <c r="E132" s="78" t="str">
        <f>IF(B132="","",VLOOKUP(B132,#REF!,2,FALSE)/60)</f>
        <v/>
      </c>
    </row>
    <row r="133" spans="2:5">
      <c r="B133" s="45" t="str">
        <f>IF(Ingreso!K137="","",Ingreso!K137)</f>
        <v/>
      </c>
      <c r="C133" s="45" t="str">
        <f>IF(Ingreso!L137="","",Ingreso!L137)</f>
        <v/>
      </c>
      <c r="D133" s="78" t="str">
        <f>IF(Ingreso!AU137="","",Ingreso!AU137)</f>
        <v/>
      </c>
      <c r="E133" s="78" t="str">
        <f>IF(B133="","",VLOOKUP(B133,#REF!,2,FALSE)/60)</f>
        <v/>
      </c>
    </row>
    <row r="134" spans="2:5">
      <c r="B134" s="45" t="str">
        <f>IF(Ingreso!K138="","",Ingreso!K138)</f>
        <v/>
      </c>
      <c r="C134" s="45" t="str">
        <f>IF(Ingreso!L138="","",Ingreso!L138)</f>
        <v/>
      </c>
      <c r="D134" s="78" t="str">
        <f>IF(Ingreso!AU138="","",Ingreso!AU138)</f>
        <v/>
      </c>
      <c r="E134" s="78" t="str">
        <f>IF(B134="","",VLOOKUP(B134,#REF!,2,FALSE)/60)</f>
        <v/>
      </c>
    </row>
    <row r="135" spans="2:5">
      <c r="B135" s="45" t="str">
        <f>IF(Ingreso!K139="","",Ingreso!K139)</f>
        <v/>
      </c>
      <c r="C135" s="45" t="str">
        <f>IF(Ingreso!L139="","",Ingreso!L139)</f>
        <v/>
      </c>
      <c r="D135" s="78" t="str">
        <f>IF(Ingreso!AU139="","",Ingreso!AU139)</f>
        <v/>
      </c>
      <c r="E135" s="78" t="str">
        <f>IF(B135="","",VLOOKUP(B135,#REF!,2,FALSE)/60)</f>
        <v/>
      </c>
    </row>
    <row r="136" spans="2:5">
      <c r="B136" s="45" t="str">
        <f>IF(Ingreso!K140="","",Ingreso!K140)</f>
        <v/>
      </c>
      <c r="C136" s="45" t="str">
        <f>IF(Ingreso!L140="","",Ingreso!L140)</f>
        <v/>
      </c>
      <c r="D136" s="78" t="str">
        <f>IF(Ingreso!AU140="","",Ingreso!AU140)</f>
        <v/>
      </c>
      <c r="E136" s="78" t="str">
        <f>IF(B136="","",VLOOKUP(B136,#REF!,2,FALSE)/60)</f>
        <v/>
      </c>
    </row>
    <row r="137" spans="2:5">
      <c r="B137" s="45" t="str">
        <f>IF(Ingreso!K141="","",Ingreso!K141)</f>
        <v/>
      </c>
      <c r="C137" s="45" t="str">
        <f>IF(Ingreso!L141="","",Ingreso!L141)</f>
        <v/>
      </c>
      <c r="D137" s="78" t="str">
        <f>IF(Ingreso!AU141="","",Ingreso!AU141)</f>
        <v/>
      </c>
      <c r="E137" s="78" t="str">
        <f>IF(B137="","",VLOOKUP(B137,#REF!,2,FALSE)/60)</f>
        <v/>
      </c>
    </row>
    <row r="138" spans="2:5">
      <c r="B138" s="45" t="str">
        <f>IF(Ingreso!K142="","",Ingreso!K142)</f>
        <v/>
      </c>
      <c r="C138" s="45" t="str">
        <f>IF(Ingreso!L142="","",Ingreso!L142)</f>
        <v/>
      </c>
      <c r="D138" s="78" t="str">
        <f>IF(Ingreso!AU142="","",Ingreso!AU142)</f>
        <v/>
      </c>
      <c r="E138" s="78" t="str">
        <f>IF(B138="","",VLOOKUP(B138,#REF!,2,FALSE)/60)</f>
        <v/>
      </c>
    </row>
    <row r="139" spans="2:5">
      <c r="B139" s="45" t="str">
        <f>IF(Ingreso!K143="","",Ingreso!K143)</f>
        <v/>
      </c>
      <c r="C139" s="45" t="str">
        <f>IF(Ingreso!L143="","",Ingreso!L143)</f>
        <v/>
      </c>
      <c r="D139" s="78" t="str">
        <f>IF(Ingreso!AU143="","",Ingreso!AU143)</f>
        <v/>
      </c>
      <c r="E139" s="78" t="str">
        <f>IF(B139="","",VLOOKUP(B139,#REF!,2,FALSE)/60)</f>
        <v/>
      </c>
    </row>
    <row r="140" spans="2:5">
      <c r="B140" s="45" t="str">
        <f>IF(Ingreso!K144="","",Ingreso!K144)</f>
        <v/>
      </c>
      <c r="C140" s="45" t="str">
        <f>IF(Ingreso!L144="","",Ingreso!L144)</f>
        <v/>
      </c>
      <c r="D140" s="78" t="str">
        <f>IF(Ingreso!AU144="","",Ingreso!AU144)</f>
        <v/>
      </c>
      <c r="E140" s="78" t="str">
        <f>IF(B140="","",VLOOKUP(B140,#REF!,2,FALSE)/60)</f>
        <v/>
      </c>
    </row>
    <row r="141" spans="2:5">
      <c r="B141" s="45" t="str">
        <f>IF(Ingreso!K145="","",Ingreso!K145)</f>
        <v/>
      </c>
      <c r="C141" s="45" t="str">
        <f>IF(Ingreso!L145="","",Ingreso!L145)</f>
        <v/>
      </c>
      <c r="D141" s="78" t="str">
        <f>IF(Ingreso!AU145="","",Ingreso!AU145)</f>
        <v/>
      </c>
      <c r="E141" s="78" t="str">
        <f>IF(B141="","",VLOOKUP(B141,#REF!,2,FALSE)/60)</f>
        <v/>
      </c>
    </row>
    <row r="142" spans="2:5">
      <c r="B142" s="45" t="str">
        <f>IF(Ingreso!K146="","",Ingreso!K146)</f>
        <v/>
      </c>
      <c r="C142" s="45" t="str">
        <f>IF(Ingreso!L146="","",Ingreso!L146)</f>
        <v/>
      </c>
      <c r="D142" s="78" t="str">
        <f>IF(Ingreso!AU146="","",Ingreso!AU146)</f>
        <v/>
      </c>
      <c r="E142" s="78" t="str">
        <f>IF(B142="","",VLOOKUP(B142,#REF!,2,FALSE)/60)</f>
        <v/>
      </c>
    </row>
    <row r="143" spans="2:5">
      <c r="B143" s="45" t="str">
        <f>IF(Ingreso!K147="","",Ingreso!K147)</f>
        <v/>
      </c>
      <c r="C143" s="45" t="str">
        <f>IF(Ingreso!L147="","",Ingreso!L147)</f>
        <v/>
      </c>
      <c r="D143" s="78" t="str">
        <f>IF(Ingreso!AU147="","",Ingreso!AU147)</f>
        <v/>
      </c>
      <c r="E143" s="78" t="str">
        <f>IF(B143="","",VLOOKUP(B143,#REF!,2,FALSE)/60)</f>
        <v/>
      </c>
    </row>
    <row r="144" spans="2:5">
      <c r="B144" s="45" t="str">
        <f>IF(Ingreso!K148="","",Ingreso!K148)</f>
        <v/>
      </c>
      <c r="C144" s="45" t="str">
        <f>IF(Ingreso!L148="","",Ingreso!L148)</f>
        <v/>
      </c>
      <c r="D144" s="78" t="str">
        <f>IF(Ingreso!AU148="","",Ingreso!AU148)</f>
        <v/>
      </c>
      <c r="E144" s="78" t="str">
        <f>IF(B144="","",VLOOKUP(B144,#REF!,2,FALSE)/60)</f>
        <v/>
      </c>
    </row>
    <row r="145" spans="2:5">
      <c r="B145" s="45" t="str">
        <f>IF(Ingreso!K149="","",Ingreso!K149)</f>
        <v/>
      </c>
      <c r="C145" s="45" t="str">
        <f>IF(Ingreso!L149="","",Ingreso!L149)</f>
        <v/>
      </c>
      <c r="D145" s="78" t="str">
        <f>IF(Ingreso!AU149="","",Ingreso!AU149)</f>
        <v/>
      </c>
      <c r="E145" s="78" t="str">
        <f>IF(B145="","",VLOOKUP(B145,#REF!,2,FALSE)/60)</f>
        <v/>
      </c>
    </row>
    <row r="146" spans="2:5">
      <c r="B146" s="45" t="str">
        <f>IF(Ingreso!K150="","",Ingreso!K150)</f>
        <v/>
      </c>
      <c r="C146" s="45" t="str">
        <f>IF(Ingreso!L150="","",Ingreso!L150)</f>
        <v/>
      </c>
      <c r="D146" s="78" t="str">
        <f>IF(Ingreso!AU150="","",Ingreso!AU150)</f>
        <v/>
      </c>
      <c r="E146" s="78" t="str">
        <f>IF(B146="","",VLOOKUP(B146,#REF!,2,FALSE)/60)</f>
        <v/>
      </c>
    </row>
    <row r="147" spans="2:5">
      <c r="B147" s="45" t="str">
        <f>IF(Ingreso!K151="","",Ingreso!K151)</f>
        <v/>
      </c>
      <c r="C147" s="45" t="str">
        <f>IF(Ingreso!L151="","",Ingreso!L151)</f>
        <v/>
      </c>
      <c r="D147" s="78" t="str">
        <f>IF(Ingreso!AU151="","",Ingreso!AU151)</f>
        <v/>
      </c>
      <c r="E147" s="78" t="str">
        <f>IF(B147="","",VLOOKUP(B147,#REF!,2,FALSE)/60)</f>
        <v/>
      </c>
    </row>
    <row r="148" spans="2:5">
      <c r="B148" s="45" t="str">
        <f>IF(Ingreso!K152="","",Ingreso!K152)</f>
        <v/>
      </c>
      <c r="C148" s="45" t="str">
        <f>IF(Ingreso!L152="","",Ingreso!L152)</f>
        <v/>
      </c>
      <c r="D148" s="78" t="str">
        <f>IF(Ingreso!AU152="","",Ingreso!AU152)</f>
        <v/>
      </c>
      <c r="E148" s="78" t="str">
        <f>IF(B148="","",VLOOKUP(B148,#REF!,2,FALSE)/60)</f>
        <v/>
      </c>
    </row>
    <row r="149" spans="2:5">
      <c r="B149" s="45" t="str">
        <f>IF(Ingreso!K153="","",Ingreso!K153)</f>
        <v/>
      </c>
      <c r="C149" s="45" t="str">
        <f>IF(Ingreso!L153="","",Ingreso!L153)</f>
        <v/>
      </c>
      <c r="D149" s="78" t="str">
        <f>IF(Ingreso!AU153="","",Ingreso!AU153)</f>
        <v/>
      </c>
      <c r="E149" s="78" t="str">
        <f>IF(B149="","",VLOOKUP(B149,#REF!,2,FALSE)/60)</f>
        <v/>
      </c>
    </row>
    <row r="150" spans="2:5">
      <c r="B150" s="45" t="str">
        <f>IF(Ingreso!K154="","",Ingreso!K154)</f>
        <v/>
      </c>
      <c r="C150" s="45" t="str">
        <f>IF(Ingreso!L154="","",Ingreso!L154)</f>
        <v/>
      </c>
      <c r="D150" s="78" t="str">
        <f>IF(Ingreso!AU154="","",Ingreso!AU154)</f>
        <v/>
      </c>
      <c r="E150" s="78" t="str">
        <f>IF(B150="","",VLOOKUP(B150,#REF!,2,FALSE)/60)</f>
        <v/>
      </c>
    </row>
    <row r="151" spans="2:5">
      <c r="B151" s="45" t="str">
        <f>IF(Ingreso!K155="","",Ingreso!K155)</f>
        <v/>
      </c>
      <c r="C151" s="45" t="str">
        <f>IF(Ingreso!L155="","",Ingreso!L155)</f>
        <v/>
      </c>
      <c r="D151" s="78" t="str">
        <f>IF(Ingreso!AU155="","",Ingreso!AU155)</f>
        <v/>
      </c>
      <c r="E151" s="78" t="str">
        <f>IF(B151="","",VLOOKUP(B151,#REF!,2,FALSE)/60)</f>
        <v/>
      </c>
    </row>
    <row r="152" spans="2:5">
      <c r="B152" s="45" t="str">
        <f>IF(Ingreso!K156="","",Ingreso!K156)</f>
        <v/>
      </c>
      <c r="C152" s="45" t="str">
        <f>IF(Ingreso!L156="","",Ingreso!L156)</f>
        <v/>
      </c>
      <c r="D152" s="78" t="str">
        <f>IF(Ingreso!AU156="","",Ingreso!AU156)</f>
        <v/>
      </c>
      <c r="E152" s="78" t="str">
        <f>IF(B152="","",VLOOKUP(B152,#REF!,2,FALSE)/60)</f>
        <v/>
      </c>
    </row>
    <row r="153" spans="2:5">
      <c r="B153" s="45" t="str">
        <f>IF(Ingreso!K157="","",Ingreso!K157)</f>
        <v/>
      </c>
      <c r="C153" s="45" t="str">
        <f>IF(Ingreso!L157="","",Ingreso!L157)</f>
        <v/>
      </c>
      <c r="D153" s="78" t="str">
        <f>IF(Ingreso!AU157="","",Ingreso!AU157)</f>
        <v/>
      </c>
      <c r="E153" s="78" t="str">
        <f>IF(B153="","",VLOOKUP(B153,#REF!,2,FALSE)/60)</f>
        <v/>
      </c>
    </row>
    <row r="154" spans="2:5">
      <c r="B154" s="45" t="str">
        <f>IF(Ingreso!K158="","",Ingreso!K158)</f>
        <v/>
      </c>
      <c r="C154" s="45" t="str">
        <f>IF(Ingreso!L158="","",Ingreso!L158)</f>
        <v/>
      </c>
      <c r="D154" s="78" t="str">
        <f>IF(Ingreso!AU158="","",Ingreso!AU158)</f>
        <v/>
      </c>
      <c r="E154" s="78" t="str">
        <f>IF(B154="","",VLOOKUP(B154,#REF!,2,FALSE)/60)</f>
        <v/>
      </c>
    </row>
    <row r="155" spans="2:5">
      <c r="B155" s="45" t="str">
        <f>IF(Ingreso!K159="","",Ingreso!K159)</f>
        <v/>
      </c>
      <c r="C155" s="45" t="str">
        <f>IF(Ingreso!L159="","",Ingreso!L159)</f>
        <v/>
      </c>
      <c r="D155" s="78" t="str">
        <f>IF(Ingreso!AU159="","",Ingreso!AU159)</f>
        <v/>
      </c>
      <c r="E155" s="78" t="str">
        <f>IF(B155="","",VLOOKUP(B155,#REF!,2,FALSE)/60)</f>
        <v/>
      </c>
    </row>
    <row r="156" spans="2:5">
      <c r="B156" s="45" t="str">
        <f>IF(Ingreso!K160="","",Ingreso!K160)</f>
        <v/>
      </c>
      <c r="C156" s="45" t="str">
        <f>IF(Ingreso!L160="","",Ingreso!L160)</f>
        <v/>
      </c>
      <c r="D156" s="78" t="str">
        <f>IF(Ingreso!AU160="","",Ingreso!AU160)</f>
        <v/>
      </c>
      <c r="E156" s="78" t="str">
        <f>IF(B156="","",VLOOKUP(B156,#REF!,2,FALSE)/60)</f>
        <v/>
      </c>
    </row>
    <row r="157" spans="2:5">
      <c r="B157" s="45" t="str">
        <f>IF(Ingreso!K161="","",Ingreso!K161)</f>
        <v/>
      </c>
      <c r="C157" s="45" t="str">
        <f>IF(Ingreso!L161="","",Ingreso!L161)</f>
        <v/>
      </c>
      <c r="D157" s="78" t="str">
        <f>IF(Ingreso!AU161="","",Ingreso!AU161)</f>
        <v/>
      </c>
      <c r="E157" s="78" t="str">
        <f>IF(B157="","",VLOOKUP(B157,#REF!,2,FALSE)/60)</f>
        <v/>
      </c>
    </row>
    <row r="158" spans="2:5">
      <c r="B158" s="45" t="str">
        <f>IF(Ingreso!K162="","",Ingreso!K162)</f>
        <v/>
      </c>
      <c r="C158" s="45" t="str">
        <f>IF(Ingreso!L162="","",Ingreso!L162)</f>
        <v/>
      </c>
      <c r="D158" s="78" t="str">
        <f>IF(Ingreso!AU162="","",Ingreso!AU162)</f>
        <v/>
      </c>
      <c r="E158" s="78" t="str">
        <f>IF(B158="","",VLOOKUP(B158,#REF!,2,FALSE)/60)</f>
        <v/>
      </c>
    </row>
    <row r="159" spans="2:5">
      <c r="B159" s="45" t="str">
        <f>IF(Ingreso!K163="","",Ingreso!K163)</f>
        <v/>
      </c>
      <c r="C159" s="45" t="str">
        <f>IF(Ingreso!L163="","",Ingreso!L163)</f>
        <v/>
      </c>
      <c r="D159" s="78" t="str">
        <f>IF(Ingreso!AU163="","",Ingreso!AU163)</f>
        <v/>
      </c>
      <c r="E159" s="78" t="str">
        <f>IF(B159="","",VLOOKUP(B159,#REF!,2,FALSE)/60)</f>
        <v/>
      </c>
    </row>
    <row r="160" spans="2:5">
      <c r="B160" s="45" t="str">
        <f>IF(Ingreso!K164="","",Ingreso!K164)</f>
        <v/>
      </c>
      <c r="C160" s="45" t="str">
        <f>IF(Ingreso!L164="","",Ingreso!L164)</f>
        <v/>
      </c>
      <c r="D160" s="78" t="str">
        <f>IF(Ingreso!AU164="","",Ingreso!AU164)</f>
        <v/>
      </c>
      <c r="E160" s="78" t="str">
        <f>IF(B160="","",VLOOKUP(B160,#REF!,2,FALSE)/60)</f>
        <v/>
      </c>
    </row>
    <row r="161" spans="2:5">
      <c r="B161" s="45" t="str">
        <f>IF(Ingreso!K165="","",Ingreso!K165)</f>
        <v/>
      </c>
      <c r="C161" s="45" t="str">
        <f>IF(Ingreso!L165="","",Ingreso!L165)</f>
        <v/>
      </c>
      <c r="D161" s="78" t="str">
        <f>IF(Ingreso!AU165="","",Ingreso!AU165)</f>
        <v/>
      </c>
      <c r="E161" s="78" t="str">
        <f>IF(B161="","",VLOOKUP(B161,#REF!,2,FALSE)/60)</f>
        <v/>
      </c>
    </row>
    <row r="162" spans="2:5">
      <c r="B162" s="45" t="str">
        <f>IF(Ingreso!K166="","",Ingreso!K166)</f>
        <v/>
      </c>
      <c r="C162" s="45" t="str">
        <f>IF(Ingreso!L166="","",Ingreso!L166)</f>
        <v/>
      </c>
      <c r="D162" s="78" t="str">
        <f>IF(Ingreso!AU166="","",Ingreso!AU166)</f>
        <v/>
      </c>
      <c r="E162" s="78" t="str">
        <f>IF(B162="","",VLOOKUP(B162,#REF!,2,FALSE)/60)</f>
        <v/>
      </c>
    </row>
    <row r="163" spans="2:5">
      <c r="B163" s="45" t="str">
        <f>IF(Ingreso!K167="","",Ingreso!K167)</f>
        <v/>
      </c>
      <c r="C163" s="45" t="str">
        <f>IF(Ingreso!L167="","",Ingreso!L167)</f>
        <v/>
      </c>
      <c r="D163" s="78" t="str">
        <f>IF(Ingreso!AU167="","",Ingreso!AU167)</f>
        <v/>
      </c>
      <c r="E163" s="78" t="str">
        <f>IF(B163="","",VLOOKUP(B163,#REF!,2,FALSE)/60)</f>
        <v/>
      </c>
    </row>
    <row r="164" spans="2:5">
      <c r="B164" s="45" t="str">
        <f>IF(Ingreso!K168="","",Ingreso!K168)</f>
        <v/>
      </c>
      <c r="C164" s="45" t="str">
        <f>IF(Ingreso!L168="","",Ingreso!L168)</f>
        <v/>
      </c>
      <c r="D164" s="78" t="str">
        <f>IF(Ingreso!AU168="","",Ingreso!AU168)</f>
        <v/>
      </c>
      <c r="E164" s="78" t="str">
        <f>IF(B164="","",VLOOKUP(B164,#REF!,2,FALSE)/60)</f>
        <v/>
      </c>
    </row>
    <row r="165" spans="2:5">
      <c r="B165" s="45" t="str">
        <f>IF(Ingreso!K169="","",Ingreso!K169)</f>
        <v/>
      </c>
      <c r="C165" s="45" t="str">
        <f>IF(Ingreso!L169="","",Ingreso!L169)</f>
        <v/>
      </c>
      <c r="D165" s="78" t="str">
        <f>IF(Ingreso!AU169="","",Ingreso!AU169)</f>
        <v/>
      </c>
      <c r="E165" s="78" t="str">
        <f>IF(B165="","",VLOOKUP(B165,#REF!,2,FALSE)/60)</f>
        <v/>
      </c>
    </row>
    <row r="166" spans="2:5">
      <c r="B166" s="45" t="str">
        <f>IF(Ingreso!K170="","",Ingreso!K170)</f>
        <v/>
      </c>
      <c r="C166" s="45" t="str">
        <f>IF(Ingreso!L170="","",Ingreso!L170)</f>
        <v/>
      </c>
      <c r="D166" s="78" t="str">
        <f>IF(Ingreso!AU170="","",Ingreso!AU170)</f>
        <v/>
      </c>
      <c r="E166" s="78" t="str">
        <f>IF(B166="","",VLOOKUP(B166,#REF!,2,FALSE)/60)</f>
        <v/>
      </c>
    </row>
    <row r="167" spans="2:5">
      <c r="B167" s="45" t="str">
        <f>IF(Ingreso!K171="","",Ingreso!K171)</f>
        <v/>
      </c>
      <c r="C167" s="45" t="str">
        <f>IF(Ingreso!L171="","",Ingreso!L171)</f>
        <v/>
      </c>
      <c r="D167" s="78" t="str">
        <f>IF(Ingreso!AU171="","",Ingreso!AU171)</f>
        <v/>
      </c>
      <c r="E167" s="78" t="str">
        <f>IF(B167="","",VLOOKUP(B167,#REF!,2,FALSE)/60)</f>
        <v/>
      </c>
    </row>
    <row r="168" spans="2:5">
      <c r="B168" s="45" t="str">
        <f>IF(Ingreso!K172="","",Ingreso!K172)</f>
        <v/>
      </c>
      <c r="C168" s="45" t="str">
        <f>IF(Ingreso!L172="","",Ingreso!L172)</f>
        <v/>
      </c>
      <c r="D168" s="78" t="str">
        <f>IF(Ingreso!AU172="","",Ingreso!AU172)</f>
        <v/>
      </c>
      <c r="E168" s="78" t="str">
        <f>IF(B168="","",VLOOKUP(B168,#REF!,2,FALSE)/60)</f>
        <v/>
      </c>
    </row>
    <row r="169" spans="2:5">
      <c r="B169" s="45" t="str">
        <f>IF(Ingreso!K173="","",Ingreso!K173)</f>
        <v/>
      </c>
      <c r="C169" s="45" t="str">
        <f>IF(Ingreso!L173="","",Ingreso!L173)</f>
        <v/>
      </c>
      <c r="D169" s="78" t="str">
        <f>IF(Ingreso!AU173="","",Ingreso!AU173)</f>
        <v/>
      </c>
      <c r="E169" s="78" t="str">
        <f>IF(B169="","",VLOOKUP(B169,#REF!,2,FALSE)/60)</f>
        <v/>
      </c>
    </row>
    <row r="170" spans="2:5">
      <c r="B170" s="45" t="str">
        <f>IF(Ingreso!K174="","",Ingreso!K174)</f>
        <v/>
      </c>
      <c r="C170" s="45" t="str">
        <f>IF(Ingreso!L174="","",Ingreso!L174)</f>
        <v/>
      </c>
      <c r="D170" s="78" t="str">
        <f>IF(Ingreso!AU174="","",Ingreso!AU174)</f>
        <v/>
      </c>
      <c r="E170" s="78" t="str">
        <f>IF(B170="","",VLOOKUP(B170,#REF!,2,FALSE)/60)</f>
        <v/>
      </c>
    </row>
    <row r="171" spans="2:5">
      <c r="B171" s="45" t="str">
        <f>IF(Ingreso!K175="","",Ingreso!K175)</f>
        <v/>
      </c>
      <c r="C171" s="45" t="str">
        <f>IF(Ingreso!L175="","",Ingreso!L175)</f>
        <v/>
      </c>
      <c r="D171" s="78" t="str">
        <f>IF(Ingreso!AU175="","",Ingreso!AU175)</f>
        <v/>
      </c>
      <c r="E171" s="78" t="str">
        <f>IF(B171="","",VLOOKUP(B171,#REF!,2,FALSE)/60)</f>
        <v/>
      </c>
    </row>
    <row r="172" spans="2:5">
      <c r="B172" s="45" t="str">
        <f>IF(Ingreso!K176="","",Ingreso!K176)</f>
        <v/>
      </c>
      <c r="C172" s="45" t="str">
        <f>IF(Ingreso!L176="","",Ingreso!L176)</f>
        <v/>
      </c>
      <c r="D172" s="78" t="str">
        <f>IF(Ingreso!AU176="","",Ingreso!AU176)</f>
        <v/>
      </c>
      <c r="E172" s="78" t="str">
        <f>IF(B172="","",VLOOKUP(B172,#REF!,2,FALSE)/60)</f>
        <v/>
      </c>
    </row>
    <row r="173" spans="2:5">
      <c r="B173" s="45" t="str">
        <f>IF(Ingreso!K177="","",Ingreso!K177)</f>
        <v/>
      </c>
      <c r="C173" s="45" t="str">
        <f>IF(Ingreso!L177="","",Ingreso!L177)</f>
        <v/>
      </c>
      <c r="D173" s="78" t="str">
        <f>IF(Ingreso!AU177="","",Ingreso!AU177)</f>
        <v/>
      </c>
      <c r="E173" s="78" t="str">
        <f>IF(B173="","",VLOOKUP(B173,#REF!,2,FALSE)/60)</f>
        <v/>
      </c>
    </row>
    <row r="174" spans="2:5">
      <c r="B174" s="45" t="str">
        <f>IF(Ingreso!K178="","",Ingreso!K178)</f>
        <v/>
      </c>
      <c r="C174" s="45" t="str">
        <f>IF(Ingreso!L178="","",Ingreso!L178)</f>
        <v/>
      </c>
      <c r="D174" s="78" t="str">
        <f>IF(Ingreso!AU178="","",Ingreso!AU178)</f>
        <v/>
      </c>
      <c r="E174" s="78" t="str">
        <f>IF(B174="","",VLOOKUP(B174,#REF!,2,FALSE)/60)</f>
        <v/>
      </c>
    </row>
    <row r="175" spans="2:5">
      <c r="B175" s="45" t="str">
        <f>IF(Ingreso!K179="","",Ingreso!K179)</f>
        <v/>
      </c>
      <c r="C175" s="45" t="str">
        <f>IF(Ingreso!L179="","",Ingreso!L179)</f>
        <v/>
      </c>
      <c r="D175" s="78" t="str">
        <f>IF(Ingreso!AU179="","",Ingreso!AU179)</f>
        <v/>
      </c>
      <c r="E175" s="78" t="str">
        <f>IF(B175="","",VLOOKUP(B175,#REF!,2,FALSE)/60)</f>
        <v/>
      </c>
    </row>
    <row r="176" spans="2:5">
      <c r="B176" s="45" t="str">
        <f>IF(Ingreso!K180="","",Ingreso!K180)</f>
        <v/>
      </c>
      <c r="C176" s="45" t="str">
        <f>IF(Ingreso!L180="","",Ingreso!L180)</f>
        <v/>
      </c>
      <c r="D176" s="78" t="str">
        <f>IF(Ingreso!AU180="","",Ingreso!AU180)</f>
        <v/>
      </c>
      <c r="E176" s="78" t="str">
        <f>IF(B176="","",VLOOKUP(B176,#REF!,2,FALSE)/60)</f>
        <v/>
      </c>
    </row>
    <row r="177" spans="2:5">
      <c r="B177" s="45" t="str">
        <f>IF(Ingreso!K181="","",Ingreso!K181)</f>
        <v/>
      </c>
      <c r="C177" s="45" t="str">
        <f>IF(Ingreso!L181="","",Ingreso!L181)</f>
        <v/>
      </c>
      <c r="D177" s="78" t="str">
        <f>IF(Ingreso!AU181="","",Ingreso!AU181)</f>
        <v/>
      </c>
      <c r="E177" s="78" t="str">
        <f>IF(B177="","",VLOOKUP(B177,#REF!,2,FALSE)/60)</f>
        <v/>
      </c>
    </row>
    <row r="178" spans="2:5">
      <c r="B178" s="45" t="str">
        <f>IF(Ingreso!K182="","",Ingreso!K182)</f>
        <v/>
      </c>
      <c r="C178" s="45" t="str">
        <f>IF(Ingreso!L182="","",Ingreso!L182)</f>
        <v/>
      </c>
      <c r="D178" s="78" t="str">
        <f>IF(Ingreso!AU182="","",Ingreso!AU182)</f>
        <v/>
      </c>
      <c r="E178" s="78" t="str">
        <f>IF(B178="","",VLOOKUP(B178,#REF!,2,FALSE)/60)</f>
        <v/>
      </c>
    </row>
    <row r="179" spans="2:5">
      <c r="B179" s="45" t="str">
        <f>IF(Ingreso!K183="","",Ingreso!K183)</f>
        <v/>
      </c>
      <c r="C179" s="45" t="str">
        <f>IF(Ingreso!L183="","",Ingreso!L183)</f>
        <v/>
      </c>
      <c r="D179" s="78" t="str">
        <f>IF(Ingreso!AU183="","",Ingreso!AU183)</f>
        <v/>
      </c>
      <c r="E179" s="78" t="str">
        <f>IF(B179="","",VLOOKUP(B179,#REF!,2,FALSE)/60)</f>
        <v/>
      </c>
    </row>
    <row r="180" spans="2:5">
      <c r="B180" s="45" t="str">
        <f>IF(Ingreso!K184="","",Ingreso!K184)</f>
        <v/>
      </c>
      <c r="C180" s="45" t="str">
        <f>IF(Ingreso!L184="","",Ingreso!L184)</f>
        <v/>
      </c>
      <c r="D180" s="78" t="str">
        <f>IF(Ingreso!AU184="","",Ingreso!AU184)</f>
        <v/>
      </c>
      <c r="E180" s="78" t="str">
        <f>IF(B180="","",VLOOKUP(B180,#REF!,2,FALSE)/60)</f>
        <v/>
      </c>
    </row>
    <row r="181" spans="2:5">
      <c r="B181" s="45" t="str">
        <f>IF(Ingreso!K185="","",Ingreso!K185)</f>
        <v/>
      </c>
      <c r="C181" s="45" t="str">
        <f>IF(Ingreso!L185="","",Ingreso!L185)</f>
        <v/>
      </c>
      <c r="D181" s="78" t="str">
        <f>IF(Ingreso!AU185="","",Ingreso!AU185)</f>
        <v/>
      </c>
      <c r="E181" s="78" t="str">
        <f>IF(B181="","",VLOOKUP(B181,#REF!,2,FALSE)/60)</f>
        <v/>
      </c>
    </row>
    <row r="182" spans="2:5">
      <c r="B182" s="45" t="str">
        <f>IF(Ingreso!K186="","",Ingreso!K186)</f>
        <v/>
      </c>
      <c r="C182" s="45" t="str">
        <f>IF(Ingreso!L186="","",Ingreso!L186)</f>
        <v/>
      </c>
      <c r="D182" s="78" t="str">
        <f>IF(Ingreso!AU186="","",Ingreso!AU186)</f>
        <v/>
      </c>
      <c r="E182" s="78" t="str">
        <f>IF(B182="","",VLOOKUP(B182,#REF!,2,FALSE)/60)</f>
        <v/>
      </c>
    </row>
    <row r="183" spans="2:5">
      <c r="B183" s="45" t="str">
        <f>IF(Ingreso!K187="","",Ingreso!K187)</f>
        <v/>
      </c>
      <c r="C183" s="45" t="str">
        <f>IF(Ingreso!L187="","",Ingreso!L187)</f>
        <v/>
      </c>
      <c r="D183" s="78" t="str">
        <f>IF(Ingreso!AU187="","",Ingreso!AU187)</f>
        <v/>
      </c>
      <c r="E183" s="78" t="str">
        <f>IF(B183="","",VLOOKUP(B183,#REF!,2,FALSE)/60)</f>
        <v/>
      </c>
    </row>
    <row r="184" spans="2:5">
      <c r="B184" s="45" t="str">
        <f>IF(Ingreso!K188="","",Ingreso!K188)</f>
        <v/>
      </c>
      <c r="C184" s="45" t="str">
        <f>IF(Ingreso!L188="","",Ingreso!L188)</f>
        <v/>
      </c>
      <c r="D184" s="78" t="str">
        <f>IF(Ingreso!AU188="","",Ingreso!AU188)</f>
        <v/>
      </c>
      <c r="E184" s="78" t="str">
        <f>IF(B184="","",VLOOKUP(B184,#REF!,2,FALSE)/60)</f>
        <v/>
      </c>
    </row>
    <row r="185" spans="2:5">
      <c r="B185" s="45" t="str">
        <f>IF(Ingreso!K189="","",Ingreso!K189)</f>
        <v/>
      </c>
      <c r="C185" s="45" t="str">
        <f>IF(Ingreso!L189="","",Ingreso!L189)</f>
        <v/>
      </c>
      <c r="D185" s="78" t="str">
        <f>IF(Ingreso!AU189="","",Ingreso!AU189)</f>
        <v/>
      </c>
      <c r="E185" s="78" t="str">
        <f>IF(B185="","",VLOOKUP(B185,#REF!,2,FALSE)/60)</f>
        <v/>
      </c>
    </row>
    <row r="186" spans="2:5">
      <c r="B186" s="45" t="str">
        <f>IF(Ingreso!K190="","",Ingreso!K190)</f>
        <v/>
      </c>
      <c r="C186" s="45" t="str">
        <f>IF(Ingreso!L190="","",Ingreso!L190)</f>
        <v/>
      </c>
      <c r="D186" s="78" t="str">
        <f>IF(Ingreso!AU190="","",Ingreso!AU190)</f>
        <v/>
      </c>
      <c r="E186" s="78" t="str">
        <f>IF(B186="","",VLOOKUP(B186,#REF!,2,FALSE)/60)</f>
        <v/>
      </c>
    </row>
    <row r="187" spans="2:5">
      <c r="B187" s="45" t="str">
        <f>IF(Ingreso!K191="","",Ingreso!K191)</f>
        <v/>
      </c>
      <c r="C187" s="45" t="str">
        <f>IF(Ingreso!L191="","",Ingreso!L191)</f>
        <v/>
      </c>
      <c r="D187" s="78" t="str">
        <f>IF(Ingreso!AU191="","",Ingreso!AU191)</f>
        <v/>
      </c>
      <c r="E187" s="78" t="str">
        <f>IF(B187="","",VLOOKUP(B187,#REF!,2,FALSE)/60)</f>
        <v/>
      </c>
    </row>
    <row r="188" spans="2:5">
      <c r="B188" s="45" t="str">
        <f>IF(Ingreso!K192="","",Ingreso!K192)</f>
        <v/>
      </c>
      <c r="C188" s="45" t="str">
        <f>IF(Ingreso!L192="","",Ingreso!L192)</f>
        <v/>
      </c>
      <c r="D188" s="78" t="str">
        <f>IF(Ingreso!AU192="","",Ingreso!AU192)</f>
        <v/>
      </c>
      <c r="E188" s="78" t="str">
        <f>IF(B188="","",VLOOKUP(B188,#REF!,2,FALSE)/60)</f>
        <v/>
      </c>
    </row>
    <row r="189" spans="2:5">
      <c r="B189" s="45" t="str">
        <f>IF(Ingreso!K193="","",Ingreso!K193)</f>
        <v/>
      </c>
      <c r="C189" s="45" t="str">
        <f>IF(Ingreso!L193="","",Ingreso!L193)</f>
        <v/>
      </c>
      <c r="D189" s="78" t="str">
        <f>IF(Ingreso!AU193="","",Ingreso!AU193)</f>
        <v/>
      </c>
      <c r="E189" s="78" t="str">
        <f>IF(B189="","",VLOOKUP(B189,#REF!,2,FALSE)/60)</f>
        <v/>
      </c>
    </row>
    <row r="190" spans="2:5">
      <c r="B190" s="45" t="str">
        <f>IF(Ingreso!K194="","",Ingreso!K194)</f>
        <v/>
      </c>
      <c r="C190" s="45" t="str">
        <f>IF(Ingreso!L194="","",Ingreso!L194)</f>
        <v/>
      </c>
      <c r="D190" s="78" t="str">
        <f>IF(Ingreso!AU194="","",Ingreso!AU194)</f>
        <v/>
      </c>
      <c r="E190" s="78" t="str">
        <f>IF(B190="","",VLOOKUP(B190,#REF!,2,FALSE)/60)</f>
        <v/>
      </c>
    </row>
    <row r="191" spans="2:5">
      <c r="B191" s="45" t="str">
        <f>IF(Ingreso!K195="","",Ingreso!K195)</f>
        <v/>
      </c>
      <c r="C191" s="45" t="str">
        <f>IF(Ingreso!L195="","",Ingreso!L195)</f>
        <v/>
      </c>
      <c r="D191" s="78" t="str">
        <f>IF(Ingreso!AU195="","",Ingreso!AU195)</f>
        <v/>
      </c>
      <c r="E191" s="78" t="str">
        <f>IF(B191="","",VLOOKUP(B191,#REF!,2,FALSE)/60)</f>
        <v/>
      </c>
    </row>
    <row r="192" spans="2:5">
      <c r="B192" s="45" t="str">
        <f>IF(Ingreso!K196="","",Ingreso!K196)</f>
        <v/>
      </c>
      <c r="C192" s="45" t="str">
        <f>IF(Ingreso!L196="","",Ingreso!L196)</f>
        <v/>
      </c>
      <c r="D192" s="78" t="str">
        <f>IF(Ingreso!AU196="","",Ingreso!AU196)</f>
        <v/>
      </c>
      <c r="E192" s="78" t="str">
        <f>IF(B192="","",VLOOKUP(B192,#REF!,2,FALSE)/60)</f>
        <v/>
      </c>
    </row>
    <row r="193" spans="2:5">
      <c r="B193" s="45" t="str">
        <f>IF(Ingreso!K197="","",Ingreso!K197)</f>
        <v/>
      </c>
      <c r="C193" s="45" t="str">
        <f>IF(Ingreso!L197="","",Ingreso!L197)</f>
        <v/>
      </c>
      <c r="D193" s="78" t="str">
        <f>IF(Ingreso!AU197="","",Ingreso!AU197)</f>
        <v/>
      </c>
      <c r="E193" s="78" t="str">
        <f>IF(B193="","",VLOOKUP(B193,#REF!,2,FALSE)/60)</f>
        <v/>
      </c>
    </row>
    <row r="194" spans="2:5">
      <c r="B194" s="45" t="str">
        <f>IF(Ingreso!K198="","",Ingreso!K198)</f>
        <v/>
      </c>
      <c r="C194" s="45" t="str">
        <f>IF(Ingreso!L198="","",Ingreso!L198)</f>
        <v/>
      </c>
      <c r="D194" s="78" t="str">
        <f>IF(Ingreso!AU198="","",Ingreso!AU198)</f>
        <v/>
      </c>
      <c r="E194" s="78" t="str">
        <f>IF(B194="","",VLOOKUP(B194,#REF!,2,FALSE)/60)</f>
        <v/>
      </c>
    </row>
    <row r="195" spans="2:5">
      <c r="B195" s="45" t="str">
        <f>IF(Ingreso!K199="","",Ingreso!K199)</f>
        <v/>
      </c>
      <c r="C195" s="45" t="str">
        <f>IF(Ingreso!L199="","",Ingreso!L199)</f>
        <v/>
      </c>
      <c r="D195" s="78" t="str">
        <f>IF(Ingreso!AU199="","",Ingreso!AU199)</f>
        <v/>
      </c>
      <c r="E195" s="78" t="str">
        <f>IF(B195="","",VLOOKUP(B195,#REF!,2,FALSE)/60)</f>
        <v/>
      </c>
    </row>
    <row r="196" spans="2:5">
      <c r="B196" s="45" t="str">
        <f>IF(Ingreso!K200="","",Ingreso!K200)</f>
        <v/>
      </c>
      <c r="C196" s="45" t="str">
        <f>IF(Ingreso!L200="","",Ingreso!L200)</f>
        <v/>
      </c>
      <c r="D196" s="78" t="str">
        <f>IF(Ingreso!AU200="","",Ingreso!AU200)</f>
        <v/>
      </c>
      <c r="E196" s="78" t="str">
        <f>IF(B196="","",VLOOKUP(B196,#REF!,2,FALSE)/60)</f>
        <v/>
      </c>
    </row>
    <row r="197" spans="2:5">
      <c r="B197" s="45" t="str">
        <f>IF(Ingreso!K201="","",Ingreso!K201)</f>
        <v/>
      </c>
      <c r="C197" s="45" t="str">
        <f>IF(Ingreso!L201="","",Ingreso!L201)</f>
        <v/>
      </c>
      <c r="D197" s="78" t="str">
        <f>IF(Ingreso!AU201="","",Ingreso!AU201)</f>
        <v/>
      </c>
      <c r="E197" s="78" t="str">
        <f>IF(B197="","",VLOOKUP(B197,#REF!,2,FALSE)/60)</f>
        <v/>
      </c>
    </row>
    <row r="198" spans="2:5">
      <c r="B198" s="45" t="str">
        <f>IF(Ingreso!K202="","",Ingreso!K202)</f>
        <v/>
      </c>
      <c r="C198" s="45" t="str">
        <f>IF(Ingreso!L202="","",Ingreso!L202)</f>
        <v/>
      </c>
      <c r="D198" s="78" t="str">
        <f>IF(Ingreso!AU202="","",Ingreso!AU202)</f>
        <v/>
      </c>
      <c r="E198" s="78" t="str">
        <f>IF(B198="","",VLOOKUP(B198,#REF!,2,FALSE)/60)</f>
        <v/>
      </c>
    </row>
    <row r="199" spans="2:5">
      <c r="B199" s="45" t="str">
        <f>IF(Ingreso!K203="","",Ingreso!K203)</f>
        <v/>
      </c>
      <c r="C199" s="45" t="str">
        <f>IF(Ingreso!L203="","",Ingreso!L203)</f>
        <v/>
      </c>
      <c r="D199" s="78" t="str">
        <f>IF(Ingreso!AU203="","",Ingreso!AU203)</f>
        <v/>
      </c>
      <c r="E199" s="78" t="str">
        <f>IF(B199="","",VLOOKUP(B199,#REF!,2,FALSE)/60)</f>
        <v/>
      </c>
    </row>
    <row r="200" spans="2:5">
      <c r="B200" s="45" t="str">
        <f>IF(Ingreso!K204="","",Ingreso!K204)</f>
        <v/>
      </c>
      <c r="C200" s="45" t="str">
        <f>IF(Ingreso!L204="","",Ingreso!L204)</f>
        <v/>
      </c>
      <c r="D200" s="78" t="str">
        <f>IF(Ingreso!AU204="","",Ingreso!AU204)</f>
        <v/>
      </c>
      <c r="E200" s="78" t="str">
        <f>IF(B200="","",VLOOKUP(B200,#REF!,2,FALSE)/60)</f>
        <v/>
      </c>
    </row>
    <row r="201" spans="2:5">
      <c r="B201" s="45" t="str">
        <f>IF(Ingreso!K205="","",Ingreso!K205)</f>
        <v/>
      </c>
      <c r="C201" s="45" t="str">
        <f>IF(Ingreso!L205="","",Ingreso!L205)</f>
        <v/>
      </c>
      <c r="D201" s="78" t="str">
        <f>IF(Ingreso!AU205="","",Ingreso!AU205)</f>
        <v/>
      </c>
      <c r="E201" s="78" t="str">
        <f>IF(B201="","",VLOOKUP(B201,#REF!,2,FALSE)/60)</f>
        <v/>
      </c>
    </row>
    <row r="202" spans="2:5">
      <c r="B202" s="45" t="str">
        <f>IF(Ingreso!K206="","",Ingreso!K206)</f>
        <v/>
      </c>
      <c r="C202" s="45" t="str">
        <f>IF(Ingreso!L206="","",Ingreso!L206)</f>
        <v/>
      </c>
      <c r="D202" s="78" t="str">
        <f>IF(Ingreso!AU206="","",Ingreso!AU206)</f>
        <v/>
      </c>
      <c r="E202" s="78" t="str">
        <f>IF(B202="","",VLOOKUP(B202,#REF!,2,FALSE)/60)</f>
        <v/>
      </c>
    </row>
    <row r="203" spans="2:5">
      <c r="B203" s="45" t="str">
        <f>IF(Ingreso!K207="","",Ingreso!K207)</f>
        <v/>
      </c>
      <c r="C203" s="45" t="str">
        <f>IF(Ingreso!L207="","",Ingreso!L207)</f>
        <v/>
      </c>
      <c r="D203" s="78" t="str">
        <f>IF(Ingreso!AU207="","",Ingreso!AU207)</f>
        <v/>
      </c>
      <c r="E203" s="78" t="str">
        <f>IF(B203="","",VLOOKUP(B203,#REF!,2,FALSE)/60)</f>
        <v/>
      </c>
    </row>
    <row r="204" spans="2:5">
      <c r="B204" s="45" t="str">
        <f>IF(Ingreso!K208="","",Ingreso!K208)</f>
        <v/>
      </c>
      <c r="C204" s="45" t="str">
        <f>IF(Ingreso!L208="","",Ingreso!L208)</f>
        <v/>
      </c>
      <c r="D204" s="78" t="str">
        <f>IF(Ingreso!AU208="","",Ingreso!AU208)</f>
        <v/>
      </c>
      <c r="E204" s="78" t="str">
        <f>IF(B204="","",VLOOKUP(B204,#REF!,2,FALSE)/60)</f>
        <v/>
      </c>
    </row>
    <row r="205" spans="2:5">
      <c r="B205" s="45" t="str">
        <f>IF(Ingreso!K209="","",Ingreso!K209)</f>
        <v/>
      </c>
      <c r="C205" s="45" t="str">
        <f>IF(Ingreso!L209="","",Ingreso!L209)</f>
        <v/>
      </c>
      <c r="D205" s="78" t="str">
        <f>IF(Ingreso!AU209="","",Ingreso!AU209)</f>
        <v/>
      </c>
      <c r="E205" s="78" t="str">
        <f>IF(B205="","",VLOOKUP(B205,#REF!,2,FALSE)/60)</f>
        <v/>
      </c>
    </row>
    <row r="206" spans="2:5">
      <c r="B206" s="45" t="str">
        <f>IF(Ingreso!K210="","",Ingreso!K210)</f>
        <v/>
      </c>
      <c r="C206" s="45" t="str">
        <f>IF(Ingreso!L210="","",Ingreso!L210)</f>
        <v/>
      </c>
      <c r="D206" s="78" t="str">
        <f>IF(Ingreso!AU210="","",Ingreso!AU210)</f>
        <v/>
      </c>
      <c r="E206" s="78" t="str">
        <f>IF(B206="","",VLOOKUP(B206,#REF!,2,FALSE)/60)</f>
        <v/>
      </c>
    </row>
    <row r="207" spans="2:5">
      <c r="B207" s="45" t="str">
        <f>IF(Ingreso!K211="","",Ingreso!K211)</f>
        <v/>
      </c>
      <c r="C207" s="45" t="str">
        <f>IF(Ingreso!L211="","",Ingreso!L211)</f>
        <v/>
      </c>
      <c r="D207" s="78" t="str">
        <f>IF(Ingreso!AU211="","",Ingreso!AU211)</f>
        <v/>
      </c>
      <c r="E207" s="78" t="str">
        <f>IF(B207="","",VLOOKUP(B207,#REF!,2,FALSE)/60)</f>
        <v/>
      </c>
    </row>
    <row r="208" spans="2:5">
      <c r="B208" s="45" t="str">
        <f>IF(Ingreso!K212="","",Ingreso!K212)</f>
        <v/>
      </c>
      <c r="C208" s="45" t="str">
        <f>IF(Ingreso!L212="","",Ingreso!L212)</f>
        <v/>
      </c>
      <c r="D208" s="78" t="str">
        <f>IF(Ingreso!AU212="","",Ingreso!AU212)</f>
        <v/>
      </c>
      <c r="E208" s="78" t="str">
        <f>IF(B208="","",VLOOKUP(B208,#REF!,2,FALSE)/60)</f>
        <v/>
      </c>
    </row>
    <row r="209" spans="2:5">
      <c r="B209" s="45" t="str">
        <f>IF(Ingreso!K213="","",Ingreso!K213)</f>
        <v/>
      </c>
      <c r="C209" s="45" t="str">
        <f>IF(Ingreso!L213="","",Ingreso!L213)</f>
        <v/>
      </c>
      <c r="D209" s="78" t="str">
        <f>IF(Ingreso!AU213="","",Ingreso!AU213)</f>
        <v/>
      </c>
      <c r="E209" s="78" t="str">
        <f>IF(B209="","",VLOOKUP(B209,#REF!,2,FALSE)/60)</f>
        <v/>
      </c>
    </row>
    <row r="210" spans="2:5">
      <c r="B210" s="45" t="str">
        <f>IF(Ingreso!K214="","",Ingreso!K214)</f>
        <v/>
      </c>
      <c r="C210" s="45" t="str">
        <f>IF(Ingreso!L214="","",Ingreso!L214)</f>
        <v/>
      </c>
      <c r="D210" s="78" t="str">
        <f>IF(Ingreso!AU214="","",Ingreso!AU214)</f>
        <v/>
      </c>
      <c r="E210" s="78" t="str">
        <f>IF(B210="","",VLOOKUP(B210,#REF!,2,FALSE)/60)</f>
        <v/>
      </c>
    </row>
    <row r="211" spans="2:5">
      <c r="B211" s="45" t="str">
        <f>IF(Ingreso!K215="","",Ingreso!K215)</f>
        <v/>
      </c>
      <c r="C211" s="45" t="str">
        <f>IF(Ingreso!L215="","",Ingreso!L215)</f>
        <v/>
      </c>
      <c r="D211" s="78" t="str">
        <f>IF(Ingreso!AU215="","",Ingreso!AU215)</f>
        <v/>
      </c>
      <c r="E211" s="78" t="str">
        <f>IF(B211="","",VLOOKUP(B211,#REF!,2,FALSE)/60)</f>
        <v/>
      </c>
    </row>
    <row r="212" spans="2:5">
      <c r="B212" s="45" t="str">
        <f>IF(Ingreso!K216="","",Ingreso!K216)</f>
        <v/>
      </c>
      <c r="C212" s="45" t="str">
        <f>IF(Ingreso!L216="","",Ingreso!L216)</f>
        <v/>
      </c>
      <c r="D212" s="78" t="str">
        <f>IF(Ingreso!AU216="","",Ingreso!AU216)</f>
        <v/>
      </c>
      <c r="E212" s="78" t="str">
        <f>IF(B212="","",VLOOKUP(B212,#REF!,2,FALSE)/60)</f>
        <v/>
      </c>
    </row>
    <row r="213" spans="2:5">
      <c r="B213" s="45" t="str">
        <f>IF(Ingreso!K217="","",Ingreso!K217)</f>
        <v/>
      </c>
      <c r="C213" s="45" t="str">
        <f>IF(Ingreso!L217="","",Ingreso!L217)</f>
        <v/>
      </c>
      <c r="D213" s="78" t="str">
        <f>IF(Ingreso!AU217="","",Ingreso!AU217)</f>
        <v/>
      </c>
      <c r="E213" s="78" t="str">
        <f>IF(B213="","",VLOOKUP(B213,#REF!,2,FALSE)/60)</f>
        <v/>
      </c>
    </row>
    <row r="214" spans="2:5">
      <c r="B214" s="45" t="str">
        <f>IF(Ingreso!K218="","",Ingreso!K218)</f>
        <v/>
      </c>
      <c r="C214" s="45" t="str">
        <f>IF(Ingreso!L218="","",Ingreso!L218)</f>
        <v/>
      </c>
      <c r="D214" s="78" t="str">
        <f>IF(Ingreso!AU218="","",Ingreso!AU218)</f>
        <v/>
      </c>
      <c r="E214" s="78" t="str">
        <f>IF(B214="","",VLOOKUP(B214,#REF!,2,FALSE)/60)</f>
        <v/>
      </c>
    </row>
    <row r="215" spans="2:5">
      <c r="B215" s="45" t="str">
        <f>IF(Ingreso!K219="","",Ingreso!K219)</f>
        <v/>
      </c>
      <c r="C215" s="45" t="str">
        <f>IF(Ingreso!L219="","",Ingreso!L219)</f>
        <v/>
      </c>
      <c r="D215" s="78" t="str">
        <f>IF(Ingreso!AU219="","",Ingreso!AU219)</f>
        <v/>
      </c>
      <c r="E215" s="78" t="str">
        <f>IF(B215="","",VLOOKUP(B215,#REF!,2,FALSE)/60)</f>
        <v/>
      </c>
    </row>
    <row r="216" spans="2:5">
      <c r="B216" s="45" t="str">
        <f>IF(Ingreso!K220="","",Ingreso!K220)</f>
        <v/>
      </c>
      <c r="C216" s="45" t="str">
        <f>IF(Ingreso!L220="","",Ingreso!L220)</f>
        <v/>
      </c>
      <c r="D216" s="78" t="str">
        <f>IF(Ingreso!AU220="","",Ingreso!AU220)</f>
        <v/>
      </c>
      <c r="E216" s="78" t="str">
        <f>IF(B216="","",VLOOKUP(B216,#REF!,2,FALSE)/60)</f>
        <v/>
      </c>
    </row>
    <row r="217" spans="2:5">
      <c r="B217" s="45" t="str">
        <f>IF(Ingreso!K221="","",Ingreso!K221)</f>
        <v/>
      </c>
      <c r="C217" s="45" t="str">
        <f>IF(Ingreso!L221="","",Ingreso!L221)</f>
        <v/>
      </c>
      <c r="D217" s="78" t="str">
        <f>IF(Ingreso!AU221="","",Ingreso!AU221)</f>
        <v/>
      </c>
      <c r="E217" s="78" t="str">
        <f>IF(B217="","",VLOOKUP(B217,#REF!,2,FALSE)/60)</f>
        <v/>
      </c>
    </row>
    <row r="218" spans="2:5">
      <c r="B218" s="45" t="str">
        <f>IF(Ingreso!K222="","",Ingreso!K222)</f>
        <v/>
      </c>
      <c r="C218" s="45" t="str">
        <f>IF(Ingreso!L222="","",Ingreso!L222)</f>
        <v/>
      </c>
      <c r="D218" s="78" t="str">
        <f>IF(Ingreso!AU222="","",Ingreso!AU222)</f>
        <v/>
      </c>
      <c r="E218" s="78" t="str">
        <f>IF(B218="","",VLOOKUP(B218,#REF!,2,FALSE)/60)</f>
        <v/>
      </c>
    </row>
    <row r="219" spans="2:5">
      <c r="B219" s="45" t="str">
        <f>IF(Ingreso!K223="","",Ingreso!K223)</f>
        <v/>
      </c>
      <c r="C219" s="45" t="str">
        <f>IF(Ingreso!L223="","",Ingreso!L223)</f>
        <v/>
      </c>
      <c r="D219" s="78" t="str">
        <f>IF(Ingreso!AU223="","",Ingreso!AU223)</f>
        <v/>
      </c>
      <c r="E219" s="78" t="str">
        <f>IF(B219="","",VLOOKUP(B219,#REF!,2,FALSE)/60)</f>
        <v/>
      </c>
    </row>
    <row r="220" spans="2:5">
      <c r="B220" s="45" t="str">
        <f>IF(Ingreso!K224="","",Ingreso!K224)</f>
        <v/>
      </c>
      <c r="C220" s="45" t="str">
        <f>IF(Ingreso!L224="","",Ingreso!L224)</f>
        <v/>
      </c>
      <c r="D220" s="78" t="str">
        <f>IF(Ingreso!AU224="","",Ingreso!AU224)</f>
        <v/>
      </c>
      <c r="E220" s="78" t="str">
        <f>IF(B220="","",VLOOKUP(B220,#REF!,2,FALSE)/60)</f>
        <v/>
      </c>
    </row>
    <row r="221" spans="2:5">
      <c r="B221" s="45" t="str">
        <f>IF(Ingreso!K225="","",Ingreso!K225)</f>
        <v/>
      </c>
      <c r="C221" s="45" t="str">
        <f>IF(Ingreso!L225="","",Ingreso!L225)</f>
        <v/>
      </c>
      <c r="D221" s="78" t="str">
        <f>IF(Ingreso!AU225="","",Ingreso!AU225)</f>
        <v/>
      </c>
      <c r="E221" s="78" t="str">
        <f>IF(B221="","",VLOOKUP(B221,#REF!,2,FALSE)/60)</f>
        <v/>
      </c>
    </row>
    <row r="222" spans="2:5">
      <c r="B222" s="45" t="str">
        <f>IF(Ingreso!K226="","",Ingreso!K226)</f>
        <v/>
      </c>
      <c r="C222" s="45" t="str">
        <f>IF(Ingreso!L226="","",Ingreso!L226)</f>
        <v/>
      </c>
      <c r="D222" s="78" t="str">
        <f>IF(Ingreso!AU226="","",Ingreso!AU226)</f>
        <v/>
      </c>
      <c r="E222" s="78" t="str">
        <f>IF(B222="","",VLOOKUP(B222,#REF!,2,FALSE)/60)</f>
        <v/>
      </c>
    </row>
    <row r="223" spans="2:5">
      <c r="B223" s="45" t="str">
        <f>IF(Ingreso!K227="","",Ingreso!K227)</f>
        <v/>
      </c>
      <c r="C223" s="45" t="str">
        <f>IF(Ingreso!L227="","",Ingreso!L227)</f>
        <v/>
      </c>
      <c r="D223" s="78" t="str">
        <f>IF(Ingreso!AU227="","",Ingreso!AU227)</f>
        <v/>
      </c>
      <c r="E223" s="78" t="str">
        <f>IF(B223="","",VLOOKUP(B223,#REF!,2,FALSE)/60)</f>
        <v/>
      </c>
    </row>
    <row r="224" spans="2:5">
      <c r="B224" s="45" t="str">
        <f>IF(Ingreso!K228="","",Ingreso!K228)</f>
        <v/>
      </c>
      <c r="C224" s="45" t="str">
        <f>IF(Ingreso!L228="","",Ingreso!L228)</f>
        <v/>
      </c>
      <c r="D224" s="78" t="str">
        <f>IF(Ingreso!AU228="","",Ingreso!AU228)</f>
        <v/>
      </c>
      <c r="E224" s="78" t="str">
        <f>IF(B224="","",VLOOKUP(B224,#REF!,2,FALSE)/60)</f>
        <v/>
      </c>
    </row>
    <row r="225" spans="2:5">
      <c r="B225" s="45" t="str">
        <f>IF(Ingreso!K229="","",Ingreso!K229)</f>
        <v/>
      </c>
      <c r="C225" s="45" t="str">
        <f>IF(Ingreso!L229="","",Ingreso!L229)</f>
        <v/>
      </c>
      <c r="D225" s="78" t="str">
        <f>IF(Ingreso!AU229="","",Ingreso!AU229)</f>
        <v/>
      </c>
      <c r="E225" s="78" t="str">
        <f>IF(B225="","",VLOOKUP(B225,#REF!,2,FALSE)/60)</f>
        <v/>
      </c>
    </row>
    <row r="226" spans="2:5">
      <c r="B226" s="45" t="str">
        <f>IF(Ingreso!K230="","",Ingreso!K230)</f>
        <v/>
      </c>
      <c r="C226" s="45" t="str">
        <f>IF(Ingreso!L230="","",Ingreso!L230)</f>
        <v/>
      </c>
      <c r="D226" s="78" t="str">
        <f>IF(Ingreso!AU230="","",Ingreso!AU230)</f>
        <v/>
      </c>
      <c r="E226" s="78" t="str">
        <f>IF(B226="","",VLOOKUP(B226,#REF!,2,FALSE)/60)</f>
        <v/>
      </c>
    </row>
    <row r="227" spans="2:5">
      <c r="B227" s="45" t="str">
        <f>IF(Ingreso!K231="","",Ingreso!K231)</f>
        <v/>
      </c>
      <c r="C227" s="45" t="str">
        <f>IF(Ingreso!L231="","",Ingreso!L231)</f>
        <v/>
      </c>
      <c r="D227" s="78" t="str">
        <f>IF(Ingreso!AU231="","",Ingreso!AU231)</f>
        <v/>
      </c>
      <c r="E227" s="78" t="str">
        <f>IF(B227="","",VLOOKUP(B227,#REF!,2,FALSE)/60)</f>
        <v/>
      </c>
    </row>
    <row r="228" spans="2:5">
      <c r="B228" s="45" t="str">
        <f>IF(Ingreso!K232="","",Ingreso!K232)</f>
        <v/>
      </c>
      <c r="C228" s="45" t="str">
        <f>IF(Ingreso!L232="","",Ingreso!L232)</f>
        <v/>
      </c>
      <c r="D228" s="78" t="str">
        <f>IF(Ingreso!AU232="","",Ingreso!AU232)</f>
        <v/>
      </c>
      <c r="E228" s="78" t="str">
        <f>IF(B228="","",VLOOKUP(B228,#REF!,2,FALSE)/60)</f>
        <v/>
      </c>
    </row>
    <row r="229" spans="2:5">
      <c r="B229" s="45" t="str">
        <f>IF(Ingreso!K233="","",Ingreso!K233)</f>
        <v/>
      </c>
      <c r="C229" s="45" t="str">
        <f>IF(Ingreso!L233="","",Ingreso!L233)</f>
        <v/>
      </c>
      <c r="D229" s="78" t="str">
        <f>IF(Ingreso!AU233="","",Ingreso!AU233)</f>
        <v/>
      </c>
      <c r="E229" s="78" t="str">
        <f>IF(B229="","",VLOOKUP(B229,#REF!,2,FALSE)/60)</f>
        <v/>
      </c>
    </row>
    <row r="230" spans="2:5">
      <c r="B230" s="45" t="str">
        <f>IF(Ingreso!K234="","",Ingreso!K234)</f>
        <v/>
      </c>
      <c r="C230" s="45" t="str">
        <f>IF(Ingreso!L234="","",Ingreso!L234)</f>
        <v/>
      </c>
      <c r="D230" s="78" t="str">
        <f>IF(Ingreso!AU234="","",Ingreso!AU234)</f>
        <v/>
      </c>
      <c r="E230" s="78" t="str">
        <f>IF(B230="","",VLOOKUP(B230,#REF!,2,FALSE)/60)</f>
        <v/>
      </c>
    </row>
    <row r="231" spans="2:5">
      <c r="B231" s="45" t="str">
        <f>IF(Ingreso!K235="","",Ingreso!K235)</f>
        <v/>
      </c>
      <c r="C231" s="45" t="str">
        <f>IF(Ingreso!L235="","",Ingreso!L235)</f>
        <v/>
      </c>
      <c r="D231" s="78" t="str">
        <f>IF(Ingreso!AU235="","",Ingreso!AU235)</f>
        <v/>
      </c>
      <c r="E231" s="78" t="str">
        <f>IF(B231="","",VLOOKUP(B231,#REF!,2,FALSE)/60)</f>
        <v/>
      </c>
    </row>
    <row r="232" spans="2:5">
      <c r="B232" s="45" t="str">
        <f>IF(Ingreso!K236="","",Ingreso!K236)</f>
        <v/>
      </c>
      <c r="C232" s="45" t="str">
        <f>IF(Ingreso!L236="","",Ingreso!L236)</f>
        <v/>
      </c>
      <c r="D232" s="78" t="str">
        <f>IF(Ingreso!AU236="","",Ingreso!AU236)</f>
        <v/>
      </c>
      <c r="E232" s="78" t="str">
        <f>IF(B232="","",VLOOKUP(B232,#REF!,2,FALSE)/60)</f>
        <v/>
      </c>
    </row>
    <row r="233" spans="2:5">
      <c r="B233" s="45" t="str">
        <f>IF(Ingreso!K237="","",Ingreso!K237)</f>
        <v/>
      </c>
      <c r="C233" s="45" t="str">
        <f>IF(Ingreso!L237="","",Ingreso!L237)</f>
        <v/>
      </c>
      <c r="D233" s="78" t="str">
        <f>IF(Ingreso!AU237="","",Ingreso!AU237)</f>
        <v/>
      </c>
      <c r="E233" s="78" t="str">
        <f>IF(B233="","",VLOOKUP(B233,#REF!,2,FALSE)/60)</f>
        <v/>
      </c>
    </row>
    <row r="234" spans="2:5">
      <c r="B234" s="45" t="str">
        <f>IF(Ingreso!K238="","",Ingreso!K238)</f>
        <v/>
      </c>
      <c r="C234" s="45" t="str">
        <f>IF(Ingreso!L238="","",Ingreso!L238)</f>
        <v/>
      </c>
      <c r="D234" s="78" t="str">
        <f>IF(Ingreso!AU238="","",Ingreso!AU238)</f>
        <v/>
      </c>
      <c r="E234" s="78" t="str">
        <f>IF(B234="","",VLOOKUP(B234,#REF!,2,FALSE)/60)</f>
        <v/>
      </c>
    </row>
    <row r="235" spans="2:5">
      <c r="B235" s="45" t="str">
        <f>IF(Ingreso!K239="","",Ingreso!K239)</f>
        <v/>
      </c>
      <c r="C235" s="45" t="str">
        <f>IF(Ingreso!L239="","",Ingreso!L239)</f>
        <v/>
      </c>
      <c r="D235" s="78" t="str">
        <f>IF(Ingreso!AU239="","",Ingreso!AU239)</f>
        <v/>
      </c>
      <c r="E235" s="78" t="str">
        <f>IF(B235="","",VLOOKUP(B235,#REF!,2,FALSE)/60)</f>
        <v/>
      </c>
    </row>
    <row r="236" spans="2:5">
      <c r="B236" s="45" t="str">
        <f>IF(Ingreso!K240="","",Ingreso!K240)</f>
        <v/>
      </c>
      <c r="C236" s="45" t="str">
        <f>IF(Ingreso!L240="","",Ingreso!L240)</f>
        <v/>
      </c>
      <c r="D236" s="78" t="str">
        <f>IF(Ingreso!AU240="","",Ingreso!AU240)</f>
        <v/>
      </c>
      <c r="E236" s="78" t="str">
        <f>IF(B236="","",VLOOKUP(B236,#REF!,2,FALSE)/60)</f>
        <v/>
      </c>
    </row>
    <row r="237" spans="2:5">
      <c r="B237" s="45" t="str">
        <f>IF(Ingreso!K241="","",Ingreso!K241)</f>
        <v/>
      </c>
      <c r="C237" s="45" t="str">
        <f>IF(Ingreso!L241="","",Ingreso!L241)</f>
        <v/>
      </c>
      <c r="D237" s="78" t="str">
        <f>IF(Ingreso!AU241="","",Ingreso!AU241)</f>
        <v/>
      </c>
      <c r="E237" s="78" t="str">
        <f>IF(B237="","",VLOOKUP(B237,#REF!,2,FALSE)/60)</f>
        <v/>
      </c>
    </row>
    <row r="238" spans="2:5">
      <c r="B238" s="45" t="str">
        <f>IF(Ingreso!K242="","",Ingreso!K242)</f>
        <v/>
      </c>
      <c r="C238" s="45" t="str">
        <f>IF(Ingreso!L242="","",Ingreso!L242)</f>
        <v/>
      </c>
      <c r="D238" s="78" t="str">
        <f>IF(Ingreso!AU242="","",Ingreso!AU242)</f>
        <v/>
      </c>
      <c r="E238" s="78" t="str">
        <f>IF(B238="","",VLOOKUP(B238,#REF!,2,FALSE)/60)</f>
        <v/>
      </c>
    </row>
    <row r="239" spans="2:5">
      <c r="B239" s="45" t="str">
        <f>IF(Ingreso!K243="","",Ingreso!K243)</f>
        <v/>
      </c>
      <c r="C239" s="45" t="str">
        <f>IF(Ingreso!L243="","",Ingreso!L243)</f>
        <v/>
      </c>
      <c r="D239" s="78" t="str">
        <f>IF(Ingreso!AU243="","",Ingreso!AU243)</f>
        <v/>
      </c>
      <c r="E239" s="78" t="str">
        <f>IF(B239="","",VLOOKUP(B239,#REF!,2,FALSE)/60)</f>
        <v/>
      </c>
    </row>
    <row r="240" spans="2:5">
      <c r="B240" s="45" t="str">
        <f>IF(Ingreso!K244="","",Ingreso!K244)</f>
        <v/>
      </c>
      <c r="C240" s="45" t="str">
        <f>IF(Ingreso!L244="","",Ingreso!L244)</f>
        <v/>
      </c>
      <c r="D240" s="78" t="str">
        <f>IF(Ingreso!AU244="","",Ingreso!AU244)</f>
        <v/>
      </c>
      <c r="E240" s="78" t="str">
        <f>IF(B240="","",VLOOKUP(B240,#REF!,2,FALSE)/60)</f>
        <v/>
      </c>
    </row>
    <row r="241" spans="2:5">
      <c r="B241" s="45" t="str">
        <f>IF(Ingreso!K245="","",Ingreso!K245)</f>
        <v/>
      </c>
      <c r="C241" s="45" t="str">
        <f>IF(Ingreso!L245="","",Ingreso!L245)</f>
        <v/>
      </c>
      <c r="D241" s="78" t="str">
        <f>IF(Ingreso!AU245="","",Ingreso!AU245)</f>
        <v/>
      </c>
      <c r="E241" s="78" t="str">
        <f>IF(B241="","",VLOOKUP(B241,#REF!,2,FALSE)/60)</f>
        <v/>
      </c>
    </row>
    <row r="242" spans="2:5">
      <c r="B242" s="45" t="str">
        <f>IF(Ingreso!K246="","",Ingreso!K246)</f>
        <v/>
      </c>
      <c r="C242" s="45" t="str">
        <f>IF(Ingreso!L246="","",Ingreso!L246)</f>
        <v/>
      </c>
      <c r="D242" s="78" t="str">
        <f>IF(Ingreso!AU246="","",Ingreso!AU246)</f>
        <v/>
      </c>
      <c r="E242" s="78" t="str">
        <f>IF(B242="","",VLOOKUP(B242,#REF!,2,FALSE)/60)</f>
        <v/>
      </c>
    </row>
    <row r="243" spans="2:5">
      <c r="B243" s="45" t="str">
        <f>IF(Ingreso!K247="","",Ingreso!K247)</f>
        <v/>
      </c>
      <c r="C243" s="45" t="str">
        <f>IF(Ingreso!L247="","",Ingreso!L247)</f>
        <v/>
      </c>
      <c r="D243" s="78" t="str">
        <f>IF(Ingreso!AU247="","",Ingreso!AU247)</f>
        <v/>
      </c>
      <c r="E243" s="78" t="str">
        <f>IF(B243="","",VLOOKUP(B243,#REF!,2,FALSE)/60)</f>
        <v/>
      </c>
    </row>
    <row r="244" spans="2:5">
      <c r="B244" s="45" t="str">
        <f>IF(Ingreso!K248="","",Ingreso!K248)</f>
        <v/>
      </c>
      <c r="C244" s="45" t="str">
        <f>IF(Ingreso!L248="","",Ingreso!L248)</f>
        <v/>
      </c>
      <c r="D244" s="78" t="str">
        <f>IF(Ingreso!AU248="","",Ingreso!AU248)</f>
        <v/>
      </c>
      <c r="E244" s="78" t="str">
        <f>IF(B244="","",VLOOKUP(B244,#REF!,2,FALSE)/60)</f>
        <v/>
      </c>
    </row>
    <row r="245" spans="2:5">
      <c r="B245" s="45" t="str">
        <f>IF(Ingreso!K249="","",Ingreso!K249)</f>
        <v/>
      </c>
      <c r="C245" s="45" t="str">
        <f>IF(Ingreso!L249="","",Ingreso!L249)</f>
        <v/>
      </c>
      <c r="D245" s="78" t="str">
        <f>IF(Ingreso!AU249="","",Ingreso!AU249)</f>
        <v/>
      </c>
      <c r="E245" s="78" t="str">
        <f>IF(B245="","",VLOOKUP(B245,#REF!,2,FALSE)/60)</f>
        <v/>
      </c>
    </row>
    <row r="246" spans="2:5">
      <c r="B246" s="45" t="str">
        <f>IF(Ingreso!K250="","",Ingreso!K250)</f>
        <v/>
      </c>
      <c r="C246" s="45" t="str">
        <f>IF(Ingreso!L250="","",Ingreso!L250)</f>
        <v/>
      </c>
      <c r="D246" s="78" t="str">
        <f>IF(Ingreso!AU250="","",Ingreso!AU250)</f>
        <v/>
      </c>
      <c r="E246" s="78" t="str">
        <f>IF(B246="","",VLOOKUP(B246,#REF!,2,FALSE)/60)</f>
        <v/>
      </c>
    </row>
    <row r="247" spans="2:5">
      <c r="B247" s="45" t="str">
        <f>IF(Ingreso!K251="","",Ingreso!K251)</f>
        <v/>
      </c>
      <c r="C247" s="45" t="str">
        <f>IF(Ingreso!L251="","",Ingreso!L251)</f>
        <v/>
      </c>
      <c r="D247" s="78" t="str">
        <f>IF(Ingreso!AU251="","",Ingreso!AU251)</f>
        <v/>
      </c>
      <c r="E247" s="78" t="str">
        <f>IF(B247="","",VLOOKUP(B247,#REF!,2,FALSE)/60)</f>
        <v/>
      </c>
    </row>
    <row r="248" spans="2:5">
      <c r="B248" s="45" t="str">
        <f>IF(Ingreso!K252="","",Ingreso!K252)</f>
        <v/>
      </c>
      <c r="C248" s="45" t="str">
        <f>IF(Ingreso!L252="","",Ingreso!L252)</f>
        <v/>
      </c>
      <c r="D248" s="78" t="str">
        <f>IF(Ingreso!AU252="","",Ingreso!AU252)</f>
        <v/>
      </c>
      <c r="E248" s="78" t="str">
        <f>IF(B248="","",VLOOKUP(B248,#REF!,2,FALSE)/60)</f>
        <v/>
      </c>
    </row>
    <row r="249" spans="2:5">
      <c r="B249" s="45" t="str">
        <f>IF(Ingreso!K253="","",Ingreso!K253)</f>
        <v/>
      </c>
      <c r="C249" s="45" t="str">
        <f>IF(Ingreso!L253="","",Ingreso!L253)</f>
        <v/>
      </c>
      <c r="D249" s="78" t="str">
        <f>IF(Ingreso!AU253="","",Ingreso!AU253)</f>
        <v/>
      </c>
      <c r="E249" s="78" t="str">
        <f>IF(B249="","",VLOOKUP(B249,#REF!,2,FALSE)/60)</f>
        <v/>
      </c>
    </row>
    <row r="250" spans="2:5">
      <c r="B250" s="45" t="str">
        <f>IF(Ingreso!K254="","",Ingreso!K254)</f>
        <v/>
      </c>
      <c r="C250" s="45" t="str">
        <f>IF(Ingreso!L254="","",Ingreso!L254)</f>
        <v/>
      </c>
      <c r="D250" s="78" t="str">
        <f>IF(Ingreso!AU254="","",Ingreso!AU254)</f>
        <v/>
      </c>
      <c r="E250" s="78" t="str">
        <f>IF(B250="","",VLOOKUP(B250,#REF!,2,FALSE)/60)</f>
        <v/>
      </c>
    </row>
    <row r="251" spans="2:5">
      <c r="B251" s="45" t="str">
        <f>IF(Ingreso!K255="","",Ingreso!K255)</f>
        <v/>
      </c>
      <c r="C251" s="45" t="str">
        <f>IF(Ingreso!L255="","",Ingreso!L255)</f>
        <v/>
      </c>
      <c r="D251" s="78" t="str">
        <f>IF(Ingreso!AU255="","",Ingreso!AU255)</f>
        <v/>
      </c>
      <c r="E251" s="78" t="str">
        <f>IF(B251="","",VLOOKUP(B251,#REF!,2,FALSE)/60)</f>
        <v/>
      </c>
    </row>
    <row r="252" spans="2:5">
      <c r="B252" s="45" t="str">
        <f>IF(Ingreso!K256="","",Ingreso!K256)</f>
        <v/>
      </c>
      <c r="C252" s="45" t="str">
        <f>IF(Ingreso!L256="","",Ingreso!L256)</f>
        <v/>
      </c>
      <c r="D252" s="78" t="str">
        <f>IF(Ingreso!AU256="","",Ingreso!AU256)</f>
        <v/>
      </c>
      <c r="E252" s="78" t="str">
        <f>IF(B252="","",VLOOKUP(B252,#REF!,2,FALSE)/60)</f>
        <v/>
      </c>
    </row>
    <row r="253" spans="2:5">
      <c r="B253" s="45" t="str">
        <f>IF(Ingreso!K257="","",Ingreso!K257)</f>
        <v/>
      </c>
      <c r="C253" s="45" t="str">
        <f>IF(Ingreso!L257="","",Ingreso!L257)</f>
        <v/>
      </c>
      <c r="D253" s="78" t="str">
        <f>IF(Ingreso!AU257="","",Ingreso!AU257)</f>
        <v/>
      </c>
      <c r="E253" s="78" t="str">
        <f>IF(B253="","",VLOOKUP(B253,#REF!,2,FALSE)/60)</f>
        <v/>
      </c>
    </row>
    <row r="254" spans="2:5">
      <c r="B254" s="45" t="str">
        <f>IF(Ingreso!K258="","",Ingreso!K258)</f>
        <v/>
      </c>
      <c r="C254" s="45" t="str">
        <f>IF(Ingreso!L258="","",Ingreso!L258)</f>
        <v/>
      </c>
      <c r="D254" s="78" t="str">
        <f>IF(Ingreso!AU258="","",Ingreso!AU258)</f>
        <v/>
      </c>
      <c r="E254" s="78" t="str">
        <f>IF(B254="","",VLOOKUP(B254,#REF!,2,FALSE)/60)</f>
        <v/>
      </c>
    </row>
    <row r="255" spans="2:5">
      <c r="B255" s="45" t="str">
        <f>IF(Ingreso!K259="","",Ingreso!K259)</f>
        <v/>
      </c>
      <c r="C255" s="45" t="str">
        <f>IF(Ingreso!L259="","",Ingreso!L259)</f>
        <v/>
      </c>
      <c r="D255" s="78" t="str">
        <f>IF(Ingreso!AU259="","",Ingreso!AU259)</f>
        <v/>
      </c>
      <c r="E255" s="78" t="str">
        <f>IF(B255="","",VLOOKUP(B255,#REF!,2,FALSE)/60)</f>
        <v/>
      </c>
    </row>
    <row r="256" spans="2:5">
      <c r="B256" s="45" t="str">
        <f>IF(Ingreso!K260="","",Ingreso!K260)</f>
        <v/>
      </c>
      <c r="C256" s="45" t="str">
        <f>IF(Ingreso!L260="","",Ingreso!L260)</f>
        <v/>
      </c>
      <c r="D256" s="78" t="str">
        <f>IF(Ingreso!AU260="","",Ingreso!AU260)</f>
        <v/>
      </c>
      <c r="E256" s="78" t="str">
        <f>IF(B256="","",VLOOKUP(B256,#REF!,2,FALSE)/60)</f>
        <v/>
      </c>
    </row>
    <row r="257" spans="2:5">
      <c r="B257" s="45" t="str">
        <f>IF(Ingreso!K261="","",Ingreso!K261)</f>
        <v/>
      </c>
      <c r="C257" s="45" t="str">
        <f>IF(Ingreso!L261="","",Ingreso!L261)</f>
        <v/>
      </c>
      <c r="D257" s="78" t="str">
        <f>IF(Ingreso!AU261="","",Ingreso!AU261)</f>
        <v/>
      </c>
      <c r="E257" s="78" t="str">
        <f>IF(B257="","",VLOOKUP(B257,#REF!,2,FALSE)/60)</f>
        <v/>
      </c>
    </row>
    <row r="258" spans="2:5">
      <c r="B258" s="45" t="str">
        <f>IF(Ingreso!K262="","",Ingreso!K262)</f>
        <v/>
      </c>
      <c r="C258" s="45" t="str">
        <f>IF(Ingreso!L262="","",Ingreso!L262)</f>
        <v/>
      </c>
      <c r="D258" s="78" t="str">
        <f>IF(Ingreso!AU262="","",Ingreso!AU262)</f>
        <v/>
      </c>
      <c r="E258" s="78" t="str">
        <f>IF(B258="","",VLOOKUP(B258,#REF!,2,FALSE)/60)</f>
        <v/>
      </c>
    </row>
    <row r="259" spans="2:5">
      <c r="B259" s="45" t="str">
        <f>IF(Ingreso!K263="","",Ingreso!K263)</f>
        <v/>
      </c>
      <c r="C259" s="45" t="str">
        <f>IF(Ingreso!L263="","",Ingreso!L263)</f>
        <v/>
      </c>
      <c r="D259" s="78" t="str">
        <f>IF(Ingreso!AH263="","",Ingreso!AH263)</f>
        <v/>
      </c>
      <c r="E259" s="78" t="str">
        <f>IF(B259="","",VLOOKUP(B259,#REF!,2,FALSE)/60)</f>
        <v/>
      </c>
    </row>
    <row r="260" spans="2:5">
      <c r="B260" s="45" t="str">
        <f>IF(Ingreso!K264="","",Ingreso!K264)</f>
        <v/>
      </c>
      <c r="C260" s="45" t="str">
        <f>IF(Ingreso!L264="","",Ingreso!L264)</f>
        <v/>
      </c>
      <c r="D260" s="78" t="str">
        <f>IF(Ingreso!AH264="","",Ingreso!AH264)</f>
        <v/>
      </c>
      <c r="E260" s="78" t="str">
        <f>IF(B260="","",VLOOKUP(B260,#REF!,2,FALSE)/60)</f>
        <v/>
      </c>
    </row>
    <row r="261" spans="2:5">
      <c r="B261" s="45" t="str">
        <f>IF(Ingreso!K265="","",Ingreso!K265)</f>
        <v/>
      </c>
      <c r="C261" s="45" t="str">
        <f>IF(Ingreso!L265="","",Ingreso!L265)</f>
        <v/>
      </c>
      <c r="D261" s="78" t="str">
        <f>IF(Ingreso!AH265="","",Ingreso!AH265)</f>
        <v/>
      </c>
      <c r="E261" s="78" t="str">
        <f>IF(B261="","",VLOOKUP(B261,#REF!,2,FALSE)/60)</f>
        <v/>
      </c>
    </row>
    <row r="262" spans="2:5">
      <c r="B262" s="45" t="str">
        <f>IF(Ingreso!K266="","",Ingreso!K266)</f>
        <v/>
      </c>
      <c r="C262" s="45" t="str">
        <f>IF(Ingreso!L266="","",Ingreso!L266)</f>
        <v/>
      </c>
      <c r="D262" s="78" t="str">
        <f>IF(Ingreso!AH266="","",Ingreso!AH266)</f>
        <v/>
      </c>
      <c r="E262" s="78" t="str">
        <f>IF(B262="","",VLOOKUP(B262,#REF!,2,FALSE)/60)</f>
        <v/>
      </c>
    </row>
    <row r="263" spans="2:5">
      <c r="B263" s="45" t="str">
        <f>IF(Ingreso!K267="","",Ingreso!K267)</f>
        <v/>
      </c>
      <c r="C263" s="45" t="str">
        <f>IF(Ingreso!L267="","",Ingreso!L267)</f>
        <v/>
      </c>
      <c r="D263" s="78" t="str">
        <f>IF(Ingreso!AH267="","",Ingreso!AH267)</f>
        <v/>
      </c>
      <c r="E263" s="78" t="str">
        <f>IF(B263="","",VLOOKUP(B263,#REF!,2,FALSE)/60)</f>
        <v/>
      </c>
    </row>
    <row r="264" spans="2:5">
      <c r="B264" s="45" t="str">
        <f>IF(Ingreso!K268="","",Ingreso!K268)</f>
        <v/>
      </c>
      <c r="C264" s="45" t="str">
        <f>IF(Ingreso!L268="","",Ingreso!L268)</f>
        <v/>
      </c>
      <c r="D264" s="78" t="str">
        <f>IF(Ingreso!AH268="","",Ingreso!AH268)</f>
        <v/>
      </c>
      <c r="E264" s="78" t="str">
        <f>IF(B264="","",VLOOKUP(B264,#REF!,2,FALSE)/60)</f>
        <v/>
      </c>
    </row>
    <row r="265" spans="2:5">
      <c r="B265" s="45" t="str">
        <f>IF(Ingreso!K269="","",Ingreso!K269)</f>
        <v/>
      </c>
      <c r="C265" s="45" t="str">
        <f>IF(Ingreso!L269="","",Ingreso!L269)</f>
        <v/>
      </c>
      <c r="D265" s="78" t="str">
        <f>IF(Ingreso!AH269="","",Ingreso!AH269)</f>
        <v/>
      </c>
      <c r="E265" s="78" t="str">
        <f>IF(B265="","",VLOOKUP(B265,#REF!,2,FALSE)/60)</f>
        <v/>
      </c>
    </row>
    <row r="266" spans="2:5">
      <c r="B266" s="45" t="str">
        <f>IF(Ingreso!K270="","",Ingreso!K270)</f>
        <v/>
      </c>
      <c r="C266" s="45" t="str">
        <f>IF(Ingreso!L270="","",Ingreso!L270)</f>
        <v/>
      </c>
      <c r="D266" s="78" t="str">
        <f>IF(Ingreso!AH270="","",Ingreso!AH270)</f>
        <v/>
      </c>
      <c r="E266" s="78" t="str">
        <f>IF(B266="","",VLOOKUP(B266,#REF!,2,FALSE)/60)</f>
        <v/>
      </c>
    </row>
    <row r="267" spans="2:5">
      <c r="B267" s="45" t="str">
        <f>IF(Ingreso!K271="","",Ingreso!K271)</f>
        <v/>
      </c>
      <c r="C267" s="45" t="str">
        <f>IF(Ingreso!L271="","",Ingreso!L271)</f>
        <v/>
      </c>
      <c r="D267" s="78" t="str">
        <f>IF(Ingreso!AH271="","",Ingreso!AH271)</f>
        <v/>
      </c>
      <c r="E267" s="78" t="str">
        <f>IF(B267="","",VLOOKUP(B267,#REF!,2,FALSE)/60)</f>
        <v/>
      </c>
    </row>
    <row r="268" spans="2:5">
      <c r="B268" s="45" t="str">
        <f>IF(Ingreso!K272="","",Ingreso!K272)</f>
        <v/>
      </c>
      <c r="C268" s="45" t="str">
        <f>IF(Ingreso!L272="","",Ingreso!L272)</f>
        <v/>
      </c>
      <c r="D268" s="78" t="str">
        <f>IF(Ingreso!AH272="","",Ingreso!AH272)</f>
        <v/>
      </c>
      <c r="E268" s="78" t="str">
        <f>IF(B268="","",VLOOKUP(B268,#REF!,2,FALSE)/60)</f>
        <v/>
      </c>
    </row>
    <row r="269" spans="2:5">
      <c r="B269" s="45" t="str">
        <f>IF(Ingreso!K273="","",Ingreso!K273)</f>
        <v/>
      </c>
      <c r="C269" s="45" t="str">
        <f>IF(Ingreso!L273="","",Ingreso!L273)</f>
        <v/>
      </c>
      <c r="D269" s="78" t="str">
        <f>IF(Ingreso!AH273="","",Ingreso!AH273)</f>
        <v/>
      </c>
      <c r="E269" s="78" t="str">
        <f>IF(B269="","",VLOOKUP(B269,#REF!,2,FALSE)/60)</f>
        <v/>
      </c>
    </row>
    <row r="270" spans="2:5">
      <c r="B270" s="45" t="str">
        <f>IF(Ingreso!K274="","",Ingreso!K274)</f>
        <v/>
      </c>
      <c r="C270" s="45" t="str">
        <f>IF(Ingreso!L274="","",Ingreso!L274)</f>
        <v/>
      </c>
      <c r="D270" s="78" t="str">
        <f>IF(Ingreso!AH274="","",Ingreso!AH274)</f>
        <v/>
      </c>
      <c r="E270" s="78" t="str">
        <f>IF(B270="","",VLOOKUP(B270,#REF!,2,FALSE)/60)</f>
        <v/>
      </c>
    </row>
    <row r="271" spans="2:5">
      <c r="B271" s="45" t="str">
        <f>IF(Ingreso!K275="","",Ingreso!K275)</f>
        <v/>
      </c>
      <c r="C271" s="45" t="str">
        <f>IF(Ingreso!L275="","",Ingreso!L275)</f>
        <v/>
      </c>
      <c r="D271" s="78" t="str">
        <f>IF(Ingreso!AH275="","",Ingreso!AH275)</f>
        <v/>
      </c>
      <c r="E271" s="78" t="str">
        <f>IF(B271="","",VLOOKUP(B271,#REF!,2,FALSE)/60)</f>
        <v/>
      </c>
    </row>
    <row r="272" spans="2:5">
      <c r="B272" s="45" t="str">
        <f>IF(Ingreso!K276="","",Ingreso!K276)</f>
        <v/>
      </c>
      <c r="C272" s="45" t="str">
        <f>IF(Ingreso!L276="","",Ingreso!L276)</f>
        <v/>
      </c>
      <c r="D272" s="78" t="str">
        <f>IF(Ingreso!AH276="","",Ingreso!AH276)</f>
        <v/>
      </c>
      <c r="E272" s="78" t="str">
        <f>IF(B272="","",VLOOKUP(B272,#REF!,2,FALSE)/60)</f>
        <v/>
      </c>
    </row>
    <row r="273" spans="2:5">
      <c r="B273" s="45" t="str">
        <f>IF(Ingreso!K277="","",Ingreso!K277)</f>
        <v/>
      </c>
      <c r="C273" s="45" t="str">
        <f>IF(Ingreso!L277="","",Ingreso!L277)</f>
        <v/>
      </c>
      <c r="D273" s="78" t="str">
        <f>IF(Ingreso!AH277="","",Ingreso!AH277)</f>
        <v/>
      </c>
      <c r="E273" s="78" t="str">
        <f>IF(B273="","",VLOOKUP(B273,#REF!,2,FALSE)/60)</f>
        <v/>
      </c>
    </row>
    <row r="274" spans="2:5">
      <c r="B274" s="45" t="str">
        <f>IF(Ingreso!K278="","",Ingreso!K278)</f>
        <v/>
      </c>
      <c r="C274" s="45" t="str">
        <f>IF(Ingreso!L278="","",Ingreso!L278)</f>
        <v/>
      </c>
      <c r="D274" s="78" t="str">
        <f>IF(Ingreso!AH278="","",Ingreso!AH278)</f>
        <v/>
      </c>
      <c r="E274" s="78" t="str">
        <f>IF(B274="","",VLOOKUP(B274,#REF!,2,FALSE)/60)</f>
        <v/>
      </c>
    </row>
    <row r="275" spans="2:5">
      <c r="B275" s="45" t="str">
        <f>IF(Ingreso!K279="","",Ingreso!K279)</f>
        <v/>
      </c>
      <c r="C275" s="45" t="str">
        <f>IF(Ingreso!L279="","",Ingreso!L279)</f>
        <v/>
      </c>
      <c r="D275" s="78" t="str">
        <f>IF(Ingreso!AH279="","",Ingreso!AH279)</f>
        <v/>
      </c>
      <c r="E275" s="78" t="str">
        <f>IF(B275="","",VLOOKUP(B275,#REF!,2,FALSE)/60)</f>
        <v/>
      </c>
    </row>
    <row r="276" spans="2:5">
      <c r="B276" s="45" t="str">
        <f>IF(Ingreso!K280="","",Ingreso!K280)</f>
        <v/>
      </c>
      <c r="C276" s="45" t="str">
        <f>IF(Ingreso!L280="","",Ingreso!L280)</f>
        <v/>
      </c>
      <c r="D276" s="78" t="str">
        <f>IF(Ingreso!AH280="","",Ingreso!AH280)</f>
        <v/>
      </c>
      <c r="E276" s="78" t="str">
        <f>IF(B276="","",VLOOKUP(B276,#REF!,2,FALSE)/60)</f>
        <v/>
      </c>
    </row>
    <row r="277" spans="2:5">
      <c r="B277" s="45" t="str">
        <f>IF(Ingreso!K281="","",Ingreso!K281)</f>
        <v/>
      </c>
      <c r="C277" s="45" t="str">
        <f>IF(Ingreso!L281="","",Ingreso!L281)</f>
        <v/>
      </c>
      <c r="D277" s="78" t="str">
        <f>IF(Ingreso!AH281="","",Ingreso!AH281)</f>
        <v/>
      </c>
      <c r="E277" s="78" t="str">
        <f>IF(B277="","",VLOOKUP(B277,#REF!,2,FALSE)/60)</f>
        <v/>
      </c>
    </row>
    <row r="278" spans="2:5">
      <c r="B278" s="45" t="str">
        <f>IF(Ingreso!K282="","",Ingreso!K282)</f>
        <v/>
      </c>
      <c r="C278" s="45" t="str">
        <f>IF(Ingreso!L282="","",Ingreso!L282)</f>
        <v/>
      </c>
      <c r="D278" s="78" t="str">
        <f>IF(Ingreso!AH282="","",Ingreso!AH282)</f>
        <v/>
      </c>
      <c r="E278" s="78" t="str">
        <f>IF(B278="","",VLOOKUP(B278,#REF!,2,FALSE)/60)</f>
        <v/>
      </c>
    </row>
    <row r="279" spans="2:5">
      <c r="B279" s="45" t="str">
        <f>IF(Ingreso!K283="","",Ingreso!K283)</f>
        <v/>
      </c>
      <c r="C279" s="45" t="str">
        <f>IF(Ingreso!L283="","",Ingreso!L283)</f>
        <v/>
      </c>
      <c r="D279" s="78" t="str">
        <f>IF(Ingreso!AH283="","",Ingreso!AH283)</f>
        <v/>
      </c>
      <c r="E279" s="78" t="str">
        <f>IF(B279="","",VLOOKUP(B279,#REF!,2,FALSE)/60)</f>
        <v/>
      </c>
    </row>
    <row r="280" spans="2:5">
      <c r="B280" s="45" t="str">
        <f>IF(Ingreso!K284="","",Ingreso!K284)</f>
        <v/>
      </c>
      <c r="C280" s="45" t="str">
        <f>IF(Ingreso!L284="","",Ingreso!L284)</f>
        <v/>
      </c>
      <c r="D280" s="78" t="str">
        <f>IF(Ingreso!AH284="","",Ingreso!AH284)</f>
        <v/>
      </c>
      <c r="E280" s="78" t="str">
        <f>IF(B280="","",VLOOKUP(B280,#REF!,2,FALSE)/60)</f>
        <v/>
      </c>
    </row>
    <row r="281" spans="2:5">
      <c r="B281" s="45" t="str">
        <f>IF(Ingreso!K285="","",Ingreso!K285)</f>
        <v/>
      </c>
      <c r="C281" s="45" t="str">
        <f>IF(Ingreso!L285="","",Ingreso!L285)</f>
        <v/>
      </c>
      <c r="D281" s="78" t="str">
        <f>IF(Ingreso!AH285="","",Ingreso!AH285)</f>
        <v/>
      </c>
      <c r="E281" s="78" t="str">
        <f>IF(B281="","",VLOOKUP(B281,#REF!,2,FALSE)/60)</f>
        <v/>
      </c>
    </row>
    <row r="282" spans="2:5">
      <c r="B282" s="45" t="str">
        <f>IF(Ingreso!K286="","",Ingreso!K286)</f>
        <v/>
      </c>
      <c r="C282" s="45" t="str">
        <f>IF(Ingreso!L286="","",Ingreso!L286)</f>
        <v/>
      </c>
      <c r="D282" s="78" t="str">
        <f>IF(Ingreso!AH286="","",Ingreso!AH286)</f>
        <v/>
      </c>
      <c r="E282" s="78" t="str">
        <f>IF(B282="","",VLOOKUP(B282,#REF!,2,FALSE)/60)</f>
        <v/>
      </c>
    </row>
    <row r="283" spans="2:5">
      <c r="B283" s="45" t="str">
        <f>IF(Ingreso!K287="","",Ingreso!K287)</f>
        <v/>
      </c>
      <c r="C283" s="45" t="str">
        <f>IF(Ingreso!L287="","",Ingreso!L287)</f>
        <v/>
      </c>
      <c r="D283" s="78" t="str">
        <f>IF(Ingreso!AH287="","",Ingreso!AH287)</f>
        <v/>
      </c>
      <c r="E283" s="78" t="str">
        <f>IF(B283="","",VLOOKUP(B283,#REF!,2,FALSE)/60)</f>
        <v/>
      </c>
    </row>
    <row r="284" spans="2:5">
      <c r="B284" s="45" t="str">
        <f>IF(Ingreso!K288="","",Ingreso!K288)</f>
        <v/>
      </c>
      <c r="C284" s="45" t="str">
        <f>IF(Ingreso!L288="","",Ingreso!L288)</f>
        <v/>
      </c>
      <c r="D284" s="78" t="str">
        <f>IF(Ingreso!AH288="","",Ingreso!AH288)</f>
        <v/>
      </c>
      <c r="E284" s="78" t="str">
        <f>IF(B284="","",VLOOKUP(B284,#REF!,2,FALSE)/60)</f>
        <v/>
      </c>
    </row>
    <row r="285" spans="2:5">
      <c r="B285" s="45" t="str">
        <f>IF(Ingreso!K289="","",Ingreso!K289)</f>
        <v/>
      </c>
      <c r="C285" s="45" t="str">
        <f>IF(Ingreso!L289="","",Ingreso!L289)</f>
        <v/>
      </c>
      <c r="D285" s="78" t="str">
        <f>IF(Ingreso!AH289="","",Ingreso!AH289)</f>
        <v/>
      </c>
      <c r="E285" s="78" t="str">
        <f>IF(B285="","",VLOOKUP(B285,#REF!,2,FALSE)/60)</f>
        <v/>
      </c>
    </row>
    <row r="286" spans="2:5">
      <c r="B286" s="45" t="str">
        <f>IF(Ingreso!K290="","",Ingreso!K290)</f>
        <v/>
      </c>
      <c r="C286" s="45" t="str">
        <f>IF(Ingreso!L290="","",Ingreso!L290)</f>
        <v/>
      </c>
      <c r="D286" s="78" t="str">
        <f>IF(Ingreso!AH290="","",Ingreso!AH290)</f>
        <v/>
      </c>
      <c r="E286" s="78" t="str">
        <f>IF(B286="","",VLOOKUP(B286,#REF!,2,FALSE)/60)</f>
        <v/>
      </c>
    </row>
    <row r="287" spans="2:5">
      <c r="B287" s="45" t="str">
        <f>IF(Ingreso!K291="","",Ingreso!K291)</f>
        <v/>
      </c>
      <c r="C287" s="45" t="str">
        <f>IF(Ingreso!L291="","",Ingreso!L291)</f>
        <v/>
      </c>
      <c r="D287" s="78" t="str">
        <f>IF(Ingreso!AH291="","",Ingreso!AH291)</f>
        <v/>
      </c>
      <c r="E287" s="78" t="str">
        <f>IF(B287="","",VLOOKUP(B287,#REF!,2,FALSE)/60)</f>
        <v/>
      </c>
    </row>
    <row r="288" spans="2:5">
      <c r="B288" s="45" t="str">
        <f>IF(Ingreso!K292="","",Ingreso!K292)</f>
        <v/>
      </c>
      <c r="C288" s="45" t="str">
        <f>IF(Ingreso!L292="","",Ingreso!L292)</f>
        <v/>
      </c>
      <c r="D288" s="78" t="str">
        <f>IF(Ingreso!AH292="","",Ingreso!AH292)</f>
        <v/>
      </c>
      <c r="E288" s="78" t="str">
        <f>IF(B288="","",VLOOKUP(B288,#REF!,2,FALSE)/60)</f>
        <v/>
      </c>
    </row>
    <row r="289" spans="2:5">
      <c r="B289" s="45" t="str">
        <f>IF(Ingreso!K293="","",Ingreso!K293)</f>
        <v/>
      </c>
      <c r="C289" s="45" t="str">
        <f>IF(Ingreso!L293="","",Ingreso!L293)</f>
        <v/>
      </c>
      <c r="D289" s="78" t="str">
        <f>IF(Ingreso!AH293="","",Ingreso!AH293)</f>
        <v/>
      </c>
      <c r="E289" s="78" t="str">
        <f>IF(B289="","",VLOOKUP(B289,#REF!,2,FALSE)/60)</f>
        <v/>
      </c>
    </row>
    <row r="290" spans="2:5">
      <c r="B290" s="45" t="str">
        <f>IF(Ingreso!K294="","",Ingreso!K294)</f>
        <v/>
      </c>
      <c r="C290" s="45" t="str">
        <f>IF(Ingreso!L294="","",Ingreso!L294)</f>
        <v/>
      </c>
      <c r="D290" s="78" t="str">
        <f>IF(Ingreso!AH294="","",Ingreso!AH294)</f>
        <v/>
      </c>
      <c r="E290" s="78" t="str">
        <f>IF(B290="","",VLOOKUP(B290,#REF!,2,FALSE)/60)</f>
        <v/>
      </c>
    </row>
    <row r="291" spans="2:5">
      <c r="B291" s="45" t="str">
        <f>IF(Ingreso!K295="","",Ingreso!K295)</f>
        <v/>
      </c>
      <c r="C291" s="45" t="str">
        <f>IF(Ingreso!L295="","",Ingreso!L295)</f>
        <v/>
      </c>
      <c r="D291" s="78" t="str">
        <f>IF(Ingreso!AH295="","",Ingreso!AH295)</f>
        <v/>
      </c>
      <c r="E291" s="78" t="str">
        <f>IF(B291="","",VLOOKUP(B291,#REF!,2,FALSE)/60)</f>
        <v/>
      </c>
    </row>
    <row r="292" spans="2:5">
      <c r="B292" s="45" t="str">
        <f>IF(Ingreso!K296="","",Ingreso!K296)</f>
        <v/>
      </c>
      <c r="C292" s="45" t="str">
        <f>IF(Ingreso!L296="","",Ingreso!L296)</f>
        <v/>
      </c>
      <c r="D292" s="78" t="str">
        <f>IF(Ingreso!AH296="","",Ingreso!AH296)</f>
        <v/>
      </c>
      <c r="E292" s="78" t="str">
        <f>IF(B292="","",VLOOKUP(B292,#REF!,2,FALSE)/60)</f>
        <v/>
      </c>
    </row>
    <row r="293" spans="2:5">
      <c r="B293" s="45" t="str">
        <f>IF(Ingreso!K297="","",Ingreso!K297)</f>
        <v/>
      </c>
      <c r="C293" s="45" t="str">
        <f>IF(Ingreso!L297="","",Ingreso!L297)</f>
        <v/>
      </c>
      <c r="D293" s="78" t="str">
        <f>IF(Ingreso!AH297="","",Ingreso!AH297)</f>
        <v/>
      </c>
      <c r="E293" s="78" t="str">
        <f>IF(B293="","",VLOOKUP(B293,#REF!,2,FALSE)/60)</f>
        <v/>
      </c>
    </row>
    <row r="294" spans="2:5">
      <c r="B294" s="45" t="str">
        <f>IF(Ingreso!K298="","",Ingreso!K298)</f>
        <v/>
      </c>
      <c r="C294" s="45" t="str">
        <f>IF(Ingreso!L298="","",Ingreso!L298)</f>
        <v/>
      </c>
      <c r="D294" s="78" t="str">
        <f>IF(Ingreso!AH298="","",Ingreso!AH298)</f>
        <v/>
      </c>
      <c r="E294" s="78" t="str">
        <f>IF(B294="","",VLOOKUP(B294,#REF!,2,FALSE)/60)</f>
        <v/>
      </c>
    </row>
    <row r="295" spans="2:5">
      <c r="B295" s="45" t="str">
        <f>IF(Ingreso!K299="","",Ingreso!K299)</f>
        <v/>
      </c>
      <c r="C295" s="45" t="str">
        <f>IF(Ingreso!L299="","",Ingreso!L299)</f>
        <v/>
      </c>
      <c r="D295" s="78" t="str">
        <f>IF(Ingreso!AH299="","",Ingreso!AH299)</f>
        <v/>
      </c>
      <c r="E295" s="78" t="str">
        <f>IF(B295="","",VLOOKUP(B295,#REF!,2,FALSE)/60)</f>
        <v/>
      </c>
    </row>
    <row r="296" spans="2:5">
      <c r="B296" s="45" t="str">
        <f>IF(Ingreso!K300="","",Ingreso!K300)</f>
        <v/>
      </c>
      <c r="C296" s="45" t="str">
        <f>IF(Ingreso!L300="","",Ingreso!L300)</f>
        <v/>
      </c>
      <c r="D296" s="78" t="str">
        <f>IF(Ingreso!AH300="","",Ingreso!AH300)</f>
        <v/>
      </c>
      <c r="E296" s="78" t="str">
        <f>IF(B296="","",VLOOKUP(B296,#REF!,2,FALSE)/60)</f>
        <v/>
      </c>
    </row>
    <row r="297" spans="2:5">
      <c r="B297" s="45" t="str">
        <f>IF(Ingreso!K301="","",Ingreso!K301)</f>
        <v/>
      </c>
      <c r="C297" s="45" t="str">
        <f>IF(Ingreso!L301="","",Ingreso!L301)</f>
        <v/>
      </c>
      <c r="D297" s="78" t="str">
        <f>IF(Ingreso!AH301="","",Ingreso!AH301)</f>
        <v/>
      </c>
      <c r="E297" s="78" t="str">
        <f>IF(B297="","",VLOOKUP(B297,#REF!,2,FALSE)/60)</f>
        <v/>
      </c>
    </row>
    <row r="298" spans="2:5">
      <c r="B298" s="45" t="str">
        <f>IF(Ingreso!K302="","",Ingreso!K302)</f>
        <v/>
      </c>
      <c r="C298" s="45" t="str">
        <f>IF(Ingreso!L302="","",Ingreso!L302)</f>
        <v/>
      </c>
      <c r="D298" s="78" t="str">
        <f>IF(Ingreso!AH302="","",Ingreso!AH302)</f>
        <v/>
      </c>
      <c r="E298" s="78" t="str">
        <f>IF(B298="","",VLOOKUP(B298,#REF!,2,FALSE)/60)</f>
        <v/>
      </c>
    </row>
    <row r="299" spans="2:5">
      <c r="B299" s="45" t="str">
        <f>IF(Ingreso!K303="","",Ingreso!K303)</f>
        <v/>
      </c>
      <c r="C299" s="45" t="str">
        <f>IF(Ingreso!L303="","",Ingreso!L303)</f>
        <v/>
      </c>
      <c r="D299" s="78" t="str">
        <f>IF(Ingreso!AH303="","",Ingreso!AH303)</f>
        <v/>
      </c>
      <c r="E299" s="78" t="str">
        <f>IF(B299="","",VLOOKUP(B299,#REF!,2,FALSE)/60)</f>
        <v/>
      </c>
    </row>
    <row r="300" spans="2:5">
      <c r="B300" s="45" t="str">
        <f>IF(Ingreso!K304="","",Ingreso!K304)</f>
        <v/>
      </c>
      <c r="C300" s="45" t="str">
        <f>IF(Ingreso!L304="","",Ingreso!L304)</f>
        <v/>
      </c>
      <c r="D300" s="78" t="str">
        <f>IF(Ingreso!AH304="","",Ingreso!AH304)</f>
        <v/>
      </c>
      <c r="E300" s="78" t="str">
        <f>IF(B300="","",VLOOKUP(B300,#REF!,2,FALSE)/60)</f>
        <v/>
      </c>
    </row>
    <row r="301" spans="2:5">
      <c r="B301" s="45" t="str">
        <f>IF(Ingreso!K305="","",Ingreso!K305)</f>
        <v/>
      </c>
      <c r="C301" s="45" t="str">
        <f>IF(Ingreso!L305="","",Ingreso!L305)</f>
        <v/>
      </c>
      <c r="D301" s="78" t="str">
        <f>IF(Ingreso!AH305="","",Ingreso!AH305)</f>
        <v/>
      </c>
      <c r="E301" s="78" t="str">
        <f>IF(B301="","",VLOOKUP(B301,#REF!,2,FALSE)/60)</f>
        <v/>
      </c>
    </row>
    <row r="302" spans="2:5">
      <c r="B302" s="45" t="str">
        <f>IF(Ingreso!K306="","",Ingreso!K306)</f>
        <v/>
      </c>
      <c r="C302" s="45" t="str">
        <f>IF(Ingreso!L306="","",Ingreso!L306)</f>
        <v/>
      </c>
      <c r="D302" s="78" t="str">
        <f>IF(Ingreso!AH306="","",Ingreso!AH306)</f>
        <v/>
      </c>
      <c r="E302" s="78" t="str">
        <f>IF(B302="","",VLOOKUP(B302,#REF!,2,FALSE)/60)</f>
        <v/>
      </c>
    </row>
    <row r="303" spans="2:5">
      <c r="B303" s="45" t="str">
        <f>IF(Ingreso!K307="","",Ingreso!K307)</f>
        <v/>
      </c>
      <c r="C303" s="45" t="str">
        <f>IF(Ingreso!L307="","",Ingreso!L307)</f>
        <v/>
      </c>
      <c r="D303" s="78" t="str">
        <f>IF(Ingreso!AH307="","",Ingreso!AH307)</f>
        <v/>
      </c>
      <c r="E303" s="78" t="str">
        <f>IF(B303="","",VLOOKUP(B303,#REF!,2,FALSE)/60)</f>
        <v/>
      </c>
    </row>
    <row r="304" spans="2:5">
      <c r="B304" s="45" t="str">
        <f>IF(Ingreso!K308="","",Ingreso!K308)</f>
        <v/>
      </c>
      <c r="C304" s="45" t="str">
        <f>IF(Ingreso!L308="","",Ingreso!L308)</f>
        <v/>
      </c>
      <c r="D304" s="78" t="str">
        <f>IF(Ingreso!AH308="","",Ingreso!AH308)</f>
        <v/>
      </c>
      <c r="E304" s="78" t="str">
        <f>IF(B304="","",VLOOKUP(B304,#REF!,2,FALSE)/60)</f>
        <v/>
      </c>
    </row>
    <row r="305" spans="2:5">
      <c r="B305" s="45" t="str">
        <f>IF(Ingreso!K309="","",Ingreso!K309)</f>
        <v/>
      </c>
      <c r="C305" s="45" t="str">
        <f>IF(Ingreso!L309="","",Ingreso!L309)</f>
        <v/>
      </c>
      <c r="D305" s="78" t="str">
        <f>IF(Ingreso!AH309="","",Ingreso!AH309)</f>
        <v/>
      </c>
      <c r="E305" s="78" t="str">
        <f>IF(B305="","",VLOOKUP(B305,#REF!,2,FALSE)/60)</f>
        <v/>
      </c>
    </row>
    <row r="306" spans="2:5">
      <c r="B306" s="45" t="str">
        <f>IF(Ingreso!K310="","",Ingreso!K310)</f>
        <v/>
      </c>
      <c r="C306" s="45" t="str">
        <f>IF(Ingreso!L310="","",Ingreso!L310)</f>
        <v/>
      </c>
      <c r="D306" s="78" t="str">
        <f>IF(Ingreso!AH310="","",Ingreso!AH310)</f>
        <v/>
      </c>
      <c r="E306" s="78" t="str">
        <f>IF(B306="","",VLOOKUP(B306,#REF!,2,FALSE)/60)</f>
        <v/>
      </c>
    </row>
    <row r="307" spans="2:5">
      <c r="B307" s="45" t="str">
        <f>IF(Ingreso!K311="","",Ingreso!K311)</f>
        <v/>
      </c>
      <c r="C307" s="45" t="str">
        <f>IF(Ingreso!L311="","",Ingreso!L311)</f>
        <v/>
      </c>
      <c r="D307" s="78" t="str">
        <f>IF(Ingreso!AH311="","",Ingreso!AH311)</f>
        <v/>
      </c>
      <c r="E307" s="78" t="str">
        <f>IF(B307="","",VLOOKUP(B307,#REF!,2,FALSE)/60)</f>
        <v/>
      </c>
    </row>
    <row r="308" spans="2:5">
      <c r="B308" s="45" t="str">
        <f>IF(Ingreso!K312="","",Ingreso!K312)</f>
        <v/>
      </c>
      <c r="C308" s="45" t="str">
        <f>IF(Ingreso!L312="","",Ingreso!L312)</f>
        <v/>
      </c>
      <c r="D308" s="78" t="str">
        <f>IF(Ingreso!AH312="","",Ingreso!AH312)</f>
        <v/>
      </c>
      <c r="E308" s="78" t="str">
        <f>IF(B308="","",VLOOKUP(B308,#REF!,2,FALSE)/60)</f>
        <v/>
      </c>
    </row>
    <row r="309" spans="2:5">
      <c r="B309" s="45" t="str">
        <f>IF(Ingreso!K313="","",Ingreso!K313)</f>
        <v/>
      </c>
      <c r="C309" s="45" t="str">
        <f>IF(Ingreso!L313="","",Ingreso!L313)</f>
        <v/>
      </c>
      <c r="D309" s="78" t="str">
        <f>IF(Ingreso!AH313="","",Ingreso!AH313)</f>
        <v/>
      </c>
      <c r="E309" s="78" t="str">
        <f>IF(B309="","",VLOOKUP(B309,#REF!,2,FALSE)/60)</f>
        <v/>
      </c>
    </row>
    <row r="310" spans="2:5">
      <c r="B310" s="45" t="str">
        <f>IF(Ingreso!K314="","",Ingreso!K314)</f>
        <v/>
      </c>
      <c r="C310" s="45" t="str">
        <f>IF(Ingreso!L314="","",Ingreso!L314)</f>
        <v/>
      </c>
      <c r="D310" s="78" t="str">
        <f>IF(Ingreso!AH314="","",Ingreso!AH314)</f>
        <v/>
      </c>
      <c r="E310" s="78" t="str">
        <f>IF(B310="","",VLOOKUP(B310,#REF!,2,FALSE)/60)</f>
        <v/>
      </c>
    </row>
    <row r="311" spans="2:5">
      <c r="B311" s="45" t="str">
        <f>IF(Ingreso!K315="","",Ingreso!K315)</f>
        <v/>
      </c>
      <c r="C311" s="45" t="str">
        <f>IF(Ingreso!L315="","",Ingreso!L315)</f>
        <v/>
      </c>
      <c r="D311" s="78" t="str">
        <f>IF(Ingreso!AH315="","",Ingreso!AH315)</f>
        <v/>
      </c>
      <c r="E311" s="78" t="str">
        <f>IF(B311="","",VLOOKUP(B311,#REF!,2,FALSE)/60)</f>
        <v/>
      </c>
    </row>
    <row r="312" spans="2:5">
      <c r="B312" s="45" t="str">
        <f>IF(Ingreso!K316="","",Ingreso!K316)</f>
        <v/>
      </c>
      <c r="C312" s="45" t="str">
        <f>IF(Ingreso!L316="","",Ingreso!L316)</f>
        <v/>
      </c>
      <c r="D312" s="78" t="str">
        <f>IF(Ingreso!AH316="","",Ingreso!AH316)</f>
        <v/>
      </c>
      <c r="E312" s="78" t="str">
        <f>IF(B312="","",VLOOKUP(B312,#REF!,2,FALSE)/60)</f>
        <v/>
      </c>
    </row>
    <row r="313" spans="2:5">
      <c r="B313" s="45" t="str">
        <f>IF(Ingreso!K317="","",Ingreso!K317)</f>
        <v/>
      </c>
      <c r="C313" s="45" t="str">
        <f>IF(Ingreso!L317="","",Ingreso!L317)</f>
        <v/>
      </c>
      <c r="D313" s="78" t="str">
        <f>IF(Ingreso!AH317="","",Ingreso!AH317)</f>
        <v/>
      </c>
      <c r="E313" s="78" t="str">
        <f>IF(B313="","",VLOOKUP(B313,#REF!,2,FALSE)/60)</f>
        <v/>
      </c>
    </row>
    <row r="314" spans="2:5">
      <c r="B314" s="45" t="str">
        <f>IF(Ingreso!K318="","",Ingreso!K318)</f>
        <v/>
      </c>
      <c r="C314" s="45" t="str">
        <f>IF(Ingreso!L318="","",Ingreso!L318)</f>
        <v/>
      </c>
      <c r="D314" s="78" t="str">
        <f>IF(Ingreso!AH318="","",Ingreso!AH318)</f>
        <v/>
      </c>
      <c r="E314" s="78" t="str">
        <f>IF(B314="","",VLOOKUP(B314,#REF!,2,FALSE)/60)</f>
        <v/>
      </c>
    </row>
    <row r="315" spans="2:5">
      <c r="B315" s="45" t="str">
        <f>IF(Ingreso!K319="","",Ingreso!K319)</f>
        <v/>
      </c>
      <c r="C315" s="45" t="str">
        <f>IF(Ingreso!L319="","",Ingreso!L319)</f>
        <v/>
      </c>
      <c r="D315" s="78" t="str">
        <f>IF(Ingreso!AH319="","",Ingreso!AH319)</f>
        <v/>
      </c>
      <c r="E315" s="78" t="str">
        <f>IF(B315="","",VLOOKUP(B315,#REF!,2,FALSE)/60)</f>
        <v/>
      </c>
    </row>
    <row r="316" spans="2:5">
      <c r="B316" s="45" t="str">
        <f>IF(Ingreso!K320="","",Ingreso!K320)</f>
        <v/>
      </c>
      <c r="C316" s="45" t="str">
        <f>IF(Ingreso!L320="","",Ingreso!L320)</f>
        <v/>
      </c>
      <c r="D316" s="78" t="str">
        <f>IF(Ingreso!AH320="","",Ingreso!AH320)</f>
        <v/>
      </c>
      <c r="E316" s="78" t="str">
        <f>IF(B316="","",VLOOKUP(B316,#REF!,2,FALSE)/60)</f>
        <v/>
      </c>
    </row>
    <row r="317" spans="2:5">
      <c r="B317" s="45" t="str">
        <f>IF(Ingreso!K321="","",Ingreso!K321)</f>
        <v/>
      </c>
      <c r="C317" s="45" t="str">
        <f>IF(Ingreso!L321="","",Ingreso!L321)</f>
        <v/>
      </c>
      <c r="D317" s="78" t="str">
        <f>IF(Ingreso!AH321="","",Ingreso!AH321)</f>
        <v/>
      </c>
      <c r="E317" s="78" t="str">
        <f>IF(B317="","",VLOOKUP(B317,#REF!,2,FALSE)/60)</f>
        <v/>
      </c>
    </row>
    <row r="318" spans="2:5">
      <c r="B318" s="45" t="str">
        <f>IF(Ingreso!K322="","",Ingreso!K322)</f>
        <v/>
      </c>
      <c r="C318" s="45" t="str">
        <f>IF(Ingreso!L322="","",Ingreso!L322)</f>
        <v/>
      </c>
      <c r="D318" s="78" t="str">
        <f>IF(Ingreso!AH322="","",Ingreso!AH322)</f>
        <v/>
      </c>
      <c r="E318" s="78" t="str">
        <f>IF(B318="","",VLOOKUP(B318,#REF!,2,FALSE)/60)</f>
        <v/>
      </c>
    </row>
    <row r="319" spans="2:5">
      <c r="B319" s="45" t="str">
        <f>IF(Ingreso!K323="","",Ingreso!K323)</f>
        <v/>
      </c>
      <c r="C319" s="45" t="str">
        <f>IF(Ingreso!L323="","",Ingreso!L323)</f>
        <v/>
      </c>
      <c r="D319" s="78" t="str">
        <f>IF(Ingreso!AH323="","",Ingreso!AH323)</f>
        <v/>
      </c>
      <c r="E319" s="78" t="str">
        <f>IF(B319="","",VLOOKUP(B319,#REF!,2,FALSE)/60)</f>
        <v/>
      </c>
    </row>
    <row r="320" spans="2:5">
      <c r="B320" s="45" t="str">
        <f>IF(Ingreso!K324="","",Ingreso!K324)</f>
        <v/>
      </c>
      <c r="C320" s="45" t="str">
        <f>IF(Ingreso!L324="","",Ingreso!L324)</f>
        <v/>
      </c>
      <c r="D320" s="78" t="str">
        <f>IF(Ingreso!AH324="","",Ingreso!AH324)</f>
        <v/>
      </c>
      <c r="E320" s="78" t="str">
        <f>IF(B320="","",VLOOKUP(B320,#REF!,2,FALSE)/60)</f>
        <v/>
      </c>
    </row>
    <row r="321" spans="2:5">
      <c r="B321" s="45" t="str">
        <f>IF(Ingreso!K325="","",Ingreso!K325)</f>
        <v/>
      </c>
      <c r="C321" s="45" t="str">
        <f>IF(Ingreso!L325="","",Ingreso!L325)</f>
        <v/>
      </c>
      <c r="D321" s="78" t="str">
        <f>IF(Ingreso!AH325="","",Ingreso!AH325)</f>
        <v/>
      </c>
      <c r="E321" s="78" t="str">
        <f>IF(B321="","",VLOOKUP(B321,#REF!,2,FALSE)/60)</f>
        <v/>
      </c>
    </row>
    <row r="322" spans="2:5">
      <c r="B322" s="45" t="str">
        <f>IF(Ingreso!K326="","",Ingreso!K326)</f>
        <v/>
      </c>
      <c r="C322" s="45" t="str">
        <f>IF(Ingreso!L326="","",Ingreso!L326)</f>
        <v/>
      </c>
      <c r="D322" s="78" t="str">
        <f>IF(Ingreso!AH326="","",Ingreso!AH326)</f>
        <v/>
      </c>
      <c r="E322" s="78" t="str">
        <f>IF(B322="","",VLOOKUP(B322,#REF!,2,FALSE)/60)</f>
        <v/>
      </c>
    </row>
    <row r="323" spans="2:5">
      <c r="B323" s="45" t="str">
        <f>IF(Ingreso!K327="","",Ingreso!K327)</f>
        <v/>
      </c>
      <c r="C323" s="45" t="str">
        <f>IF(Ingreso!L327="","",Ingreso!L327)</f>
        <v/>
      </c>
      <c r="D323" s="78" t="str">
        <f>IF(Ingreso!AH327="","",Ingreso!AH327)</f>
        <v/>
      </c>
      <c r="E323" s="78" t="str">
        <f>IF(B323="","",VLOOKUP(B323,#REF!,2,FALSE)/60)</f>
        <v/>
      </c>
    </row>
    <row r="324" spans="2:5">
      <c r="B324" s="45" t="str">
        <f>IF(Ingreso!K328="","",Ingreso!K328)</f>
        <v/>
      </c>
      <c r="C324" s="45" t="str">
        <f>IF(Ingreso!L328="","",Ingreso!L328)</f>
        <v/>
      </c>
      <c r="D324" s="78" t="str">
        <f>IF(Ingreso!AH328="","",Ingreso!AH328)</f>
        <v/>
      </c>
      <c r="E324" s="78" t="str">
        <f>IF(B324="","",VLOOKUP(B324,#REF!,2,FALSE)/60)</f>
        <v/>
      </c>
    </row>
    <row r="325" spans="2:5">
      <c r="B325" s="45" t="str">
        <f>IF(Ingreso!K329="","",Ingreso!K329)</f>
        <v/>
      </c>
      <c r="C325" s="45" t="str">
        <f>IF(Ingreso!L329="","",Ingreso!L329)</f>
        <v/>
      </c>
      <c r="D325" s="78" t="str">
        <f>IF(Ingreso!AH329="","",Ingreso!AH329)</f>
        <v/>
      </c>
      <c r="E325" s="78" t="str">
        <f>IF(B325="","",VLOOKUP(B325,#REF!,2,FALSE)/60)</f>
        <v/>
      </c>
    </row>
    <row r="326" spans="2:5">
      <c r="B326" s="45" t="str">
        <f>IF(Ingreso!K330="","",Ingreso!K330)</f>
        <v/>
      </c>
      <c r="C326" s="45" t="str">
        <f>IF(Ingreso!L330="","",Ingreso!L330)</f>
        <v/>
      </c>
      <c r="D326" s="78" t="str">
        <f>IF(Ingreso!AH330="","",Ingreso!AH330)</f>
        <v/>
      </c>
      <c r="E326" s="78" t="str">
        <f>IF(B326="","",VLOOKUP(B326,#REF!,2,FALSE)/60)</f>
        <v/>
      </c>
    </row>
    <row r="327" spans="2:5">
      <c r="B327" s="45" t="str">
        <f>IF(Ingreso!K331="","",Ingreso!K331)</f>
        <v/>
      </c>
      <c r="C327" s="45" t="str">
        <f>IF(Ingreso!L331="","",Ingreso!L331)</f>
        <v/>
      </c>
      <c r="D327" s="78" t="str">
        <f>IF(Ingreso!AH331="","",Ingreso!AH331)</f>
        <v/>
      </c>
      <c r="E327" s="78" t="str">
        <f>IF(B327="","",VLOOKUP(B327,#REF!,2,FALSE)/60)</f>
        <v/>
      </c>
    </row>
    <row r="328" spans="2:5">
      <c r="B328" s="45" t="str">
        <f>IF(Ingreso!K332="","",Ingreso!K332)</f>
        <v/>
      </c>
      <c r="C328" s="45" t="str">
        <f>IF(Ingreso!L332="","",Ingreso!L332)</f>
        <v/>
      </c>
      <c r="D328" s="78" t="str">
        <f>IF(Ingreso!AH332="","",Ingreso!AH332)</f>
        <v/>
      </c>
      <c r="E328" s="78" t="str">
        <f>IF(B328="","",VLOOKUP(B328,#REF!,2,FALSE)/60)</f>
        <v/>
      </c>
    </row>
    <row r="329" spans="2:5">
      <c r="B329" s="45" t="str">
        <f>IF(Ingreso!K333="","",Ingreso!K333)</f>
        <v/>
      </c>
      <c r="C329" s="45" t="str">
        <f>IF(Ingreso!L333="","",Ingreso!L333)</f>
        <v/>
      </c>
      <c r="D329" s="78" t="str">
        <f>IF(Ingreso!AH333="","",Ingreso!AH333)</f>
        <v/>
      </c>
      <c r="E329" s="78" t="str">
        <f>IF(B329="","",VLOOKUP(B329,#REF!,2,FALSE)/60)</f>
        <v/>
      </c>
    </row>
    <row r="330" spans="2:5">
      <c r="B330" s="45" t="str">
        <f>IF(Ingreso!K334="","",Ingreso!K334)</f>
        <v/>
      </c>
      <c r="C330" s="45" t="str">
        <f>IF(Ingreso!L334="","",Ingreso!L334)</f>
        <v/>
      </c>
      <c r="D330" s="78" t="str">
        <f>IF(Ingreso!AH334="","",Ingreso!AH334)</f>
        <v/>
      </c>
      <c r="E330" s="78" t="str">
        <f>IF(B330="","",VLOOKUP(B330,#REF!,2,FALSE)/60)</f>
        <v/>
      </c>
    </row>
    <row r="331" spans="2:5">
      <c r="B331" s="45" t="str">
        <f>IF(Ingreso!K335="","",Ingreso!K335)</f>
        <v/>
      </c>
      <c r="C331" s="45" t="str">
        <f>IF(Ingreso!L335="","",Ingreso!L335)</f>
        <v/>
      </c>
      <c r="D331" s="78" t="str">
        <f>IF(Ingreso!AH335="","",Ingreso!AH335)</f>
        <v/>
      </c>
      <c r="E331" s="78" t="str">
        <f>IF(B331="","",VLOOKUP(B331,#REF!,2,FALSE)/60)</f>
        <v/>
      </c>
    </row>
    <row r="332" spans="2:5">
      <c r="B332" s="45" t="str">
        <f>IF(Ingreso!K336="","",Ingreso!K336)</f>
        <v/>
      </c>
      <c r="C332" s="45" t="str">
        <f>IF(Ingreso!L336="","",Ingreso!L336)</f>
        <v/>
      </c>
      <c r="D332" s="78" t="str">
        <f>IF(Ingreso!AH336="","",Ingreso!AH336)</f>
        <v/>
      </c>
      <c r="E332" s="78" t="str">
        <f>IF(B332="","",VLOOKUP(B332,#REF!,2,FALSE)/60)</f>
        <v/>
      </c>
    </row>
    <row r="333" spans="2:5">
      <c r="B333" s="45" t="str">
        <f>IF(Ingreso!K337="","",Ingreso!K337)</f>
        <v/>
      </c>
      <c r="C333" s="45" t="str">
        <f>IF(Ingreso!L337="","",Ingreso!L337)</f>
        <v/>
      </c>
      <c r="D333" s="78" t="str">
        <f>IF(Ingreso!AH337="","",Ingreso!AH337)</f>
        <v/>
      </c>
      <c r="E333" s="78" t="str">
        <f>IF(B333="","",VLOOKUP(B333,#REF!,2,FALSE)/60)</f>
        <v/>
      </c>
    </row>
    <row r="334" spans="2:5">
      <c r="B334" s="45" t="str">
        <f>IF(Ingreso!K338="","",Ingreso!K338)</f>
        <v/>
      </c>
      <c r="C334" s="45" t="str">
        <f>IF(Ingreso!L338="","",Ingreso!L338)</f>
        <v/>
      </c>
      <c r="D334" s="78" t="str">
        <f>IF(Ingreso!AH338="","",Ingreso!AH338)</f>
        <v/>
      </c>
      <c r="E334" s="78" t="str">
        <f>IF(B334="","",VLOOKUP(B334,#REF!,2,FALSE)/60)</f>
        <v/>
      </c>
    </row>
    <row r="335" spans="2:5">
      <c r="B335" s="45" t="str">
        <f>IF(Ingreso!K339="","",Ingreso!K339)</f>
        <v/>
      </c>
      <c r="C335" s="45" t="str">
        <f>IF(Ingreso!L339="","",Ingreso!L339)</f>
        <v/>
      </c>
      <c r="D335" s="78" t="str">
        <f>IF(Ingreso!AH339="","",Ingreso!AH339)</f>
        <v/>
      </c>
      <c r="E335" s="78" t="str">
        <f>IF(B335="","",VLOOKUP(B335,#REF!,2,FALSE)/60)</f>
        <v/>
      </c>
    </row>
    <row r="336" spans="2:5">
      <c r="B336" s="45" t="str">
        <f>IF(Ingreso!K340="","",Ingreso!K340)</f>
        <v/>
      </c>
      <c r="C336" s="45" t="str">
        <f>IF(Ingreso!L340="","",Ingreso!L340)</f>
        <v/>
      </c>
      <c r="D336" s="78" t="str">
        <f>IF(Ingreso!AH340="","",Ingreso!AH340)</f>
        <v/>
      </c>
      <c r="E336" s="78" t="str">
        <f>IF(B336="","",VLOOKUP(B336,#REF!,2,FALSE)/60)</f>
        <v/>
      </c>
    </row>
    <row r="337" spans="2:5">
      <c r="B337" s="45" t="str">
        <f>IF(Ingreso!K341="","",Ingreso!K341)</f>
        <v/>
      </c>
      <c r="C337" s="45" t="str">
        <f>IF(Ingreso!L341="","",Ingreso!L341)</f>
        <v/>
      </c>
      <c r="D337" s="78" t="str">
        <f>IF(Ingreso!AH341="","",Ingreso!AH341)</f>
        <v/>
      </c>
      <c r="E337" s="78" t="str">
        <f>IF(B337="","",VLOOKUP(B337,#REF!,2,FALSE)/60)</f>
        <v/>
      </c>
    </row>
    <row r="338" spans="2:5">
      <c r="B338" s="45" t="str">
        <f>IF(Ingreso!K342="","",Ingreso!K342)</f>
        <v/>
      </c>
      <c r="C338" s="45" t="str">
        <f>IF(Ingreso!L342="","",Ingreso!L342)</f>
        <v/>
      </c>
      <c r="D338" s="78" t="str">
        <f>IF(Ingreso!AH342="","",Ingreso!AH342)</f>
        <v/>
      </c>
      <c r="E338" s="78" t="str">
        <f>IF(B338="","",VLOOKUP(B338,#REF!,2,FALSE)/60)</f>
        <v/>
      </c>
    </row>
    <row r="339" spans="2:5">
      <c r="B339" s="45" t="str">
        <f>IF(Ingreso!K343="","",Ingreso!K343)</f>
        <v/>
      </c>
      <c r="C339" s="45" t="str">
        <f>IF(Ingreso!L343="","",Ingreso!L343)</f>
        <v/>
      </c>
      <c r="D339" s="78" t="str">
        <f>IF(Ingreso!AH343="","",Ingreso!AH343)</f>
        <v/>
      </c>
      <c r="E339" s="78" t="str">
        <f>IF(B339="","",VLOOKUP(B339,#REF!,2,FALSE)/60)</f>
        <v/>
      </c>
    </row>
    <row r="340" spans="2:5">
      <c r="B340" s="45" t="str">
        <f>IF(Ingreso!K344="","",Ingreso!K344)</f>
        <v/>
      </c>
      <c r="C340" s="45" t="str">
        <f>IF(Ingreso!L344="","",Ingreso!L344)</f>
        <v/>
      </c>
      <c r="D340" s="78" t="str">
        <f>IF(Ingreso!AH344="","",Ingreso!AH344)</f>
        <v/>
      </c>
      <c r="E340" s="78" t="str">
        <f>IF(B340="","",VLOOKUP(B340,#REF!,2,FALSE)/60)</f>
        <v/>
      </c>
    </row>
    <row r="341" spans="2:5">
      <c r="B341" s="45" t="str">
        <f>IF(Ingreso!K345="","",Ingreso!K345)</f>
        <v/>
      </c>
      <c r="C341" s="45" t="str">
        <f>IF(Ingreso!L345="","",Ingreso!L345)</f>
        <v/>
      </c>
      <c r="D341" s="78" t="str">
        <f>IF(Ingreso!AH345="","",Ingreso!AH345)</f>
        <v/>
      </c>
      <c r="E341" s="78" t="str">
        <f>IF(B341="","",VLOOKUP(B341,#REF!,2,FALSE)/60)</f>
        <v/>
      </c>
    </row>
    <row r="342" spans="2:5">
      <c r="B342" s="45" t="str">
        <f>IF(Ingreso!K346="","",Ingreso!K346)</f>
        <v/>
      </c>
      <c r="C342" s="45" t="str">
        <f>IF(Ingreso!L346="","",Ingreso!L346)</f>
        <v/>
      </c>
      <c r="D342" s="78" t="str">
        <f>IF(Ingreso!AH346="","",Ingreso!AH346)</f>
        <v/>
      </c>
      <c r="E342" s="78" t="str">
        <f>IF(B342="","",VLOOKUP(B342,#REF!,2,FALSE)/60)</f>
        <v/>
      </c>
    </row>
    <row r="343" spans="2:5">
      <c r="B343" s="45" t="str">
        <f>IF(Ingreso!K347="","",Ingreso!K347)</f>
        <v/>
      </c>
      <c r="C343" s="45" t="str">
        <f>IF(Ingreso!L347="","",Ingreso!L347)</f>
        <v/>
      </c>
      <c r="D343" s="78" t="str">
        <f>IF(Ingreso!AH347="","",Ingreso!AH347)</f>
        <v/>
      </c>
      <c r="E343" s="78" t="str">
        <f>IF(B343="","",VLOOKUP(B343,#REF!,2,FALSE)/60)</f>
        <v/>
      </c>
    </row>
    <row r="344" spans="2:5">
      <c r="B344" s="45" t="str">
        <f>IF(Ingreso!K348="","",Ingreso!K348)</f>
        <v/>
      </c>
      <c r="C344" s="45" t="str">
        <f>IF(Ingreso!L348="","",Ingreso!L348)</f>
        <v/>
      </c>
      <c r="D344" s="78" t="str">
        <f>IF(Ingreso!AH348="","",Ingreso!AH348)</f>
        <v/>
      </c>
      <c r="E344" s="78" t="str">
        <f>IF(B344="","",VLOOKUP(B344,#REF!,2,FALSE)/60)</f>
        <v/>
      </c>
    </row>
    <row r="345" spans="2:5">
      <c r="B345" s="45" t="str">
        <f>IF(Ingreso!K349="","",Ingreso!K349)</f>
        <v/>
      </c>
      <c r="C345" s="45" t="str">
        <f>IF(Ingreso!L349="","",Ingreso!L349)</f>
        <v/>
      </c>
      <c r="D345" s="78" t="str">
        <f>IF(Ingreso!AH349="","",Ingreso!AH349)</f>
        <v/>
      </c>
      <c r="E345" s="78" t="str">
        <f>IF(B345="","",VLOOKUP(B345,#REF!,2,FALSE)/60)</f>
        <v/>
      </c>
    </row>
    <row r="346" spans="2:5">
      <c r="B346" s="45" t="str">
        <f>IF(Ingreso!K350="","",Ingreso!K350)</f>
        <v/>
      </c>
      <c r="C346" s="45" t="str">
        <f>IF(Ingreso!L350="","",Ingreso!L350)</f>
        <v/>
      </c>
      <c r="D346" s="78" t="str">
        <f>IF(Ingreso!AH350="","",Ingreso!AH350)</f>
        <v/>
      </c>
      <c r="E346" s="78" t="str">
        <f>IF(B346="","",VLOOKUP(B346,#REF!,2,FALSE)/60)</f>
        <v/>
      </c>
    </row>
    <row r="347" spans="2:5">
      <c r="B347" s="45" t="str">
        <f>IF(Ingreso!K351="","",Ingreso!K351)</f>
        <v/>
      </c>
      <c r="C347" s="45" t="str">
        <f>IF(Ingreso!L351="","",Ingreso!L351)</f>
        <v/>
      </c>
      <c r="D347" s="78" t="str">
        <f>IF(Ingreso!AH351="","",Ingreso!AH351)</f>
        <v/>
      </c>
      <c r="E347" s="78" t="str">
        <f>IF(B347="","",VLOOKUP(B347,#REF!,2,FALSE)/60)</f>
        <v/>
      </c>
    </row>
    <row r="348" spans="2:5">
      <c r="B348" s="45" t="str">
        <f>IF(Ingreso!K352="","",Ingreso!K352)</f>
        <v/>
      </c>
      <c r="C348" s="45" t="str">
        <f>IF(Ingreso!L352="","",Ingreso!L352)</f>
        <v/>
      </c>
      <c r="D348" s="78" t="str">
        <f>IF(Ingreso!AH352="","",Ingreso!AH352)</f>
        <v/>
      </c>
      <c r="E348" s="78" t="str">
        <f>IF(B348="","",VLOOKUP(B348,#REF!,2,FALSE)/60)</f>
        <v/>
      </c>
    </row>
    <row r="349" spans="2:5">
      <c r="B349" s="45" t="str">
        <f>IF(Ingreso!K353="","",Ingreso!K353)</f>
        <v/>
      </c>
      <c r="C349" s="45" t="str">
        <f>IF(Ingreso!L353="","",Ingreso!L353)</f>
        <v/>
      </c>
      <c r="D349" s="78" t="str">
        <f>IF(Ingreso!AH353="","",Ingreso!AH353)</f>
        <v/>
      </c>
      <c r="E349" s="78" t="str">
        <f>IF(B349="","",VLOOKUP(B349,#REF!,2,FALSE)/60)</f>
        <v/>
      </c>
    </row>
    <row r="350" spans="2:5">
      <c r="B350" s="45" t="str">
        <f>IF(Ingreso!K354="","",Ingreso!K354)</f>
        <v/>
      </c>
      <c r="C350" s="45" t="str">
        <f>IF(Ingreso!L354="","",Ingreso!L354)</f>
        <v/>
      </c>
      <c r="D350" s="78" t="str">
        <f>IF(Ingreso!AH354="","",Ingreso!AH354)</f>
        <v/>
      </c>
      <c r="E350" s="78" t="str">
        <f>IF(B350="","",VLOOKUP(B350,#REF!,2,FALSE)/60)</f>
        <v/>
      </c>
    </row>
    <row r="351" spans="2:5">
      <c r="B351" s="45" t="str">
        <f>IF(Ingreso!K355="","",Ingreso!K355)</f>
        <v/>
      </c>
      <c r="C351" s="45" t="str">
        <f>IF(Ingreso!L355="","",Ingreso!L355)</f>
        <v/>
      </c>
      <c r="D351" s="78" t="str">
        <f>IF(Ingreso!AH355="","",Ingreso!AH355)</f>
        <v/>
      </c>
      <c r="E351" s="78" t="str">
        <f>IF(B351="","",VLOOKUP(B351,#REF!,2,FALSE)/60)</f>
        <v/>
      </c>
    </row>
    <row r="352" spans="2:5">
      <c r="B352" s="45" t="str">
        <f>IF(Ingreso!K356="","",Ingreso!K356)</f>
        <v/>
      </c>
      <c r="C352" s="45" t="str">
        <f>IF(Ingreso!L356="","",Ingreso!L356)</f>
        <v/>
      </c>
      <c r="D352" s="78" t="str">
        <f>IF(Ingreso!AH356="","",Ingreso!AH356)</f>
        <v/>
      </c>
      <c r="E352" s="78" t="str">
        <f>IF(B352="","",VLOOKUP(B352,#REF!,2,FALSE)/60)</f>
        <v/>
      </c>
    </row>
    <row r="353" spans="2:5">
      <c r="B353" s="45" t="str">
        <f>IF(Ingreso!K357="","",Ingreso!K357)</f>
        <v/>
      </c>
      <c r="C353" s="45" t="str">
        <f>IF(Ingreso!L357="","",Ingreso!L357)</f>
        <v/>
      </c>
      <c r="D353" s="78" t="str">
        <f>IF(Ingreso!AH357="","",Ingreso!AH357)</f>
        <v/>
      </c>
      <c r="E353" s="78" t="str">
        <f>IF(B353="","",VLOOKUP(B353,#REF!,2,FALSE)/60)</f>
        <v/>
      </c>
    </row>
    <row r="354" spans="2:5">
      <c r="B354" s="45" t="str">
        <f>IF(Ingreso!K358="","",Ingreso!K358)</f>
        <v/>
      </c>
      <c r="C354" s="45" t="str">
        <f>IF(Ingreso!L358="","",Ingreso!L358)</f>
        <v/>
      </c>
      <c r="D354" s="78" t="str">
        <f>IF(Ingreso!AH358="","",Ingreso!AH358)</f>
        <v/>
      </c>
      <c r="E354" s="78" t="str">
        <f>IF(B354="","",VLOOKUP(B354,#REF!,2,FALSE)/60)</f>
        <v/>
      </c>
    </row>
    <row r="355" spans="2:5">
      <c r="B355" s="45" t="str">
        <f>IF(Ingreso!K359="","",Ingreso!K359)</f>
        <v/>
      </c>
      <c r="C355" s="45" t="str">
        <f>IF(Ingreso!L359="","",Ingreso!L359)</f>
        <v/>
      </c>
      <c r="D355" s="78" t="str">
        <f>IF(Ingreso!AH359="","",Ingreso!AH359)</f>
        <v/>
      </c>
      <c r="E355" s="78" t="str">
        <f>IF(B355="","",VLOOKUP(B355,#REF!,2,FALSE)/60)</f>
        <v/>
      </c>
    </row>
    <row r="356" spans="2:5">
      <c r="B356" s="45" t="str">
        <f>IF(Ingreso!K360="","",Ingreso!K360)</f>
        <v/>
      </c>
      <c r="C356" s="45" t="str">
        <f>IF(Ingreso!L360="","",Ingreso!L360)</f>
        <v/>
      </c>
      <c r="D356" s="78" t="str">
        <f>IF(Ingreso!AH360="","",Ingreso!AH360)</f>
        <v/>
      </c>
      <c r="E356" s="78" t="str">
        <f>IF(B356="","",VLOOKUP(B356,#REF!,2,FALSE)/60)</f>
        <v/>
      </c>
    </row>
    <row r="357" spans="2:5">
      <c r="B357" s="45" t="str">
        <f>IF(Ingreso!K361="","",Ingreso!K361)</f>
        <v/>
      </c>
      <c r="C357" s="45" t="str">
        <f>IF(Ingreso!L361="","",Ingreso!L361)</f>
        <v/>
      </c>
      <c r="D357" s="78" t="str">
        <f>IF(Ingreso!AH361="","",Ingreso!AH361)</f>
        <v/>
      </c>
      <c r="E357" s="78" t="str">
        <f>IF(B357="","",VLOOKUP(B357,#REF!,2,FALSE)/60)</f>
        <v/>
      </c>
    </row>
    <row r="358" spans="2:5">
      <c r="B358" s="45" t="str">
        <f>IF(Ingreso!K362="","",Ingreso!K362)</f>
        <v/>
      </c>
      <c r="C358" s="45" t="str">
        <f>IF(Ingreso!L362="","",Ingreso!L362)</f>
        <v/>
      </c>
      <c r="D358" s="78" t="str">
        <f>IF(Ingreso!AH362="","",Ingreso!AH362)</f>
        <v/>
      </c>
      <c r="E358" s="78" t="str">
        <f>IF(B358="","",VLOOKUP(B358,#REF!,2,FALSE)/60)</f>
        <v/>
      </c>
    </row>
    <row r="359" spans="2:5">
      <c r="B359" s="45" t="str">
        <f>IF(Ingreso!K363="","",Ingreso!K363)</f>
        <v/>
      </c>
      <c r="C359" s="45" t="str">
        <f>IF(Ingreso!L363="","",Ingreso!L363)</f>
        <v/>
      </c>
      <c r="D359" s="78" t="str">
        <f>IF(Ingreso!AH363="","",Ingreso!AH363)</f>
        <v/>
      </c>
      <c r="E359" s="78" t="str">
        <f>IF(B359="","",VLOOKUP(B359,#REF!,2,FALSE)/60)</f>
        <v/>
      </c>
    </row>
    <row r="360" spans="2:5">
      <c r="B360" s="45" t="str">
        <f>IF(Ingreso!K364="","",Ingreso!K364)</f>
        <v/>
      </c>
      <c r="C360" s="45" t="str">
        <f>IF(Ingreso!L364="","",Ingreso!L364)</f>
        <v/>
      </c>
      <c r="D360" s="78" t="str">
        <f>IF(Ingreso!AH364="","",Ingreso!AH364)</f>
        <v/>
      </c>
      <c r="E360" s="78" t="str">
        <f>IF(B360="","",VLOOKUP(B360,#REF!,2,FALSE)/60)</f>
        <v/>
      </c>
    </row>
    <row r="361" spans="2:5">
      <c r="B361" s="45" t="str">
        <f>IF(Ingreso!K365="","",Ingreso!K365)</f>
        <v/>
      </c>
      <c r="C361" s="45" t="str">
        <f>IF(Ingreso!L365="","",Ingreso!L365)</f>
        <v/>
      </c>
      <c r="D361" s="78" t="str">
        <f>IF(Ingreso!AH365="","",Ingreso!AH365)</f>
        <v/>
      </c>
      <c r="E361" s="78" t="str">
        <f>IF(B361="","",VLOOKUP(B361,#REF!,2,FALSE)/60)</f>
        <v/>
      </c>
    </row>
    <row r="362" spans="2:5">
      <c r="B362" s="45" t="str">
        <f>IF(Ingreso!K366="","",Ingreso!K366)</f>
        <v/>
      </c>
      <c r="C362" s="45" t="str">
        <f>IF(Ingreso!L366="","",Ingreso!L366)</f>
        <v/>
      </c>
      <c r="D362" s="78" t="str">
        <f>IF(Ingreso!AH366="","",Ingreso!AH366)</f>
        <v/>
      </c>
      <c r="E362" s="78" t="str">
        <f>IF(B362="","",VLOOKUP(B362,#REF!,2,FALSE)/60)</f>
        <v/>
      </c>
    </row>
    <row r="363" spans="2:5">
      <c r="B363" s="45" t="str">
        <f>IF(Ingreso!K367="","",Ingreso!K367)</f>
        <v/>
      </c>
      <c r="C363" s="45" t="str">
        <f>IF(Ingreso!L367="","",Ingreso!L367)</f>
        <v/>
      </c>
      <c r="D363" s="78" t="str">
        <f>IF(Ingreso!AH367="","",Ingreso!AH367)</f>
        <v/>
      </c>
      <c r="E363" s="78" t="str">
        <f>IF(B363="","",VLOOKUP(B363,#REF!,2,FALSE)/60)</f>
        <v/>
      </c>
    </row>
    <row r="364" spans="2:5">
      <c r="B364" s="45" t="str">
        <f>IF(Ingreso!K368="","",Ingreso!K368)</f>
        <v/>
      </c>
      <c r="C364" s="45" t="str">
        <f>IF(Ingreso!L368="","",Ingreso!L368)</f>
        <v/>
      </c>
      <c r="D364" s="78" t="str">
        <f>IF(Ingreso!AH368="","",Ingreso!AH368)</f>
        <v/>
      </c>
      <c r="E364" s="78" t="str">
        <f>IF(B364="","",VLOOKUP(B364,#REF!,2,FALSE)/60)</f>
        <v/>
      </c>
    </row>
    <row r="365" spans="2:5">
      <c r="B365" s="45" t="str">
        <f>IF(Ingreso!K369="","",Ingreso!K369)</f>
        <v/>
      </c>
      <c r="C365" s="45" t="str">
        <f>IF(Ingreso!L369="","",Ingreso!L369)</f>
        <v/>
      </c>
      <c r="D365" s="78" t="str">
        <f>IF(Ingreso!AH369="","",Ingreso!AH369)</f>
        <v/>
      </c>
      <c r="E365" s="78" t="str">
        <f>IF(B365="","",VLOOKUP(B365,#REF!,2,FALSE)/60)</f>
        <v/>
      </c>
    </row>
    <row r="366" spans="2:5">
      <c r="B366" s="45" t="str">
        <f>IF(Ingreso!K370="","",Ingreso!K370)</f>
        <v/>
      </c>
      <c r="C366" s="45" t="str">
        <f>IF(Ingreso!L370="","",Ingreso!L370)</f>
        <v/>
      </c>
      <c r="D366" s="78" t="str">
        <f>IF(Ingreso!AH370="","",Ingreso!AH370)</f>
        <v/>
      </c>
      <c r="E366" s="78" t="str">
        <f>IF(B366="","",VLOOKUP(B366,#REF!,2,FALSE)/60)</f>
        <v/>
      </c>
    </row>
    <row r="367" spans="2:5">
      <c r="B367" s="45" t="str">
        <f>IF(Ingreso!K371="","",Ingreso!K371)</f>
        <v/>
      </c>
      <c r="C367" s="45" t="str">
        <f>IF(Ingreso!L371="","",Ingreso!L371)</f>
        <v/>
      </c>
      <c r="D367" s="78" t="str">
        <f>IF(Ingreso!AH371="","",Ingreso!AH371)</f>
        <v/>
      </c>
      <c r="E367" s="78" t="str">
        <f>IF(B367="","",VLOOKUP(B367,#REF!,2,FALSE)/60)</f>
        <v/>
      </c>
    </row>
    <row r="368" spans="2:5">
      <c r="B368" s="45" t="str">
        <f>IF(Ingreso!K372="","",Ingreso!K372)</f>
        <v/>
      </c>
      <c r="C368" s="45" t="str">
        <f>IF(Ingreso!L372="","",Ingreso!L372)</f>
        <v/>
      </c>
      <c r="D368" s="78" t="str">
        <f>IF(Ingreso!AH372="","",Ingreso!AH372)</f>
        <v/>
      </c>
      <c r="E368" s="78" t="str">
        <f>IF(B368="","",VLOOKUP(B368,#REF!,2,FALSE)/60)</f>
        <v/>
      </c>
    </row>
    <row r="369" spans="2:5">
      <c r="B369" s="45" t="str">
        <f>IF(Ingreso!K373="","",Ingreso!K373)</f>
        <v/>
      </c>
      <c r="C369" s="45" t="str">
        <f>IF(Ingreso!L373="","",Ingreso!L373)</f>
        <v/>
      </c>
      <c r="D369" s="78" t="str">
        <f>IF(Ingreso!AH373="","",Ingreso!AH373)</f>
        <v/>
      </c>
      <c r="E369" s="78" t="str">
        <f>IF(B369="","",VLOOKUP(B369,#REF!,2,FALSE)/60)</f>
        <v/>
      </c>
    </row>
    <row r="370" spans="2:5">
      <c r="B370" s="45" t="str">
        <f>IF(Ingreso!K374="","",Ingreso!K374)</f>
        <v/>
      </c>
      <c r="C370" s="45" t="str">
        <f>IF(Ingreso!L374="","",Ingreso!L374)</f>
        <v/>
      </c>
      <c r="D370" s="78" t="str">
        <f>IF(Ingreso!AH374="","",Ingreso!AH374)</f>
        <v/>
      </c>
      <c r="E370" s="78" t="str">
        <f>IF(B370="","",VLOOKUP(B370,#REF!,2,FALSE)/60)</f>
        <v/>
      </c>
    </row>
    <row r="371" spans="2:5">
      <c r="B371" s="45" t="str">
        <f>IF(Ingreso!K375="","",Ingreso!K375)</f>
        <v/>
      </c>
      <c r="C371" s="45" t="str">
        <f>IF(Ingreso!L375="","",Ingreso!L375)</f>
        <v/>
      </c>
      <c r="D371" s="78" t="str">
        <f>IF(Ingreso!AH375="","",Ingreso!AH375)</f>
        <v/>
      </c>
      <c r="E371" s="78" t="str">
        <f>IF(B371="","",VLOOKUP(B371,#REF!,2,FALSE)/60)</f>
        <v/>
      </c>
    </row>
    <row r="372" spans="2:5">
      <c r="B372" s="45" t="str">
        <f>IF(Ingreso!K376="","",Ingreso!K376)</f>
        <v/>
      </c>
      <c r="C372" s="45" t="str">
        <f>IF(Ingreso!L376="","",Ingreso!L376)</f>
        <v/>
      </c>
      <c r="D372" s="78" t="str">
        <f>IF(Ingreso!AH376="","",Ingreso!AH376)</f>
        <v/>
      </c>
      <c r="E372" s="78" t="str">
        <f>IF(B372="","",VLOOKUP(B372,#REF!,2,FALSE)/60)</f>
        <v/>
      </c>
    </row>
    <row r="373" spans="2:5">
      <c r="B373" s="45" t="str">
        <f>IF(Ingreso!K377="","",Ingreso!K377)</f>
        <v/>
      </c>
      <c r="C373" s="45" t="str">
        <f>IF(Ingreso!L377="","",Ingreso!L377)</f>
        <v/>
      </c>
      <c r="D373" s="78" t="str">
        <f>IF(Ingreso!AH377="","",Ingreso!AH377)</f>
        <v/>
      </c>
      <c r="E373" s="78" t="str">
        <f>IF(B373="","",VLOOKUP(B373,#REF!,2,FALSE)/60)</f>
        <v/>
      </c>
    </row>
    <row r="374" spans="2:5">
      <c r="B374" s="45" t="str">
        <f>IF(Ingreso!K378="","",Ingreso!K378)</f>
        <v/>
      </c>
      <c r="C374" s="45" t="str">
        <f>IF(Ingreso!L378="","",Ingreso!L378)</f>
        <v/>
      </c>
      <c r="D374" s="78" t="str">
        <f>IF(Ingreso!AH378="","",Ingreso!AH378)</f>
        <v/>
      </c>
      <c r="E374" s="78" t="str">
        <f>IF(B374="","",VLOOKUP(B374,#REF!,2,FALSE)/60)</f>
        <v/>
      </c>
    </row>
    <row r="375" spans="2:5">
      <c r="B375" s="45" t="str">
        <f>IF(Ingreso!K379="","",Ingreso!K379)</f>
        <v/>
      </c>
      <c r="C375" s="45" t="str">
        <f>IF(Ingreso!L379="","",Ingreso!L379)</f>
        <v/>
      </c>
      <c r="D375" s="78" t="str">
        <f>IF(Ingreso!AH379="","",Ingreso!AH379)</f>
        <v/>
      </c>
      <c r="E375" s="78" t="str">
        <f>IF(B375="","",VLOOKUP(B375,#REF!,2,FALSE)/60)</f>
        <v/>
      </c>
    </row>
    <row r="376" spans="2:5">
      <c r="B376" s="45" t="str">
        <f>IF(Ingreso!K380="","",Ingreso!K380)</f>
        <v/>
      </c>
      <c r="C376" s="45" t="str">
        <f>IF(Ingreso!L380="","",Ingreso!L380)</f>
        <v/>
      </c>
      <c r="D376" s="78" t="str">
        <f>IF(Ingreso!AH380="","",Ingreso!AH380)</f>
        <v/>
      </c>
      <c r="E376" s="78" t="str">
        <f>IF(B376="","",VLOOKUP(B376,#REF!,2,FALSE)/60)</f>
        <v/>
      </c>
    </row>
    <row r="377" spans="2:5">
      <c r="B377" s="45" t="str">
        <f>IF(Ingreso!K381="","",Ingreso!K381)</f>
        <v/>
      </c>
      <c r="C377" s="45" t="str">
        <f>IF(Ingreso!L381="","",Ingreso!L381)</f>
        <v/>
      </c>
      <c r="D377" s="78" t="str">
        <f>IF(Ingreso!AH381="","",Ingreso!AH381)</f>
        <v/>
      </c>
      <c r="E377" s="78" t="str">
        <f>IF(B377="","",VLOOKUP(B377,#REF!,2,FALSE)/60)</f>
        <v/>
      </c>
    </row>
    <row r="378" spans="2:5">
      <c r="B378" s="45" t="str">
        <f>IF(Ingreso!K382="","",Ingreso!K382)</f>
        <v/>
      </c>
      <c r="C378" s="45" t="str">
        <f>IF(Ingreso!L382="","",Ingreso!L382)</f>
        <v/>
      </c>
      <c r="D378" s="78" t="str">
        <f>IF(Ingreso!AH382="","",Ingreso!AH382)</f>
        <v/>
      </c>
      <c r="E378" s="78" t="str">
        <f>IF(B378="","",VLOOKUP(B378,#REF!,2,FALSE)/60)</f>
        <v/>
      </c>
    </row>
    <row r="379" spans="2:5">
      <c r="B379" s="45" t="str">
        <f>IF(Ingreso!K383="","",Ingreso!K383)</f>
        <v/>
      </c>
      <c r="C379" s="45" t="str">
        <f>IF(Ingreso!L383="","",Ingreso!L383)</f>
        <v/>
      </c>
      <c r="D379" s="78" t="str">
        <f>IF(Ingreso!AH383="","",Ingreso!AH383)</f>
        <v/>
      </c>
      <c r="E379" s="78" t="str">
        <f>IF(B379="","",VLOOKUP(B379,#REF!,2,FALSE)/60)</f>
        <v/>
      </c>
    </row>
    <row r="380" spans="2:5">
      <c r="B380" s="45" t="str">
        <f>IF(Ingreso!K384="","",Ingreso!K384)</f>
        <v/>
      </c>
      <c r="C380" s="45" t="str">
        <f>IF(Ingreso!L384="","",Ingreso!L384)</f>
        <v/>
      </c>
      <c r="D380" s="78" t="str">
        <f>IF(Ingreso!AH384="","",Ingreso!AH384)</f>
        <v/>
      </c>
      <c r="E380" s="78" t="str">
        <f>IF(B380="","",VLOOKUP(B380,#REF!,2,FALSE)/60)</f>
        <v/>
      </c>
    </row>
    <row r="381" spans="2:5">
      <c r="B381" s="45" t="str">
        <f>IF(Ingreso!K385="","",Ingreso!K385)</f>
        <v/>
      </c>
      <c r="C381" s="45" t="str">
        <f>IF(Ingreso!L385="","",Ingreso!L385)</f>
        <v/>
      </c>
      <c r="D381" s="78" t="str">
        <f>IF(Ingreso!AH385="","",Ingreso!AH385)</f>
        <v/>
      </c>
      <c r="E381" s="78" t="str">
        <f>IF(B381="","",VLOOKUP(B381,#REF!,2,FALSE)/60)</f>
        <v/>
      </c>
    </row>
    <row r="382" spans="2:5">
      <c r="B382" s="45" t="str">
        <f>IF(Ingreso!K386="","",Ingreso!K386)</f>
        <v/>
      </c>
      <c r="C382" s="45" t="str">
        <f>IF(Ingreso!L386="","",Ingreso!L386)</f>
        <v/>
      </c>
      <c r="D382" s="78" t="str">
        <f>IF(Ingreso!AH386="","",Ingreso!AH386)</f>
        <v/>
      </c>
      <c r="E382" s="78" t="str">
        <f>IF(B382="","",VLOOKUP(B382,#REF!,2,FALSE)/60)</f>
        <v/>
      </c>
    </row>
    <row r="383" spans="2:5">
      <c r="B383" s="45" t="str">
        <f>IF(Ingreso!K387="","",Ingreso!K387)</f>
        <v/>
      </c>
      <c r="C383" s="45" t="str">
        <f>IF(Ingreso!L387="","",Ingreso!L387)</f>
        <v/>
      </c>
      <c r="D383" s="78" t="str">
        <f>IF(Ingreso!AH387="","",Ingreso!AH387)</f>
        <v/>
      </c>
      <c r="E383" s="78" t="str">
        <f>IF(B383="","",VLOOKUP(B383,#REF!,2,FALSE)/60)</f>
        <v/>
      </c>
    </row>
    <row r="384" spans="2:5">
      <c r="B384" s="45" t="str">
        <f>IF(Ingreso!K388="","",Ingreso!K388)</f>
        <v/>
      </c>
      <c r="C384" s="45" t="str">
        <f>IF(Ingreso!L388="","",Ingreso!L388)</f>
        <v/>
      </c>
      <c r="D384" s="78" t="str">
        <f>IF(Ingreso!AH388="","",Ingreso!AH388)</f>
        <v/>
      </c>
      <c r="E384" s="78" t="str">
        <f>IF(B384="","",VLOOKUP(B384,#REF!,2,FALSE)/60)</f>
        <v/>
      </c>
    </row>
    <row r="385" spans="2:5">
      <c r="B385" s="45" t="str">
        <f>IF(Ingreso!K389="","",Ingreso!K389)</f>
        <v/>
      </c>
      <c r="C385" s="45" t="str">
        <f>IF(Ingreso!L389="","",Ingreso!L389)</f>
        <v/>
      </c>
      <c r="D385" s="78" t="str">
        <f>IF(Ingreso!AH389="","",Ingreso!AH389)</f>
        <v/>
      </c>
      <c r="E385" s="78" t="str">
        <f>IF(B385="","",VLOOKUP(B385,#REF!,2,FALSE)/60)</f>
        <v/>
      </c>
    </row>
    <row r="386" spans="2:5">
      <c r="B386" s="45" t="str">
        <f>IF(Ingreso!K390="","",Ingreso!K390)</f>
        <v/>
      </c>
      <c r="C386" s="45" t="str">
        <f>IF(Ingreso!L390="","",Ingreso!L390)</f>
        <v/>
      </c>
      <c r="D386" s="78" t="str">
        <f>IF(Ingreso!AH390="","",Ingreso!AH390)</f>
        <v/>
      </c>
      <c r="E386" s="78" t="str">
        <f>IF(B386="","",VLOOKUP(B386,#REF!,2,FALSE)/60)</f>
        <v/>
      </c>
    </row>
    <row r="387" spans="2:5">
      <c r="B387" s="45" t="str">
        <f>IF(Ingreso!K391="","",Ingreso!K391)</f>
        <v/>
      </c>
      <c r="C387" s="45" t="str">
        <f>IF(Ingreso!L391="","",Ingreso!L391)</f>
        <v/>
      </c>
      <c r="D387" s="78" t="str">
        <f>IF(Ingreso!AH391="","",Ingreso!AH391)</f>
        <v/>
      </c>
      <c r="E387" s="78" t="str">
        <f>IF(B387="","",VLOOKUP(B387,#REF!,2,FALSE)/60)</f>
        <v/>
      </c>
    </row>
    <row r="388" spans="2:5">
      <c r="B388" s="45" t="str">
        <f>IF(Ingreso!K392="","",Ingreso!K392)</f>
        <v/>
      </c>
      <c r="C388" s="45" t="str">
        <f>IF(Ingreso!L392="","",Ingreso!L392)</f>
        <v/>
      </c>
      <c r="D388" s="78" t="str">
        <f>IF(Ingreso!AH392="","",Ingreso!AH392)</f>
        <v/>
      </c>
      <c r="E388" s="78" t="str">
        <f>IF(B388="","",VLOOKUP(B388,#REF!,2,FALSE)/60)</f>
        <v/>
      </c>
    </row>
    <row r="389" spans="2:5">
      <c r="B389" s="45" t="str">
        <f>IF(Ingreso!K393="","",Ingreso!K393)</f>
        <v/>
      </c>
      <c r="C389" s="45" t="str">
        <f>IF(Ingreso!L393="","",Ingreso!L393)</f>
        <v/>
      </c>
      <c r="D389" s="78" t="str">
        <f>IF(Ingreso!AH393="","",Ingreso!AH393)</f>
        <v/>
      </c>
      <c r="E389" s="78" t="str">
        <f>IF(B389="","",VLOOKUP(B389,#REF!,2,FALSE)/60)</f>
        <v/>
      </c>
    </row>
    <row r="390" spans="2:5">
      <c r="B390" s="45" t="str">
        <f>IF(Ingreso!K394="","",Ingreso!K394)</f>
        <v/>
      </c>
      <c r="C390" s="45" t="str">
        <f>IF(Ingreso!L394="","",Ingreso!L394)</f>
        <v/>
      </c>
      <c r="D390" s="78" t="str">
        <f>IF(Ingreso!AH394="","",Ingreso!AH394)</f>
        <v/>
      </c>
      <c r="E390" s="78" t="str">
        <f>IF(B390="","",VLOOKUP(B390,#REF!,2,FALSE)/60)</f>
        <v/>
      </c>
    </row>
    <row r="391" spans="2:5">
      <c r="B391" s="45" t="str">
        <f>IF(Ingreso!K395="","",Ingreso!K395)</f>
        <v/>
      </c>
      <c r="C391" s="45" t="str">
        <f>IF(Ingreso!L395="","",Ingreso!L395)</f>
        <v/>
      </c>
      <c r="D391" s="78" t="str">
        <f>IF(Ingreso!AH395="","",Ingreso!AH395)</f>
        <v/>
      </c>
      <c r="E391" s="78" t="str">
        <f>IF(B391="","",VLOOKUP(B391,#REF!,2,FALSE)/60)</f>
        <v/>
      </c>
    </row>
    <row r="392" spans="2:5">
      <c r="B392" s="45" t="str">
        <f>IF(Ingreso!K396="","",Ingreso!K396)</f>
        <v/>
      </c>
      <c r="C392" s="45" t="str">
        <f>IF(Ingreso!L396="","",Ingreso!L396)</f>
        <v/>
      </c>
      <c r="D392" s="78" t="str">
        <f>IF(Ingreso!AH396="","",Ingreso!AH396)</f>
        <v/>
      </c>
      <c r="E392" s="78" t="str">
        <f>IF(B392="","",VLOOKUP(B392,#REF!,2,FALSE)/60)</f>
        <v/>
      </c>
    </row>
    <row r="393" spans="2:5">
      <c r="B393" s="45" t="str">
        <f>IF(Ingreso!K397="","",Ingreso!K397)</f>
        <v/>
      </c>
      <c r="C393" s="45" t="str">
        <f>IF(Ingreso!L397="","",Ingreso!L397)</f>
        <v/>
      </c>
      <c r="D393" s="78" t="str">
        <f>IF(Ingreso!AH397="","",Ingreso!AH397)</f>
        <v/>
      </c>
      <c r="E393" s="78" t="str">
        <f>IF(B393="","",VLOOKUP(B393,#REF!,2,FALSE)/60)</f>
        <v/>
      </c>
    </row>
    <row r="394" spans="2:5">
      <c r="B394" s="45" t="str">
        <f>IF(Ingreso!K398="","",Ingreso!K398)</f>
        <v/>
      </c>
      <c r="C394" s="45" t="str">
        <f>IF(Ingreso!L398="","",Ingreso!L398)</f>
        <v/>
      </c>
      <c r="D394" s="78" t="str">
        <f>IF(Ingreso!AH398="","",Ingreso!AH398)</f>
        <v/>
      </c>
      <c r="E394" s="78" t="str">
        <f>IF(B394="","",VLOOKUP(B394,#REF!,2,FALSE)/60)</f>
        <v/>
      </c>
    </row>
    <row r="395" spans="2:5">
      <c r="B395" s="45" t="str">
        <f>IF(Ingreso!K399="","",Ingreso!K399)</f>
        <v/>
      </c>
      <c r="C395" s="45" t="str">
        <f>IF(Ingreso!L399="","",Ingreso!L399)</f>
        <v/>
      </c>
      <c r="D395" s="78" t="str">
        <f>IF(Ingreso!AH399="","",Ingreso!AH399)</f>
        <v/>
      </c>
      <c r="E395" s="78" t="str">
        <f>IF(B395="","",VLOOKUP(B395,#REF!,2,FALSE)/60)</f>
        <v/>
      </c>
    </row>
    <row r="396" spans="2:5">
      <c r="B396" s="45" t="str">
        <f>IF(Ingreso!K400="","",Ingreso!K400)</f>
        <v/>
      </c>
      <c r="C396" s="45" t="str">
        <f>IF(Ingreso!L400="","",Ingreso!L400)</f>
        <v/>
      </c>
      <c r="D396" s="78" t="str">
        <f>IF(Ingreso!AH400="","",Ingreso!AH400)</f>
        <v/>
      </c>
      <c r="E396" s="78" t="str">
        <f>IF(B396="","",VLOOKUP(B396,#REF!,2,FALSE)/60)</f>
        <v/>
      </c>
    </row>
    <row r="397" spans="2:5">
      <c r="B397" s="45" t="str">
        <f>IF(Ingreso!K401="","",Ingreso!K401)</f>
        <v/>
      </c>
      <c r="C397" s="45" t="str">
        <f>IF(Ingreso!L401="","",Ingreso!L401)</f>
        <v/>
      </c>
      <c r="D397" s="78" t="str">
        <f>IF(Ingreso!AH401="","",Ingreso!AH401)</f>
        <v/>
      </c>
      <c r="E397" s="78" t="str">
        <f>IF(B397="","",VLOOKUP(B397,#REF!,2,FALSE)/60)</f>
        <v/>
      </c>
    </row>
    <row r="398" spans="2:5">
      <c r="B398" s="45" t="str">
        <f>IF(Ingreso!K402="","",Ingreso!K402)</f>
        <v/>
      </c>
      <c r="C398" s="45" t="str">
        <f>IF(Ingreso!L402="","",Ingreso!L402)</f>
        <v/>
      </c>
      <c r="D398" s="78" t="str">
        <f>IF(Ingreso!AH402="","",Ingreso!AH402)</f>
        <v/>
      </c>
      <c r="E398" s="78" t="str">
        <f>IF(B398="","",VLOOKUP(B398,#REF!,2,FALSE)/60)</f>
        <v/>
      </c>
    </row>
    <row r="399" spans="2:5">
      <c r="B399" s="45" t="str">
        <f>IF(Ingreso!K403="","",Ingreso!K403)</f>
        <v/>
      </c>
      <c r="C399" s="45" t="str">
        <f>IF(Ingreso!L403="","",Ingreso!L403)</f>
        <v/>
      </c>
      <c r="D399" s="78" t="str">
        <f>IF(Ingreso!AH403="","",Ingreso!AH403)</f>
        <v/>
      </c>
      <c r="E399" s="78" t="str">
        <f>IF(B399="","",VLOOKUP(B399,#REF!,2,FALSE)/60)</f>
        <v/>
      </c>
    </row>
    <row r="400" spans="2:5">
      <c r="B400" s="45" t="str">
        <f>IF(Ingreso!K404="","",Ingreso!K404)</f>
        <v/>
      </c>
      <c r="C400" s="45" t="str">
        <f>IF(Ingreso!L404="","",Ingreso!L404)</f>
        <v/>
      </c>
      <c r="D400" s="78" t="str">
        <f>IF(Ingreso!AH404="","",Ingreso!AH404)</f>
        <v/>
      </c>
      <c r="E400" s="78" t="str">
        <f>IF(B400="","",VLOOKUP(B400,#REF!,2,FALSE)/60)</f>
        <v/>
      </c>
    </row>
    <row r="401" spans="2:5">
      <c r="B401" s="45" t="str">
        <f>IF(Ingreso!K405="","",Ingreso!K405)</f>
        <v/>
      </c>
      <c r="C401" s="45" t="str">
        <f>IF(Ingreso!L405="","",Ingreso!L405)</f>
        <v/>
      </c>
      <c r="D401" s="78" t="str">
        <f>IF(Ingreso!AH405="","",Ingreso!AH405)</f>
        <v/>
      </c>
      <c r="E401" s="78" t="str">
        <f>IF(B401="","",VLOOKUP(B401,#REF!,2,FALSE)/60)</f>
        <v/>
      </c>
    </row>
    <row r="402" spans="2:5">
      <c r="B402" s="45" t="str">
        <f>IF(Ingreso!K406="","",Ingreso!K406)</f>
        <v/>
      </c>
      <c r="C402" s="45" t="str">
        <f>IF(Ingreso!L406="","",Ingreso!L406)</f>
        <v/>
      </c>
      <c r="D402" s="78" t="str">
        <f>IF(Ingreso!AH406="","",Ingreso!AH406)</f>
        <v/>
      </c>
      <c r="E402" s="78" t="str">
        <f>IF(B402="","",VLOOKUP(B402,#REF!,2,FALSE)/60)</f>
        <v/>
      </c>
    </row>
    <row r="403" spans="2:5">
      <c r="B403" s="45" t="str">
        <f>IF(Ingreso!K407="","",Ingreso!K407)</f>
        <v/>
      </c>
      <c r="C403" s="45" t="str">
        <f>IF(Ingreso!L407="","",Ingreso!L407)</f>
        <v/>
      </c>
      <c r="D403" s="78" t="str">
        <f>IF(Ingreso!AH407="","",Ingreso!AH407)</f>
        <v/>
      </c>
      <c r="E403" s="78" t="str">
        <f>IF(B403="","",VLOOKUP(B403,#REF!,2,FALSE)/60)</f>
        <v/>
      </c>
    </row>
    <row r="404" spans="2:5">
      <c r="B404" s="45" t="str">
        <f>IF(Ingreso!K408="","",Ingreso!K408)</f>
        <v/>
      </c>
      <c r="C404" s="45" t="str">
        <f>IF(Ingreso!L408="","",Ingreso!L408)</f>
        <v/>
      </c>
      <c r="D404" s="78" t="str">
        <f>IF(Ingreso!AH408="","",Ingreso!AH408)</f>
        <v/>
      </c>
      <c r="E404" s="78" t="str">
        <f>IF(B404="","",VLOOKUP(B404,#REF!,2,FALSE)/60)</f>
        <v/>
      </c>
    </row>
    <row r="405" spans="2:5">
      <c r="B405" s="45" t="str">
        <f>IF(Ingreso!K409="","",Ingreso!K409)</f>
        <v/>
      </c>
      <c r="C405" s="45" t="str">
        <f>IF(Ingreso!L409="","",Ingreso!L409)</f>
        <v/>
      </c>
      <c r="D405" s="78" t="str">
        <f>IF(Ingreso!AH409="","",Ingreso!AH409)</f>
        <v/>
      </c>
      <c r="E405" s="78" t="str">
        <f>IF(B405="","",VLOOKUP(B405,#REF!,2,FALSE)/60)</f>
        <v/>
      </c>
    </row>
  </sheetData>
  <autoFilter ref="B6:E405"/>
  <pageMargins left="0.7" right="0.7" top="0.75" bottom="0.75" header="0.3" footer="0.3"/>
  <pageSetup paperSize="9"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V1322"/>
  <sheetViews>
    <sheetView workbookViewId="0">
      <selection activeCell="N5" sqref="N5"/>
    </sheetView>
  </sheetViews>
  <sheetFormatPr baseColWidth="10" defaultRowHeight="12.75"/>
  <cols>
    <col min="2" max="2" width="33.42578125" customWidth="1"/>
    <col min="3" max="3" width="13.28515625" customWidth="1"/>
    <col min="4" max="4" width="8.140625" style="92" customWidth="1"/>
    <col min="6" max="6" width="11.42578125" style="75"/>
    <col min="12" max="12" width="15.85546875" customWidth="1"/>
    <col min="13" max="13" width="39" customWidth="1"/>
    <col min="14" max="14" width="15.140625" customWidth="1"/>
    <col min="15" max="15" width="12.140625" customWidth="1"/>
    <col min="16" max="16" width="4.28515625" style="75" customWidth="1"/>
    <col min="17" max="17" width="14.28515625" style="76" customWidth="1"/>
    <col min="18" max="18" width="14.28515625" style="98" customWidth="1"/>
    <col min="19" max="21" width="14.28515625" style="92" customWidth="1"/>
    <col min="22" max="22" width="14.28515625" customWidth="1"/>
  </cols>
  <sheetData>
    <row r="1" spans="1:22">
      <c r="P1"/>
      <c r="Q1" s="105"/>
      <c r="R1" s="106" t="s">
        <v>1371</v>
      </c>
    </row>
    <row r="2" spans="1:22">
      <c r="A2" s="45" t="s">
        <v>1345</v>
      </c>
      <c r="C2" s="43" t="s">
        <v>6</v>
      </c>
      <c r="D2" s="77">
        <v>0.3125</v>
      </c>
      <c r="P2"/>
      <c r="Q2" s="107"/>
      <c r="R2" s="108" t="s">
        <v>1372</v>
      </c>
    </row>
    <row r="3" spans="1:22">
      <c r="A3" s="45" t="s">
        <v>1347</v>
      </c>
      <c r="C3" s="43" t="s">
        <v>1330</v>
      </c>
      <c r="D3" s="77">
        <v>0.3125</v>
      </c>
      <c r="P3"/>
      <c r="Q3"/>
      <c r="R3"/>
    </row>
    <row r="4" spans="1:22">
      <c r="C4" s="43" t="s">
        <v>1332</v>
      </c>
      <c r="D4" s="77">
        <v>0.375</v>
      </c>
      <c r="P4"/>
      <c r="Q4"/>
      <c r="R4"/>
    </row>
    <row r="5" spans="1:22">
      <c r="C5" s="43" t="s">
        <v>1353</v>
      </c>
      <c r="D5" s="77">
        <v>0.41666666666666669</v>
      </c>
      <c r="P5"/>
      <c r="Q5"/>
      <c r="R5"/>
    </row>
    <row r="6" spans="1:22">
      <c r="P6"/>
      <c r="Q6"/>
      <c r="R6"/>
    </row>
    <row r="7" spans="1:22">
      <c r="P7"/>
      <c r="Q7"/>
      <c r="R7"/>
    </row>
    <row r="8" spans="1:22">
      <c r="A8" t="s">
        <v>1326</v>
      </c>
      <c r="B8" t="s">
        <v>1361</v>
      </c>
      <c r="C8" t="s">
        <v>1351</v>
      </c>
      <c r="D8" s="92">
        <v>0</v>
      </c>
      <c r="E8" t="s">
        <v>1359</v>
      </c>
      <c r="F8" s="75" t="s">
        <v>1357</v>
      </c>
      <c r="G8" t="s">
        <v>1358</v>
      </c>
      <c r="H8" t="s">
        <v>1360</v>
      </c>
      <c r="I8" s="88" t="s">
        <v>1368</v>
      </c>
      <c r="P8"/>
      <c r="Q8" s="99" t="s">
        <v>1354</v>
      </c>
      <c r="R8" s="76"/>
      <c r="S8" s="76"/>
      <c r="T8" s="76"/>
      <c r="U8" s="76"/>
      <c r="V8" s="76"/>
    </row>
    <row r="9" spans="1:22" ht="36" customHeight="1">
      <c r="A9" s="85" t="str">
        <f>VLOOKUP('Informe Kelly'!A2,Base!A:B,2,FALSE)</f>
        <v>05.080.993-5</v>
      </c>
      <c r="B9" s="85" t="str">
        <f>VLOOKUP('Informe Kelly'!A2,Base!A:G,7,FALSE)</f>
        <v>FIGUEROA NILO CARLOS</v>
      </c>
      <c r="C9" s="91">
        <f>'Informe Kelly'!E2</f>
        <v>40644</v>
      </c>
      <c r="D9" s="96">
        <f t="shared" ref="D9:D72" si="0">IF(C8=C9,IF(C9=C6,D8,IF(C9=C7,D8+1,D8)),D8+1)</f>
        <v>1</v>
      </c>
      <c r="E9" s="85" t="str">
        <f>VLOOKUP(A9,Ingreso!K:P,6,FALSE)</f>
        <v>Turno B</v>
      </c>
      <c r="F9" s="85">
        <f>IF('Informe Kelly'!H2=$A$2,'Informe Kelly'!F2,"")</f>
        <v>0.6005787037037037</v>
      </c>
      <c r="G9" s="85" t="str">
        <f>IF('Informe Kelly'!H2=$A$3,'Informe Kelly'!F2,"")</f>
        <v/>
      </c>
      <c r="H9" s="85">
        <f>IF(C9=C7,0,IF(D9=D8,0,(HLOOKUP(C9,Ingreso!$AN$10:$AU$260,VLOOKUP(A9,Ingreso!$AL$11:$AM$260,2,FALSE)))/24))</f>
        <v>0</v>
      </c>
      <c r="I9" s="77">
        <f>IF(C9=C7,0,IF(D9=D8,0,(VLOOKUP(E9,$C$2:$D$5,2,FALSE))))</f>
        <v>0.3125</v>
      </c>
      <c r="L9" s="68" t="s">
        <v>1326</v>
      </c>
      <c r="M9" s="68" t="s">
        <v>1361</v>
      </c>
      <c r="N9" s="68" t="s">
        <v>1351</v>
      </c>
      <c r="O9" s="68" t="s">
        <v>1359</v>
      </c>
      <c r="P9" s="68" t="s">
        <v>1364</v>
      </c>
      <c r="Q9" s="100" t="s">
        <v>1365</v>
      </c>
      <c r="R9" s="100" t="s">
        <v>1366</v>
      </c>
      <c r="S9" s="84" t="s">
        <v>1367</v>
      </c>
      <c r="T9" s="101" t="s">
        <v>1369</v>
      </c>
      <c r="U9" s="84" t="s">
        <v>1370</v>
      </c>
      <c r="V9" s="101" t="s">
        <v>1363</v>
      </c>
    </row>
    <row r="10" spans="1:22">
      <c r="A10" s="85" t="str">
        <f>VLOOKUP('Informe Kelly'!A3,Base!A:B,2,FALSE)</f>
        <v>05.080.993-5</v>
      </c>
      <c r="B10" s="85" t="str">
        <f>VLOOKUP('Informe Kelly'!A3,Base!A:G,7,FALSE)</f>
        <v>FIGUEROA NILO CARLOS</v>
      </c>
      <c r="C10" s="91">
        <f>'Informe Kelly'!E3</f>
        <v>40644</v>
      </c>
      <c r="D10" s="96">
        <f t="shared" si="0"/>
        <v>1</v>
      </c>
      <c r="E10" s="85" t="str">
        <f>VLOOKUP(A10,Ingreso!K:P,6,FALSE)</f>
        <v>Turno B</v>
      </c>
      <c r="F10" s="85" t="str">
        <f>IF('Informe Kelly'!H3=$A$2,'Informe Kelly'!F3,"")</f>
        <v/>
      </c>
      <c r="G10" s="85">
        <f>IF('Informe Kelly'!H3=$A$3,'Informe Kelly'!F3,"")</f>
        <v>0.93800925925925915</v>
      </c>
      <c r="H10" s="85">
        <f>IF(C10=C8,0,IF(D10=D9,0,(HLOOKUP(C10,Ingreso!$AN$10:$AU$260,VLOOKUP(A10,Ingreso!$AL$11:$AM$260,2,FALSE)))/24))</f>
        <v>0</v>
      </c>
      <c r="I10" s="77">
        <f t="shared" ref="I10:I73" si="1">IF(C10=C8,0,IF(D10=D9,0,(VLOOKUP(E10,$C$2:$D$5,2,FALSE))))</f>
        <v>0</v>
      </c>
      <c r="L10" t="s">
        <v>939</v>
      </c>
      <c r="M10" t="s">
        <v>942</v>
      </c>
      <c r="N10" s="69">
        <v>40644</v>
      </c>
      <c r="O10" t="s">
        <v>1353</v>
      </c>
      <c r="P10" s="79">
        <v>66</v>
      </c>
      <c r="Q10" s="76">
        <v>0</v>
      </c>
      <c r="R10" s="76">
        <v>0.33585648148148151</v>
      </c>
      <c r="S10" s="76">
        <v>0.33585648148148151</v>
      </c>
      <c r="T10" s="76">
        <v>0.41666666666666669</v>
      </c>
      <c r="U10" s="76">
        <v>-8.0810185185185179E-2</v>
      </c>
      <c r="V10" s="76">
        <v>0.3125</v>
      </c>
    </row>
    <row r="11" spans="1:22">
      <c r="A11" s="85" t="str">
        <f>VLOOKUP('Informe Kelly'!A4,Base!A:B,2,FALSE)</f>
        <v>05.080.993-5</v>
      </c>
      <c r="B11" s="85" t="str">
        <f>VLOOKUP('Informe Kelly'!A4,Base!A:G,7,FALSE)</f>
        <v>FIGUEROA NILO CARLOS</v>
      </c>
      <c r="C11" s="91">
        <f>'Informe Kelly'!E4</f>
        <v>40645</v>
      </c>
      <c r="D11" s="96">
        <f t="shared" si="0"/>
        <v>2</v>
      </c>
      <c r="E11" s="85" t="str">
        <f>VLOOKUP(A11,Ingreso!K:P,6,FALSE)</f>
        <v>Turno B</v>
      </c>
      <c r="F11" s="85">
        <f>IF('Informe Kelly'!H4=$A$2,'Informe Kelly'!F4,"")</f>
        <v>0.59415509259259258</v>
      </c>
      <c r="G11" s="85" t="str">
        <f>IF('Informe Kelly'!H4=$A$3,'Informe Kelly'!F4,"")</f>
        <v/>
      </c>
      <c r="H11" s="85">
        <f>IF(C11=C9,0,IF(D11=D10,0,(HLOOKUP(C11,Ingreso!$AN$10:$AU$260,VLOOKUP(A11,Ingreso!$AL$11:$AM$260,2,FALSE)))/24))</f>
        <v>0</v>
      </c>
      <c r="I11" s="77">
        <f t="shared" si="1"/>
        <v>0.3125</v>
      </c>
      <c r="N11" s="69">
        <v>40645</v>
      </c>
      <c r="O11" t="s">
        <v>1353</v>
      </c>
      <c r="P11" s="79">
        <v>67</v>
      </c>
      <c r="Q11" s="76">
        <v>0.30225694444444445</v>
      </c>
      <c r="R11" s="76">
        <v>0.77986111111111101</v>
      </c>
      <c r="S11" s="76">
        <v>0.47760416666666655</v>
      </c>
      <c r="T11" s="76">
        <v>0.41666666666666669</v>
      </c>
      <c r="U11" s="76">
        <v>6.0937499999999867E-2</v>
      </c>
      <c r="V11" s="76">
        <v>0</v>
      </c>
    </row>
    <row r="12" spans="1:22">
      <c r="A12" s="85" t="str">
        <f>VLOOKUP('Informe Kelly'!A5,Base!A:B,2,FALSE)</f>
        <v>05.080.993-5</v>
      </c>
      <c r="B12" s="85" t="str">
        <f>VLOOKUP('Informe Kelly'!A5,Base!A:G,7,FALSE)</f>
        <v>FIGUEROA NILO CARLOS</v>
      </c>
      <c r="C12" s="91">
        <f>'Informe Kelly'!E5</f>
        <v>40645</v>
      </c>
      <c r="D12" s="96">
        <f t="shared" si="0"/>
        <v>2</v>
      </c>
      <c r="E12" s="85" t="str">
        <f>VLOOKUP(A12,Ingreso!K:P,6,FALSE)</f>
        <v>Turno B</v>
      </c>
      <c r="F12" s="85" t="str">
        <f>IF('Informe Kelly'!H5=$A$2,'Informe Kelly'!F5,"")</f>
        <v/>
      </c>
      <c r="G12" s="85">
        <f>IF('Informe Kelly'!H5=$A$3,'Informe Kelly'!F5,"")</f>
        <v>0.93682870370370364</v>
      </c>
      <c r="H12" s="85">
        <f>IF(C12=C10,0,IF(D12=D11,0,(HLOOKUP(C12,Ingreso!$AN$10:$AU$260,VLOOKUP(A12,Ingreso!$AL$11:$AM$260,2,FALSE)))/24))</f>
        <v>0</v>
      </c>
      <c r="I12" s="77">
        <f t="shared" si="1"/>
        <v>0</v>
      </c>
      <c r="N12" s="69">
        <v>40646</v>
      </c>
      <c r="O12" t="s">
        <v>1353</v>
      </c>
      <c r="P12" s="79">
        <v>68</v>
      </c>
      <c r="Q12" s="76">
        <v>0.30361111111111111</v>
      </c>
      <c r="R12" s="76">
        <v>0.78331018518518514</v>
      </c>
      <c r="S12" s="76">
        <v>0.47969907407407403</v>
      </c>
      <c r="T12" s="76">
        <v>0.41666666666666669</v>
      </c>
      <c r="U12" s="76">
        <v>6.3032407407407343E-2</v>
      </c>
      <c r="V12" s="76">
        <v>0</v>
      </c>
    </row>
    <row r="13" spans="1:22">
      <c r="A13" s="85" t="str">
        <f>VLOOKUP('Informe Kelly'!A6,Base!A:B,2,FALSE)</f>
        <v>05.080.993-5</v>
      </c>
      <c r="B13" s="85" t="str">
        <f>VLOOKUP('Informe Kelly'!A6,Base!A:G,7,FALSE)</f>
        <v>FIGUEROA NILO CARLOS</v>
      </c>
      <c r="C13" s="91">
        <f>'Informe Kelly'!E6</f>
        <v>40646</v>
      </c>
      <c r="D13" s="96">
        <f t="shared" si="0"/>
        <v>3</v>
      </c>
      <c r="E13" s="85" t="str">
        <f>VLOOKUP(A13,Ingreso!K:P,6,FALSE)</f>
        <v>Turno B</v>
      </c>
      <c r="F13" s="85">
        <f>IF('Informe Kelly'!H6=$A$2,'Informe Kelly'!F6,"")</f>
        <v>0.60032407407407407</v>
      </c>
      <c r="G13" s="85" t="str">
        <f>IF('Informe Kelly'!H6=$A$3,'Informe Kelly'!F6,"")</f>
        <v/>
      </c>
      <c r="H13" s="85">
        <f>IF(C13=C11,0,IF(D13=D12,0,(HLOOKUP(C13,Ingreso!$AN$10:$AU$260,VLOOKUP(A13,Ingreso!$AL$11:$AM$260,2,FALSE)))/24))</f>
        <v>0</v>
      </c>
      <c r="I13" s="77">
        <f t="shared" si="1"/>
        <v>0.3125</v>
      </c>
      <c r="N13" s="69">
        <v>40647</v>
      </c>
      <c r="O13" t="s">
        <v>1353</v>
      </c>
      <c r="P13" s="79">
        <v>69</v>
      </c>
      <c r="Q13" s="76">
        <v>0.34700231481481486</v>
      </c>
      <c r="R13" s="76">
        <v>0.77961805555555552</v>
      </c>
      <c r="S13" s="76">
        <v>0.43261574074074066</v>
      </c>
      <c r="T13" s="76">
        <v>0.41666666666666669</v>
      </c>
      <c r="U13" s="76">
        <v>1.5949074074073977E-2</v>
      </c>
      <c r="V13" s="76">
        <v>0</v>
      </c>
    </row>
    <row r="14" spans="1:22">
      <c r="A14" s="85" t="str">
        <f>VLOOKUP('Informe Kelly'!A7,Base!A:B,2,FALSE)</f>
        <v>05.080.993-5</v>
      </c>
      <c r="B14" s="85" t="str">
        <f>VLOOKUP('Informe Kelly'!A7,Base!A:G,7,FALSE)</f>
        <v>FIGUEROA NILO CARLOS</v>
      </c>
      <c r="C14" s="91">
        <f>'Informe Kelly'!E7</f>
        <v>40646</v>
      </c>
      <c r="D14" s="96">
        <f t="shared" si="0"/>
        <v>3</v>
      </c>
      <c r="E14" s="85" t="str">
        <f>VLOOKUP(A14,Ingreso!K:P,6,FALSE)</f>
        <v>Turno B</v>
      </c>
      <c r="F14" s="85" t="str">
        <f>IF('Informe Kelly'!H7=$A$2,'Informe Kelly'!F7,"")</f>
        <v/>
      </c>
      <c r="G14" s="85">
        <f>IF('Informe Kelly'!H7=$A$3,'Informe Kelly'!F7,"")</f>
        <v>0.85018518518518515</v>
      </c>
      <c r="H14" s="85">
        <f>IF(C14=C12,0,IF(D14=D13,0,(HLOOKUP(C14,Ingreso!$AN$10:$AU$260,VLOOKUP(A14,Ingreso!$AL$11:$AM$260,2,FALSE)))/24))</f>
        <v>0</v>
      </c>
      <c r="I14" s="77">
        <f t="shared" si="1"/>
        <v>0</v>
      </c>
      <c r="N14" s="69">
        <v>40648</v>
      </c>
      <c r="O14" t="s">
        <v>1353</v>
      </c>
      <c r="P14" s="79">
        <v>70</v>
      </c>
      <c r="Q14" s="76">
        <v>0.30442129629629627</v>
      </c>
      <c r="R14" s="76">
        <v>0.75537037037037036</v>
      </c>
      <c r="S14" s="76">
        <v>0.45094907407407409</v>
      </c>
      <c r="T14" s="76">
        <v>0.41666666666666669</v>
      </c>
      <c r="U14" s="76">
        <v>3.42824074074074E-2</v>
      </c>
      <c r="V14" s="76">
        <v>0</v>
      </c>
    </row>
    <row r="15" spans="1:22">
      <c r="A15" s="85" t="str">
        <f>VLOOKUP('Informe Kelly'!A8,Base!A:B,2,FALSE)</f>
        <v>05.080.993-5</v>
      </c>
      <c r="B15" s="85" t="str">
        <f>VLOOKUP('Informe Kelly'!A8,Base!A:G,7,FALSE)</f>
        <v>FIGUEROA NILO CARLOS</v>
      </c>
      <c r="C15" s="91">
        <f>'Informe Kelly'!E8</f>
        <v>40647</v>
      </c>
      <c r="D15" s="96">
        <f t="shared" si="0"/>
        <v>4</v>
      </c>
      <c r="E15" s="85" t="str">
        <f>VLOOKUP(A15,Ingreso!K:P,6,FALSE)</f>
        <v>Turno B</v>
      </c>
      <c r="F15" s="85">
        <f>IF('Informe Kelly'!H8=$A$2,'Informe Kelly'!F8,"")</f>
        <v>0.60040509259259256</v>
      </c>
      <c r="G15" s="85" t="str">
        <f>IF('Informe Kelly'!H8=$A$3,'Informe Kelly'!F8,"")</f>
        <v/>
      </c>
      <c r="H15" s="85">
        <f>IF(C15=C13,0,IF(D15=D14,0,(HLOOKUP(C15,Ingreso!$AN$10:$AU$260,VLOOKUP(A15,Ingreso!$AL$11:$AM$260,2,FALSE)))/24))</f>
        <v>0</v>
      </c>
      <c r="I15" s="77">
        <f t="shared" si="1"/>
        <v>0.3125</v>
      </c>
      <c r="N15" s="69">
        <v>40650</v>
      </c>
      <c r="O15" t="s">
        <v>1353</v>
      </c>
      <c r="P15" s="79">
        <v>71</v>
      </c>
      <c r="Q15" s="76">
        <v>0.99990740740740736</v>
      </c>
      <c r="R15" s="76">
        <v>0</v>
      </c>
      <c r="S15" s="76">
        <v>9.2592592592644074E-5</v>
      </c>
      <c r="T15" s="76">
        <v>0.41666666666666669</v>
      </c>
      <c r="U15" s="76">
        <v>-0.41657407407407404</v>
      </c>
      <c r="V15" s="76">
        <v>0</v>
      </c>
    </row>
    <row r="16" spans="1:22">
      <c r="A16" s="85" t="str">
        <f>VLOOKUP('Informe Kelly'!A9,Base!A:B,2,FALSE)</f>
        <v>05.080.993-5</v>
      </c>
      <c r="B16" s="85" t="str">
        <f>VLOOKUP('Informe Kelly'!A9,Base!A:G,7,FALSE)</f>
        <v>FIGUEROA NILO CARLOS</v>
      </c>
      <c r="C16" s="91">
        <f>'Informe Kelly'!E9</f>
        <v>40647</v>
      </c>
      <c r="D16" s="96">
        <f t="shared" si="0"/>
        <v>4</v>
      </c>
      <c r="E16" s="85" t="str">
        <f>VLOOKUP(A16,Ingreso!K:P,6,FALSE)</f>
        <v>Turno B</v>
      </c>
      <c r="F16" s="85" t="str">
        <f>IF('Informe Kelly'!H9=$A$2,'Informe Kelly'!F9,"")</f>
        <v/>
      </c>
      <c r="G16" s="85">
        <f>IF('Informe Kelly'!H9=$A$3,'Informe Kelly'!F9,"")</f>
        <v>0.93754629629629627</v>
      </c>
      <c r="H16" s="85">
        <f>IF(C16=C14,0,IF(D16=D15,0,(HLOOKUP(C16,Ingreso!$AN$10:$AU$260,VLOOKUP(A16,Ingreso!$AL$11:$AM$260,2,FALSE)))/24))</f>
        <v>0</v>
      </c>
      <c r="I16" s="77">
        <f t="shared" si="1"/>
        <v>0</v>
      </c>
      <c r="L16" t="s">
        <v>234</v>
      </c>
      <c r="M16" t="s">
        <v>239</v>
      </c>
      <c r="N16" s="69">
        <v>40644</v>
      </c>
      <c r="O16" t="s">
        <v>1332</v>
      </c>
      <c r="P16" s="79">
        <v>97</v>
      </c>
      <c r="Q16" s="76">
        <v>0.92025462962962967</v>
      </c>
      <c r="R16" s="76">
        <v>0.3216087962962963</v>
      </c>
      <c r="S16" s="76">
        <v>0.40135416666666668</v>
      </c>
      <c r="T16" s="76">
        <v>0.375</v>
      </c>
      <c r="U16" s="76">
        <v>2.6354166666666679E-2</v>
      </c>
      <c r="V16" s="76">
        <v>0.3125</v>
      </c>
    </row>
    <row r="17" spans="1:22">
      <c r="A17" s="85" t="str">
        <f>VLOOKUP('Informe Kelly'!A10,Base!A:B,2,FALSE)</f>
        <v>05.080.993-5</v>
      </c>
      <c r="B17" s="85" t="str">
        <f>VLOOKUP('Informe Kelly'!A10,Base!A:G,7,FALSE)</f>
        <v>FIGUEROA NILO CARLOS</v>
      </c>
      <c r="C17" s="91">
        <f>'Informe Kelly'!E10</f>
        <v>40648</v>
      </c>
      <c r="D17" s="96">
        <f t="shared" si="0"/>
        <v>5</v>
      </c>
      <c r="E17" s="85" t="str">
        <f>VLOOKUP(A17,Ingreso!K:P,6,FALSE)</f>
        <v>Turno B</v>
      </c>
      <c r="F17" s="85">
        <f>IF('Informe Kelly'!H10=$A$2,'Informe Kelly'!F10,"")</f>
        <v>0.62310185185185185</v>
      </c>
      <c r="G17" s="85" t="str">
        <f>IF('Informe Kelly'!H10=$A$3,'Informe Kelly'!F10,"")</f>
        <v/>
      </c>
      <c r="H17" s="85">
        <f>IF(C17=C15,0,IF(D17=D16,0,(HLOOKUP(C17,Ingreso!$AN$10:$AU$260,VLOOKUP(A17,Ingreso!$AL$11:$AM$260,2,FALSE)))/24))</f>
        <v>0</v>
      </c>
      <c r="I17" s="77">
        <f t="shared" si="1"/>
        <v>0.3125</v>
      </c>
      <c r="N17" s="69">
        <v>40645</v>
      </c>
      <c r="O17" t="s">
        <v>1332</v>
      </c>
      <c r="P17" s="79">
        <v>98</v>
      </c>
      <c r="Q17" s="76">
        <v>0.91833333333333333</v>
      </c>
      <c r="R17" s="76">
        <v>0.32262731481481483</v>
      </c>
      <c r="S17" s="76">
        <v>0.40429398148148155</v>
      </c>
      <c r="T17" s="76">
        <v>0.375</v>
      </c>
      <c r="U17" s="76">
        <v>2.9293981481481546E-2</v>
      </c>
      <c r="V17" s="76">
        <v>0</v>
      </c>
    </row>
    <row r="18" spans="1:22">
      <c r="A18" s="85" t="str">
        <f>VLOOKUP('Informe Kelly'!A11,Base!A:B,2,FALSE)</f>
        <v>05.080.993-5</v>
      </c>
      <c r="B18" s="85" t="str">
        <f>VLOOKUP('Informe Kelly'!A11,Base!A:G,7,FALSE)</f>
        <v>FIGUEROA NILO CARLOS</v>
      </c>
      <c r="C18" s="91">
        <f>'Informe Kelly'!E11</f>
        <v>40648</v>
      </c>
      <c r="D18" s="96">
        <f t="shared" si="0"/>
        <v>5</v>
      </c>
      <c r="E18" s="85" t="str">
        <f>VLOOKUP(A18,Ingreso!K:P,6,FALSE)</f>
        <v>Turno B</v>
      </c>
      <c r="F18" s="85" t="str">
        <f>IF('Informe Kelly'!H11=$A$2,'Informe Kelly'!F11,"")</f>
        <v/>
      </c>
      <c r="G18" s="85">
        <f>IF('Informe Kelly'!H11=$A$3,'Informe Kelly'!F11,"")</f>
        <v>0.93752314814814808</v>
      </c>
      <c r="H18" s="85">
        <f>IF(C18=C16,0,IF(D18=D17,0,(HLOOKUP(C18,Ingreso!$AN$10:$AU$260,VLOOKUP(A18,Ingreso!$AL$11:$AM$260,2,FALSE)))/24))</f>
        <v>0</v>
      </c>
      <c r="I18" s="77">
        <f t="shared" si="1"/>
        <v>0</v>
      </c>
      <c r="N18" s="69">
        <v>40646</v>
      </c>
      <c r="O18" t="s">
        <v>1332</v>
      </c>
      <c r="P18" s="79">
        <v>99</v>
      </c>
      <c r="Q18" s="76">
        <v>0.92464120370370362</v>
      </c>
      <c r="R18" s="76">
        <v>0.32026620370370368</v>
      </c>
      <c r="S18" s="76">
        <v>0.395625</v>
      </c>
      <c r="T18" s="76">
        <v>0.375</v>
      </c>
      <c r="U18" s="76">
        <v>2.0625000000000004E-2</v>
      </c>
      <c r="V18" s="76">
        <v>0</v>
      </c>
    </row>
    <row r="19" spans="1:22">
      <c r="A19" s="85" t="str">
        <f>VLOOKUP('Informe Kelly'!A12,Base!A:B,2,FALSE)</f>
        <v>05.080.993-5</v>
      </c>
      <c r="B19" s="85" t="str">
        <f>VLOOKUP('Informe Kelly'!A12,Base!A:G,7,FALSE)</f>
        <v>FIGUEROA NILO CARLOS</v>
      </c>
      <c r="C19" s="91">
        <f>'Informe Kelly'!E12</f>
        <v>40649</v>
      </c>
      <c r="D19" s="96">
        <f t="shared" si="0"/>
        <v>6</v>
      </c>
      <c r="E19" s="85" t="str">
        <f>VLOOKUP(A19,Ingreso!K:P,6,FALSE)</f>
        <v>Turno B</v>
      </c>
      <c r="F19" s="85" t="str">
        <f>IF('Informe Kelly'!H12=$A$2,'Informe Kelly'!F12,"")</f>
        <v/>
      </c>
      <c r="G19" s="85">
        <f>IF('Informe Kelly'!H12=$A$3,'Informe Kelly'!F12,"")</f>
        <v>0.93815972222222221</v>
      </c>
      <c r="H19" s="85">
        <f>IF(C19=C17,0,IF(D19=D18,0,(HLOOKUP(C19,Ingreso!$AN$10:$AU$260,VLOOKUP(A19,Ingreso!$AL$11:$AM$260,2,FALSE)))/24))</f>
        <v>0</v>
      </c>
      <c r="I19" s="77">
        <f t="shared" si="1"/>
        <v>0.3125</v>
      </c>
      <c r="N19" s="69">
        <v>40647</v>
      </c>
      <c r="O19" t="s">
        <v>1332</v>
      </c>
      <c r="P19" s="79">
        <v>100</v>
      </c>
      <c r="Q19" s="76">
        <v>0.91953703703703704</v>
      </c>
      <c r="R19" s="76">
        <v>0.32255787037037037</v>
      </c>
      <c r="S19" s="76">
        <v>0.40302083333333338</v>
      </c>
      <c r="T19" s="76">
        <v>0.375</v>
      </c>
      <c r="U19" s="76">
        <v>2.8020833333333384E-2</v>
      </c>
      <c r="V19" s="76">
        <v>0</v>
      </c>
    </row>
    <row r="20" spans="1:22">
      <c r="A20" s="85" t="str">
        <f>VLOOKUP('Informe Kelly'!A13,Base!A:B,2,FALSE)</f>
        <v>05.080.993-5</v>
      </c>
      <c r="B20" s="85" t="str">
        <f>VLOOKUP('Informe Kelly'!A13,Base!A:G,7,FALSE)</f>
        <v>FIGUEROA NILO CARLOS</v>
      </c>
      <c r="C20" s="91">
        <f>'Informe Kelly'!E13</f>
        <v>40649</v>
      </c>
      <c r="D20" s="96">
        <f t="shared" si="0"/>
        <v>6</v>
      </c>
      <c r="E20" s="85" t="str">
        <f>VLOOKUP(A20,Ingreso!K:P,6,FALSE)</f>
        <v>Turno B</v>
      </c>
      <c r="F20" s="85">
        <f>IF('Informe Kelly'!H13=$A$2,'Informe Kelly'!F13,"")</f>
        <v>0.59476851851851853</v>
      </c>
      <c r="G20" s="85" t="str">
        <f>IF('Informe Kelly'!H13=$A$3,'Informe Kelly'!F13,"")</f>
        <v/>
      </c>
      <c r="H20" s="85">
        <f>IF(C20=C18,0,IF(D20=D19,0,(HLOOKUP(C20,Ingreso!$AN$10:$AU$260,VLOOKUP(A20,Ingreso!$AL$11:$AM$260,2,FALSE)))/24))</f>
        <v>0</v>
      </c>
      <c r="I20" s="77">
        <f t="shared" si="1"/>
        <v>0</v>
      </c>
      <c r="N20" s="69">
        <v>40648</v>
      </c>
      <c r="O20" t="s">
        <v>1332</v>
      </c>
      <c r="P20" s="79">
        <v>101</v>
      </c>
      <c r="Q20" s="76">
        <v>0.919988425925926</v>
      </c>
      <c r="R20" s="76">
        <v>0.32449074074074075</v>
      </c>
      <c r="S20" s="76">
        <v>0.40450231481481469</v>
      </c>
      <c r="T20" s="76">
        <v>0.375</v>
      </c>
      <c r="U20" s="76">
        <v>2.950231481481469E-2</v>
      </c>
      <c r="V20" s="76">
        <v>0</v>
      </c>
    </row>
    <row r="21" spans="1:22">
      <c r="A21" s="85" t="str">
        <f>VLOOKUP('Informe Kelly'!A14,Base!A:B,2,FALSE)</f>
        <v>05.267.317-8</v>
      </c>
      <c r="B21" s="85" t="str">
        <f>VLOOKUP('Informe Kelly'!A14,Base!A:G,7,FALSE)</f>
        <v xml:space="preserve">DUARTE BECERRA LUIS </v>
      </c>
      <c r="C21" s="91">
        <f>'Informe Kelly'!E14</f>
        <v>40644</v>
      </c>
      <c r="D21" s="96">
        <f t="shared" si="0"/>
        <v>7</v>
      </c>
      <c r="E21" s="85" t="str">
        <f>VLOOKUP(A21,Ingreso!K:P,6,FALSE)</f>
        <v>Admin</v>
      </c>
      <c r="F21" s="85">
        <f>IF('Informe Kelly'!H14=$A$2,'Informe Kelly'!F14,"")</f>
        <v>0.28668981481481481</v>
      </c>
      <c r="G21" s="85" t="str">
        <f>IF('Informe Kelly'!H14=$A$3,'Informe Kelly'!F14,"")</f>
        <v/>
      </c>
      <c r="H21" s="85">
        <f>IF(C21=C19,0,IF(D21=D20,0,(HLOOKUP(C21,Ingreso!$AN$10:$AU$260,VLOOKUP(A21,Ingreso!$AL$11:$AM$260,2,FALSE)))/24))</f>
        <v>0</v>
      </c>
      <c r="I21" s="77">
        <f t="shared" si="1"/>
        <v>0.41666666666666669</v>
      </c>
      <c r="N21" s="69">
        <v>40649</v>
      </c>
      <c r="O21" t="s">
        <v>1332</v>
      </c>
      <c r="P21" s="79">
        <v>102</v>
      </c>
      <c r="Q21" s="76">
        <v>0</v>
      </c>
      <c r="R21" s="76">
        <v>0.32495370370370369</v>
      </c>
      <c r="S21" s="76">
        <v>0.32495370370370369</v>
      </c>
      <c r="T21" s="76">
        <v>0.375</v>
      </c>
      <c r="U21" s="76">
        <v>-5.0046296296296311E-2</v>
      </c>
      <c r="V21" s="76">
        <v>0</v>
      </c>
    </row>
    <row r="22" spans="1:22">
      <c r="A22" s="85" t="str">
        <f>VLOOKUP('Informe Kelly'!A15,Base!A:B,2,FALSE)</f>
        <v>05.267.317-8</v>
      </c>
      <c r="B22" s="85" t="str">
        <f>VLOOKUP('Informe Kelly'!A15,Base!A:G,7,FALSE)</f>
        <v xml:space="preserve">DUARTE BECERRA LUIS </v>
      </c>
      <c r="C22" s="91">
        <f>'Informe Kelly'!E15</f>
        <v>40644</v>
      </c>
      <c r="D22" s="96">
        <f t="shared" si="0"/>
        <v>7</v>
      </c>
      <c r="E22" s="85" t="str">
        <f>VLOOKUP(A22,Ingreso!K:P,6,FALSE)</f>
        <v>Admin</v>
      </c>
      <c r="F22" s="85" t="str">
        <f>IF('Informe Kelly'!H15=$A$2,'Informe Kelly'!F15,"")</f>
        <v/>
      </c>
      <c r="G22" s="85">
        <f>IF('Informe Kelly'!H15=$A$3,'Informe Kelly'!F15,"")</f>
        <v>0.72828703703703701</v>
      </c>
      <c r="H22" s="85">
        <f>IF(C22=C20,0,IF(D22=D21,0,(HLOOKUP(C22,Ingreso!$AN$10:$AU$260,VLOOKUP(A22,Ingreso!$AL$11:$AM$260,2,FALSE)))/24))</f>
        <v>0</v>
      </c>
      <c r="I22" s="77">
        <f t="shared" si="1"/>
        <v>0</v>
      </c>
      <c r="L22" t="s">
        <v>1132</v>
      </c>
      <c r="M22" t="s">
        <v>1134</v>
      </c>
      <c r="N22" s="69">
        <v>40644</v>
      </c>
      <c r="O22" t="s">
        <v>1330</v>
      </c>
      <c r="P22" s="79">
        <v>144</v>
      </c>
      <c r="Q22" s="76">
        <v>9.1203703703703707E-3</v>
      </c>
      <c r="R22" s="76">
        <v>0.33141203703703703</v>
      </c>
      <c r="S22" s="76">
        <v>0.32229166666666664</v>
      </c>
      <c r="T22" s="76">
        <v>0.3125</v>
      </c>
      <c r="U22" s="76">
        <v>9.791666666666643E-3</v>
      </c>
      <c r="V22" s="76">
        <v>0.3125</v>
      </c>
    </row>
    <row r="23" spans="1:22">
      <c r="A23" s="85" t="str">
        <f>VLOOKUP('Informe Kelly'!A16,Base!A:B,2,FALSE)</f>
        <v>05.267.317-8</v>
      </c>
      <c r="B23" s="85" t="str">
        <f>VLOOKUP('Informe Kelly'!A16,Base!A:G,7,FALSE)</f>
        <v xml:space="preserve">DUARTE BECERRA LUIS </v>
      </c>
      <c r="C23" s="91">
        <f>'Informe Kelly'!E16</f>
        <v>40645</v>
      </c>
      <c r="D23" s="96">
        <f t="shared" si="0"/>
        <v>8</v>
      </c>
      <c r="E23" s="85" t="str">
        <f>VLOOKUP(A23,Ingreso!K:P,6,FALSE)</f>
        <v>Admin</v>
      </c>
      <c r="F23" s="85">
        <f>IF('Informe Kelly'!H16=$A$2,'Informe Kelly'!F16,"")</f>
        <v>0.29966435185185186</v>
      </c>
      <c r="G23" s="85" t="str">
        <f>IF('Informe Kelly'!H16=$A$3,'Informe Kelly'!F16,"")</f>
        <v/>
      </c>
      <c r="H23" s="85">
        <f>IF(C23=C21,0,IF(D23=D22,0,(HLOOKUP(C23,Ingreso!$AN$10:$AU$260,VLOOKUP(A23,Ingreso!$AL$11:$AM$260,2,FALSE)))/24))</f>
        <v>0</v>
      </c>
      <c r="I23" s="77">
        <f t="shared" si="1"/>
        <v>0.41666666666666669</v>
      </c>
      <c r="P23" s="79">
        <v>145</v>
      </c>
      <c r="Q23" s="76">
        <v>0.61850694444444443</v>
      </c>
      <c r="R23" s="76">
        <v>0.94244212962962959</v>
      </c>
      <c r="S23" s="76">
        <v>0.32393518518518516</v>
      </c>
      <c r="T23" s="76">
        <v>0</v>
      </c>
      <c r="U23" s="76">
        <v>0.32393518518518516</v>
      </c>
      <c r="V23" s="76">
        <v>0</v>
      </c>
    </row>
    <row r="24" spans="1:22">
      <c r="A24" s="85" t="str">
        <f>VLOOKUP('Informe Kelly'!A17,Base!A:B,2,FALSE)</f>
        <v>05.267.317-8</v>
      </c>
      <c r="B24" s="85" t="str">
        <f>VLOOKUP('Informe Kelly'!A17,Base!A:G,7,FALSE)</f>
        <v xml:space="preserve">DUARTE BECERRA LUIS </v>
      </c>
      <c r="C24" s="91">
        <f>'Informe Kelly'!E17</f>
        <v>40645</v>
      </c>
      <c r="D24" s="96">
        <f t="shared" si="0"/>
        <v>8</v>
      </c>
      <c r="E24" s="85" t="str">
        <f>VLOOKUP(A24,Ingreso!K:P,6,FALSE)</f>
        <v>Admin</v>
      </c>
      <c r="F24" s="85" t="str">
        <f>IF('Informe Kelly'!H17=$A$2,'Informe Kelly'!F17,"")</f>
        <v/>
      </c>
      <c r="G24" s="85">
        <f>IF('Informe Kelly'!H17=$A$3,'Informe Kelly'!F17,"")</f>
        <v>0.72619212962962953</v>
      </c>
      <c r="H24" s="85">
        <f>IF(C24=C22,0,IF(D24=D23,0,(HLOOKUP(C24,Ingreso!$AN$10:$AU$260,VLOOKUP(A24,Ingreso!$AL$11:$AM$260,2,FALSE)))/24))</f>
        <v>0</v>
      </c>
      <c r="I24" s="77">
        <f t="shared" si="1"/>
        <v>0</v>
      </c>
      <c r="N24" s="69">
        <v>40645</v>
      </c>
      <c r="O24" t="s">
        <v>1330</v>
      </c>
      <c r="P24" s="79">
        <v>146</v>
      </c>
      <c r="Q24" s="76">
        <v>0.6055208333333334</v>
      </c>
      <c r="R24" s="76">
        <v>0.94282407407407398</v>
      </c>
      <c r="S24" s="76">
        <v>0.33730324074074058</v>
      </c>
      <c r="T24" s="76">
        <v>0.3125</v>
      </c>
      <c r="U24" s="76">
        <v>2.4803240740740584E-2</v>
      </c>
      <c r="V24" s="76">
        <v>0</v>
      </c>
    </row>
    <row r="25" spans="1:22">
      <c r="A25" s="85" t="str">
        <f>VLOOKUP('Informe Kelly'!A18,Base!A:B,2,FALSE)</f>
        <v>05.267.317-8</v>
      </c>
      <c r="B25" s="85" t="str">
        <f>VLOOKUP('Informe Kelly'!A18,Base!A:G,7,FALSE)</f>
        <v xml:space="preserve">DUARTE BECERRA LUIS </v>
      </c>
      <c r="C25" s="91">
        <f>'Informe Kelly'!E18</f>
        <v>40646</v>
      </c>
      <c r="D25" s="96">
        <f t="shared" si="0"/>
        <v>9</v>
      </c>
      <c r="E25" s="85" t="str">
        <f>VLOOKUP(A25,Ingreso!K:P,6,FALSE)</f>
        <v>Admin</v>
      </c>
      <c r="F25" s="85">
        <f>IF('Informe Kelly'!H18=$A$2,'Informe Kelly'!F18,"")</f>
        <v>0.28695601851851854</v>
      </c>
      <c r="G25" s="85" t="str">
        <f>IF('Informe Kelly'!H18=$A$3,'Informe Kelly'!F18,"")</f>
        <v/>
      </c>
      <c r="H25" s="85">
        <f>IF(C25=C23,0,IF(D25=D24,0,(HLOOKUP(C25,Ingreso!$AN$10:$AU$260,VLOOKUP(A25,Ingreso!$AL$11:$AM$260,2,FALSE)))/24))</f>
        <v>0</v>
      </c>
      <c r="I25" s="77">
        <f t="shared" si="1"/>
        <v>0.41666666666666669</v>
      </c>
      <c r="N25" s="69">
        <v>40646</v>
      </c>
      <c r="O25" t="s">
        <v>1330</v>
      </c>
      <c r="P25" s="79">
        <v>147</v>
      </c>
      <c r="Q25" s="76">
        <v>0.60834490740740743</v>
      </c>
      <c r="R25" s="76">
        <v>0.94327546296296294</v>
      </c>
      <c r="S25" s="76">
        <v>0.33493055555555551</v>
      </c>
      <c r="T25" s="76">
        <v>0.3125</v>
      </c>
      <c r="U25" s="76">
        <v>2.2430555555555509E-2</v>
      </c>
      <c r="V25" s="76">
        <v>0</v>
      </c>
    </row>
    <row r="26" spans="1:22">
      <c r="A26" s="85" t="str">
        <f>VLOOKUP('Informe Kelly'!A19,Base!A:B,2,FALSE)</f>
        <v>05.267.317-8</v>
      </c>
      <c r="B26" s="85" t="str">
        <f>VLOOKUP('Informe Kelly'!A19,Base!A:G,7,FALSE)</f>
        <v xml:space="preserve">DUARTE BECERRA LUIS </v>
      </c>
      <c r="C26" s="91">
        <f>'Informe Kelly'!E19</f>
        <v>40646</v>
      </c>
      <c r="D26" s="96">
        <f t="shared" si="0"/>
        <v>9</v>
      </c>
      <c r="E26" s="85" t="str">
        <f>VLOOKUP(A26,Ingreso!K:P,6,FALSE)</f>
        <v>Admin</v>
      </c>
      <c r="F26" s="85" t="str">
        <f>IF('Informe Kelly'!H19=$A$2,'Informe Kelly'!F19,"")</f>
        <v/>
      </c>
      <c r="G26" s="85">
        <f>IF('Informe Kelly'!H19=$A$3,'Informe Kelly'!F19,"")</f>
        <v>0.73567129629629635</v>
      </c>
      <c r="H26" s="85">
        <f>IF(C26=C24,0,IF(D26=D25,0,(HLOOKUP(C26,Ingreso!$AN$10:$AU$260,VLOOKUP(A26,Ingreso!$AL$11:$AM$260,2,FALSE)))/24))</f>
        <v>0</v>
      </c>
      <c r="I26" s="77">
        <f t="shared" si="1"/>
        <v>0</v>
      </c>
      <c r="N26" s="69">
        <v>40647</v>
      </c>
      <c r="O26" t="s">
        <v>1330</v>
      </c>
      <c r="P26" s="79">
        <v>148</v>
      </c>
      <c r="Q26" s="76">
        <v>0.60700231481481481</v>
      </c>
      <c r="R26" s="76">
        <v>0.9456134259259259</v>
      </c>
      <c r="S26" s="76">
        <v>0.33861111111111108</v>
      </c>
      <c r="T26" s="76">
        <v>0.3125</v>
      </c>
      <c r="U26" s="76">
        <v>2.6111111111111085E-2</v>
      </c>
      <c r="V26" s="76">
        <v>0</v>
      </c>
    </row>
    <row r="27" spans="1:22">
      <c r="A27" s="85" t="str">
        <f>VLOOKUP('Informe Kelly'!A20,Base!A:B,2,FALSE)</f>
        <v>05.267.317-8</v>
      </c>
      <c r="B27" s="85" t="str">
        <f>VLOOKUP('Informe Kelly'!A20,Base!A:G,7,FALSE)</f>
        <v xml:space="preserve">DUARTE BECERRA LUIS </v>
      </c>
      <c r="C27" s="91">
        <f>'Informe Kelly'!E20</f>
        <v>40647</v>
      </c>
      <c r="D27" s="96">
        <f t="shared" si="0"/>
        <v>10</v>
      </c>
      <c r="E27" s="85" t="str">
        <f>VLOOKUP(A27,Ingreso!K:P,6,FALSE)</f>
        <v>Admin</v>
      </c>
      <c r="F27" s="85">
        <f>IF('Informe Kelly'!H20=$A$2,'Informe Kelly'!F20,"")</f>
        <v>0.28765046296296298</v>
      </c>
      <c r="G27" s="85" t="str">
        <f>IF('Informe Kelly'!H20=$A$3,'Informe Kelly'!F20,"")</f>
        <v/>
      </c>
      <c r="H27" s="85">
        <f>IF(C27=C25,0,IF(D27=D26,0,(HLOOKUP(C27,Ingreso!$AN$10:$AU$260,VLOOKUP(A27,Ingreso!$AL$11:$AM$260,2,FALSE)))/24))</f>
        <v>0</v>
      </c>
      <c r="I27" s="77">
        <f t="shared" si="1"/>
        <v>0.41666666666666669</v>
      </c>
      <c r="N27" s="69">
        <v>40648</v>
      </c>
      <c r="O27" t="s">
        <v>1330</v>
      </c>
      <c r="P27" s="79">
        <v>149</v>
      </c>
      <c r="Q27" s="76">
        <v>0.60651620370370374</v>
      </c>
      <c r="R27" s="76">
        <v>0.94822916666666668</v>
      </c>
      <c r="S27" s="76">
        <v>0.34171296296296294</v>
      </c>
      <c r="T27" s="76">
        <v>0.3125</v>
      </c>
      <c r="U27" s="76">
        <v>2.9212962962962941E-2</v>
      </c>
      <c r="V27" s="76">
        <v>0</v>
      </c>
    </row>
    <row r="28" spans="1:22">
      <c r="A28" s="85" t="str">
        <f>VLOOKUP('Informe Kelly'!A21,Base!A:B,2,FALSE)</f>
        <v>05.267.317-8</v>
      </c>
      <c r="B28" s="85" t="str">
        <f>VLOOKUP('Informe Kelly'!A21,Base!A:G,7,FALSE)</f>
        <v xml:space="preserve">DUARTE BECERRA LUIS </v>
      </c>
      <c r="C28" s="91">
        <f>'Informe Kelly'!E21</f>
        <v>40647</v>
      </c>
      <c r="D28" s="96">
        <f t="shared" si="0"/>
        <v>10</v>
      </c>
      <c r="E28" s="85" t="str">
        <f>VLOOKUP(A28,Ingreso!K:P,6,FALSE)</f>
        <v>Admin</v>
      </c>
      <c r="F28" s="85" t="str">
        <f>IF('Informe Kelly'!H21=$A$2,'Informe Kelly'!F21,"")</f>
        <v/>
      </c>
      <c r="G28" s="85">
        <f>IF('Informe Kelly'!H21=$A$3,'Informe Kelly'!F21,"")</f>
        <v>0.72928240740740735</v>
      </c>
      <c r="H28" s="85">
        <f>IF(C28=C26,0,IF(D28=D27,0,(HLOOKUP(C28,Ingreso!$AN$10:$AU$260,VLOOKUP(A28,Ingreso!$AL$11:$AM$260,2,FALSE)))/24))</f>
        <v>0</v>
      </c>
      <c r="I28" s="77">
        <f t="shared" si="1"/>
        <v>0</v>
      </c>
      <c r="N28" s="69">
        <v>40649</v>
      </c>
      <c r="O28" t="s">
        <v>1330</v>
      </c>
      <c r="P28" s="79">
        <v>150</v>
      </c>
      <c r="Q28" s="76">
        <v>0.60760416666666661</v>
      </c>
      <c r="R28" s="76">
        <v>0.65806712962962965</v>
      </c>
      <c r="S28" s="76">
        <v>5.0462962962963043E-2</v>
      </c>
      <c r="T28" s="76">
        <v>0.3125</v>
      </c>
      <c r="U28" s="76">
        <v>-0.26203703703703696</v>
      </c>
      <c r="V28" s="76">
        <v>0</v>
      </c>
    </row>
    <row r="29" spans="1:22">
      <c r="A29" s="85" t="str">
        <f>VLOOKUP('Informe Kelly'!A22,Base!A:B,2,FALSE)</f>
        <v>05.267.317-8</v>
      </c>
      <c r="B29" s="85" t="str">
        <f>VLOOKUP('Informe Kelly'!A22,Base!A:G,7,FALSE)</f>
        <v xml:space="preserve">DUARTE BECERRA LUIS </v>
      </c>
      <c r="C29" s="91">
        <f>'Informe Kelly'!E22</f>
        <v>40648</v>
      </c>
      <c r="D29" s="96">
        <f t="shared" si="0"/>
        <v>11</v>
      </c>
      <c r="E29" s="85" t="str">
        <f>VLOOKUP(A29,Ingreso!K:P,6,FALSE)</f>
        <v>Admin</v>
      </c>
      <c r="F29" s="85">
        <f>IF('Informe Kelly'!H22=$A$2,'Informe Kelly'!F22,"")</f>
        <v>0.2840625</v>
      </c>
      <c r="G29" s="85" t="str">
        <f>IF('Informe Kelly'!H22=$A$3,'Informe Kelly'!F22,"")</f>
        <v/>
      </c>
      <c r="H29" s="85">
        <f>IF(C29=C27,0,IF(D29=D28,0,(HLOOKUP(C29,Ingreso!$AN$10:$AU$260,VLOOKUP(A29,Ingreso!$AL$11:$AM$260,2,FALSE)))/24))</f>
        <v>0.125</v>
      </c>
      <c r="I29" s="77">
        <f t="shared" si="1"/>
        <v>0.41666666666666669</v>
      </c>
      <c r="L29" t="s">
        <v>1119</v>
      </c>
      <c r="M29" t="s">
        <v>1121</v>
      </c>
      <c r="N29" s="69">
        <v>40644</v>
      </c>
      <c r="O29" t="s">
        <v>6</v>
      </c>
      <c r="P29" s="79">
        <v>322</v>
      </c>
      <c r="Q29" s="76">
        <v>0.29543981481481479</v>
      </c>
      <c r="R29" s="76">
        <v>0.64180555555555552</v>
      </c>
      <c r="S29" s="76">
        <v>0.34636574074074072</v>
      </c>
      <c r="T29" s="76">
        <v>0.3125</v>
      </c>
      <c r="U29" s="76">
        <v>3.3865740740740724E-2</v>
      </c>
      <c r="V29" s="76">
        <v>0</v>
      </c>
    </row>
    <row r="30" spans="1:22">
      <c r="A30" s="85" t="str">
        <f>VLOOKUP('Informe Kelly'!A23,Base!A:B,2,FALSE)</f>
        <v>05.267.317-8</v>
      </c>
      <c r="B30" s="85" t="str">
        <f>VLOOKUP('Informe Kelly'!A23,Base!A:G,7,FALSE)</f>
        <v xml:space="preserve">DUARTE BECERRA LUIS </v>
      </c>
      <c r="C30" s="91">
        <f>'Informe Kelly'!E23</f>
        <v>40648</v>
      </c>
      <c r="D30" s="96">
        <f t="shared" si="0"/>
        <v>11</v>
      </c>
      <c r="E30" s="85" t="str">
        <f>VLOOKUP(A30,Ingreso!K:P,6,FALSE)</f>
        <v>Admin</v>
      </c>
      <c r="F30" s="85" t="str">
        <f>IF('Informe Kelly'!H23=$A$2,'Informe Kelly'!F23,"")</f>
        <v/>
      </c>
      <c r="G30" s="85">
        <f>IF('Informe Kelly'!H23=$A$3,'Informe Kelly'!F23,"")</f>
        <v>0.87041666666666673</v>
      </c>
      <c r="H30" s="85">
        <f>IF(C30=C28,0,IF(D30=D29,0,(HLOOKUP(C30,Ingreso!$AN$10:$AU$260,VLOOKUP(A30,Ingreso!$AL$11:$AM$260,2,FALSE)))/24))</f>
        <v>0</v>
      </c>
      <c r="I30" s="77">
        <f t="shared" si="1"/>
        <v>0</v>
      </c>
      <c r="N30" s="69">
        <v>40645</v>
      </c>
      <c r="O30" t="s">
        <v>6</v>
      </c>
      <c r="P30" s="79">
        <v>323</v>
      </c>
      <c r="Q30" s="76">
        <v>0.29655092592592591</v>
      </c>
      <c r="R30" s="76">
        <v>0.63953703703703701</v>
      </c>
      <c r="S30" s="76">
        <v>0.3429861111111111</v>
      </c>
      <c r="T30" s="76">
        <v>0.3125</v>
      </c>
      <c r="U30" s="76">
        <v>3.0486111111111103E-2</v>
      </c>
      <c r="V30" s="76">
        <v>0</v>
      </c>
    </row>
    <row r="31" spans="1:22">
      <c r="A31" s="85" t="str">
        <f>VLOOKUP('Informe Kelly'!A24,Base!A:B,2,FALSE)</f>
        <v>05.267.317-8</v>
      </c>
      <c r="B31" s="85" t="str">
        <f>VLOOKUP('Informe Kelly'!A24,Base!A:G,7,FALSE)</f>
        <v xml:space="preserve">DUARTE BECERRA LUIS </v>
      </c>
      <c r="C31" s="91">
        <f>'Informe Kelly'!E24</f>
        <v>40649</v>
      </c>
      <c r="D31" s="96">
        <f t="shared" si="0"/>
        <v>12</v>
      </c>
      <c r="E31" s="85" t="str">
        <f>VLOOKUP(A31,Ingreso!K:P,6,FALSE)</f>
        <v>Admin</v>
      </c>
      <c r="F31" s="85" t="str">
        <f>IF('Informe Kelly'!H24=$A$2,'Informe Kelly'!F24,"")</f>
        <v/>
      </c>
      <c r="G31" s="85">
        <f>IF('Informe Kelly'!H24=$A$3,'Informe Kelly'!F24,"")</f>
        <v>0.57298611111111108</v>
      </c>
      <c r="H31" s="85">
        <f>IF(C31=C29,0,IF(D31=D30,0,(HLOOKUP(C31,Ingreso!$AN$10:$AU$260,VLOOKUP(A31,Ingreso!$AL$11:$AM$260,2,FALSE)))/24))</f>
        <v>0.25</v>
      </c>
      <c r="I31" s="77">
        <f t="shared" si="1"/>
        <v>0.41666666666666669</v>
      </c>
      <c r="N31" s="69">
        <v>40646</v>
      </c>
      <c r="O31" t="s">
        <v>6</v>
      </c>
      <c r="P31" s="79">
        <v>324</v>
      </c>
      <c r="Q31" s="76">
        <v>0.29640046296296296</v>
      </c>
      <c r="R31" s="76">
        <v>0.63694444444444442</v>
      </c>
      <c r="S31" s="76">
        <v>0.34054398148148146</v>
      </c>
      <c r="T31" s="76">
        <v>0.3125</v>
      </c>
      <c r="U31" s="76">
        <v>2.8043981481481461E-2</v>
      </c>
      <c r="V31" s="76">
        <v>0</v>
      </c>
    </row>
    <row r="32" spans="1:22">
      <c r="A32" s="85" t="str">
        <f>VLOOKUP('Informe Kelly'!A25,Base!A:B,2,FALSE)</f>
        <v>05.267.317-8</v>
      </c>
      <c r="B32" s="85" t="str">
        <f>VLOOKUP('Informe Kelly'!A25,Base!A:G,7,FALSE)</f>
        <v xml:space="preserve">DUARTE BECERRA LUIS </v>
      </c>
      <c r="C32" s="91">
        <f>'Informe Kelly'!E25</f>
        <v>40649</v>
      </c>
      <c r="D32" s="96">
        <f t="shared" si="0"/>
        <v>12</v>
      </c>
      <c r="E32" s="85" t="str">
        <f>VLOOKUP(A32,Ingreso!K:P,6,FALSE)</f>
        <v>Admin</v>
      </c>
      <c r="F32" s="85">
        <f>IF('Informe Kelly'!H25=$A$2,'Informe Kelly'!F25,"")</f>
        <v>0.30790509259259258</v>
      </c>
      <c r="G32" s="85" t="str">
        <f>IF('Informe Kelly'!H25=$A$3,'Informe Kelly'!F25,"")</f>
        <v/>
      </c>
      <c r="H32" s="85">
        <f>IF(C32=C30,0,IF(D32=D31,0,(HLOOKUP(C32,Ingreso!$AN$10:$AU$260,VLOOKUP(A32,Ingreso!$AL$11:$AM$260,2,FALSE)))/24))</f>
        <v>0</v>
      </c>
      <c r="I32" s="77">
        <f t="shared" si="1"/>
        <v>0</v>
      </c>
      <c r="N32" s="69">
        <v>40647</v>
      </c>
      <c r="O32" t="s">
        <v>6</v>
      </c>
      <c r="P32" s="79">
        <v>325</v>
      </c>
      <c r="Q32" s="76">
        <v>0.29673611111111114</v>
      </c>
      <c r="R32" s="76">
        <v>0.64226851851851852</v>
      </c>
      <c r="S32" s="76">
        <v>0.34553240740740737</v>
      </c>
      <c r="T32" s="76">
        <v>0.3125</v>
      </c>
      <c r="U32" s="76">
        <v>3.3032407407407371E-2</v>
      </c>
      <c r="V32" s="76">
        <v>0</v>
      </c>
    </row>
    <row r="33" spans="1:22">
      <c r="A33" s="85" t="str">
        <f>VLOOKUP('Informe Kelly'!A26,Base!A:B,2,FALSE)</f>
        <v>05.989.878-7</v>
      </c>
      <c r="B33" s="85" t="str">
        <f>VLOOKUP('Informe Kelly'!A26,Base!A:G,7,FALSE)</f>
        <v>FIGUEROA PAVEZ NELLY E.</v>
      </c>
      <c r="C33" s="91">
        <f>'Informe Kelly'!E26</f>
        <v>40644</v>
      </c>
      <c r="D33" s="96">
        <f t="shared" si="0"/>
        <v>13</v>
      </c>
      <c r="E33" s="85" t="str">
        <f>VLOOKUP(A33,Ingreso!K:P,6,FALSE)</f>
        <v>Turno B</v>
      </c>
      <c r="F33" s="85">
        <f>IF('Informe Kelly'!H26=$A$2,'Informe Kelly'!F26,"")</f>
        <v>0.60752314814814812</v>
      </c>
      <c r="G33" s="85" t="str">
        <f>IF('Informe Kelly'!H26=$A$3,'Informe Kelly'!F26,"")</f>
        <v/>
      </c>
      <c r="H33" s="85">
        <f>IF(C33=C31,0,IF(D33=D32,0,(HLOOKUP(C33,Ingreso!$AN$10:$AU$260,VLOOKUP(A33,Ingreso!$AL$11:$AM$260,2,FALSE)))/24))</f>
        <v>0</v>
      </c>
      <c r="I33" s="77">
        <f t="shared" si="1"/>
        <v>0.3125</v>
      </c>
      <c r="N33" s="69">
        <v>40648</v>
      </c>
      <c r="O33" t="s">
        <v>6</v>
      </c>
      <c r="P33" s="79">
        <v>326</v>
      </c>
      <c r="Q33" s="76">
        <v>0.29641203703703706</v>
      </c>
      <c r="R33" s="76">
        <v>0.69627314814814811</v>
      </c>
      <c r="S33" s="76">
        <v>0.39986111111111106</v>
      </c>
      <c r="T33" s="76">
        <v>0.3125</v>
      </c>
      <c r="U33" s="76">
        <v>8.7361111111111056E-2</v>
      </c>
      <c r="V33" s="76">
        <v>4.1666666666666664E-2</v>
      </c>
    </row>
    <row r="34" spans="1:22">
      <c r="A34" s="85" t="str">
        <f>VLOOKUP('Informe Kelly'!A27,Base!A:B,2,FALSE)</f>
        <v>05.989.878-7</v>
      </c>
      <c r="B34" s="85" t="str">
        <f>VLOOKUP('Informe Kelly'!A27,Base!A:G,7,FALSE)</f>
        <v>FIGUEROA PAVEZ NELLY E.</v>
      </c>
      <c r="C34" s="91">
        <f>'Informe Kelly'!E27</f>
        <v>40644</v>
      </c>
      <c r="D34" s="96">
        <f t="shared" si="0"/>
        <v>13</v>
      </c>
      <c r="E34" s="85" t="str">
        <f>VLOOKUP(A34,Ingreso!K:P,6,FALSE)</f>
        <v>Turno B</v>
      </c>
      <c r="F34" s="85" t="str">
        <f>IF('Informe Kelly'!H27=$A$2,'Informe Kelly'!F27,"")</f>
        <v/>
      </c>
      <c r="G34" s="85">
        <f>IF('Informe Kelly'!H27=$A$3,'Informe Kelly'!F27,"")</f>
        <v>0.94047453703703709</v>
      </c>
      <c r="H34" s="85">
        <f>IF(C34=C32,0,IF(D34=D33,0,(HLOOKUP(C34,Ingreso!$AN$10:$AU$260,VLOOKUP(A34,Ingreso!$AL$11:$AM$260,2,FALSE)))/24))</f>
        <v>0</v>
      </c>
      <c r="I34" s="77">
        <f t="shared" si="1"/>
        <v>0</v>
      </c>
      <c r="N34" s="69">
        <v>40649</v>
      </c>
      <c r="O34" t="s">
        <v>6</v>
      </c>
      <c r="P34" s="79">
        <v>327</v>
      </c>
      <c r="Q34" s="76">
        <v>0.30158564814814814</v>
      </c>
      <c r="R34" s="76">
        <v>0.63670138888888894</v>
      </c>
      <c r="S34" s="76">
        <v>0.3351157407407408</v>
      </c>
      <c r="T34" s="76">
        <v>0.3125</v>
      </c>
      <c r="U34" s="76">
        <v>2.2615740740740797E-2</v>
      </c>
      <c r="V34" s="76">
        <v>0</v>
      </c>
    </row>
    <row r="35" spans="1:22">
      <c r="A35" s="85" t="str">
        <f>VLOOKUP('Informe Kelly'!A28,Base!A:B,2,FALSE)</f>
        <v>05.989.878-7</v>
      </c>
      <c r="B35" s="85" t="str">
        <f>VLOOKUP('Informe Kelly'!A28,Base!A:G,7,FALSE)</f>
        <v>FIGUEROA PAVEZ NELLY E.</v>
      </c>
      <c r="C35" s="91">
        <f>'Informe Kelly'!E28</f>
        <v>40645</v>
      </c>
      <c r="D35" s="96">
        <f t="shared" si="0"/>
        <v>14</v>
      </c>
      <c r="E35" s="85" t="str">
        <f>VLOOKUP(A35,Ingreso!K:P,6,FALSE)</f>
        <v>Turno B</v>
      </c>
      <c r="F35" s="85">
        <f>IF('Informe Kelly'!H28=$A$2,'Informe Kelly'!F28,"")</f>
        <v>0.60767361111111107</v>
      </c>
      <c r="G35" s="85" t="str">
        <f>IF('Informe Kelly'!H28=$A$3,'Informe Kelly'!F28,"")</f>
        <v/>
      </c>
      <c r="H35" s="85">
        <f>IF(C35=C33,0,IF(D35=D34,0,(HLOOKUP(C35,Ingreso!$AN$10:$AU$260,VLOOKUP(A35,Ingreso!$AL$11:$AM$260,2,FALSE)))/24))</f>
        <v>0</v>
      </c>
      <c r="I35" s="77">
        <f t="shared" si="1"/>
        <v>0.3125</v>
      </c>
      <c r="L35" t="s">
        <v>1232</v>
      </c>
      <c r="M35" t="s">
        <v>1237</v>
      </c>
      <c r="N35" s="69">
        <v>40644</v>
      </c>
      <c r="O35" t="s">
        <v>1332</v>
      </c>
      <c r="P35" s="79">
        <v>339</v>
      </c>
      <c r="Q35" s="76">
        <v>1.0543981481481481E-2</v>
      </c>
      <c r="R35" s="76">
        <v>0.33414351851851848</v>
      </c>
      <c r="S35" s="76">
        <v>0.32359953703703698</v>
      </c>
      <c r="T35" s="76">
        <v>0.375</v>
      </c>
      <c r="U35" s="76">
        <v>-5.1400462962963023E-2</v>
      </c>
      <c r="V35" s="76">
        <v>0.3125</v>
      </c>
    </row>
    <row r="36" spans="1:22">
      <c r="A36" s="85" t="str">
        <f>VLOOKUP('Informe Kelly'!A29,Base!A:B,2,FALSE)</f>
        <v>05.989.878-7</v>
      </c>
      <c r="B36" s="85" t="str">
        <f>VLOOKUP('Informe Kelly'!A29,Base!A:G,7,FALSE)</f>
        <v>FIGUEROA PAVEZ NELLY E.</v>
      </c>
      <c r="C36" s="91">
        <f>'Informe Kelly'!E29</f>
        <v>40645</v>
      </c>
      <c r="D36" s="96">
        <f t="shared" si="0"/>
        <v>14</v>
      </c>
      <c r="E36" s="85" t="str">
        <f>VLOOKUP(A36,Ingreso!K:P,6,FALSE)</f>
        <v>Turno B</v>
      </c>
      <c r="F36" s="85" t="str">
        <f>IF('Informe Kelly'!H29=$A$2,'Informe Kelly'!F29,"")</f>
        <v/>
      </c>
      <c r="G36" s="85">
        <f>IF('Informe Kelly'!H29=$A$3,'Informe Kelly'!F29,"")</f>
        <v>0.94491898148148146</v>
      </c>
      <c r="H36" s="85">
        <f>IF(C36=C34,0,IF(D36=D35,0,(HLOOKUP(C36,Ingreso!$AN$10:$AU$260,VLOOKUP(A36,Ingreso!$AL$11:$AM$260,2,FALSE)))/24))</f>
        <v>0</v>
      </c>
      <c r="I36" s="77">
        <f t="shared" si="1"/>
        <v>0</v>
      </c>
      <c r="P36" s="79">
        <v>340</v>
      </c>
      <c r="Q36" s="76">
        <v>0.91506944444444438</v>
      </c>
      <c r="R36" s="76">
        <v>0</v>
      </c>
      <c r="S36" s="76">
        <v>8.493055555555562E-2</v>
      </c>
      <c r="T36" s="76">
        <v>0</v>
      </c>
      <c r="U36" s="76">
        <v>8.493055555555562E-2</v>
      </c>
      <c r="V36" s="76">
        <v>0</v>
      </c>
    </row>
    <row r="37" spans="1:22">
      <c r="A37" s="85" t="str">
        <f>VLOOKUP('Informe Kelly'!A30,Base!A:B,2,FALSE)</f>
        <v>05.989.878-7</v>
      </c>
      <c r="B37" s="85" t="str">
        <f>VLOOKUP('Informe Kelly'!A30,Base!A:G,7,FALSE)</f>
        <v>FIGUEROA PAVEZ NELLY E.</v>
      </c>
      <c r="C37" s="91">
        <f>'Informe Kelly'!E30</f>
        <v>40646</v>
      </c>
      <c r="D37" s="96">
        <f t="shared" si="0"/>
        <v>15</v>
      </c>
      <c r="E37" s="85" t="str">
        <f>VLOOKUP(A37,Ingreso!K:P,6,FALSE)</f>
        <v>Turno B</v>
      </c>
      <c r="F37" s="85">
        <f>IF('Informe Kelly'!H30=$A$2,'Informe Kelly'!F30,"")</f>
        <v>0.609837962962963</v>
      </c>
      <c r="G37" s="85" t="str">
        <f>IF('Informe Kelly'!H30=$A$3,'Informe Kelly'!F30,"")</f>
        <v/>
      </c>
      <c r="H37" s="85">
        <f>IF(C37=C35,0,IF(D37=D36,0,(HLOOKUP(C37,Ingreso!$AN$10:$AU$260,VLOOKUP(A37,Ingreso!$AL$11:$AM$260,2,FALSE)))/24))</f>
        <v>0</v>
      </c>
      <c r="I37" s="77">
        <f t="shared" si="1"/>
        <v>0.3125</v>
      </c>
      <c r="N37" s="69">
        <v>40645</v>
      </c>
      <c r="O37" t="s">
        <v>1332</v>
      </c>
      <c r="P37" s="79">
        <v>341</v>
      </c>
      <c r="Q37" s="76">
        <v>0.91802083333333329</v>
      </c>
      <c r="R37" s="76">
        <v>0.32425925925925925</v>
      </c>
      <c r="S37" s="76">
        <v>0.40623842592592596</v>
      </c>
      <c r="T37" s="76">
        <v>0.375</v>
      </c>
      <c r="U37" s="76">
        <v>3.1238425925925961E-2</v>
      </c>
      <c r="V37" s="76">
        <v>0</v>
      </c>
    </row>
    <row r="38" spans="1:22">
      <c r="A38" s="85" t="str">
        <f>VLOOKUP('Informe Kelly'!A31,Base!A:B,2,FALSE)</f>
        <v>05.989.878-7</v>
      </c>
      <c r="B38" s="85" t="str">
        <f>VLOOKUP('Informe Kelly'!A31,Base!A:G,7,FALSE)</f>
        <v>FIGUEROA PAVEZ NELLY E.</v>
      </c>
      <c r="C38" s="91">
        <f>'Informe Kelly'!E31</f>
        <v>40646</v>
      </c>
      <c r="D38" s="96">
        <f t="shared" si="0"/>
        <v>15</v>
      </c>
      <c r="E38" s="85" t="str">
        <f>VLOOKUP(A38,Ingreso!K:P,6,FALSE)</f>
        <v>Turno B</v>
      </c>
      <c r="F38" s="85" t="str">
        <f>IF('Informe Kelly'!H31=$A$2,'Informe Kelly'!F31,"")</f>
        <v/>
      </c>
      <c r="G38" s="85">
        <f>IF('Informe Kelly'!H31=$A$3,'Informe Kelly'!F31,"")</f>
        <v>0.94079861111111107</v>
      </c>
      <c r="H38" s="85">
        <f>IF(C38=C36,0,IF(D38=D37,0,(HLOOKUP(C38,Ingreso!$AN$10:$AU$260,VLOOKUP(A38,Ingreso!$AL$11:$AM$260,2,FALSE)))/24))</f>
        <v>0</v>
      </c>
      <c r="I38" s="77">
        <f t="shared" si="1"/>
        <v>0</v>
      </c>
      <c r="N38" s="69">
        <v>40646</v>
      </c>
      <c r="O38" t="s">
        <v>1332</v>
      </c>
      <c r="P38" s="79">
        <v>342</v>
      </c>
      <c r="Q38" s="76">
        <v>0.91839120370370375</v>
      </c>
      <c r="R38" s="76">
        <v>0.32768518518518519</v>
      </c>
      <c r="S38" s="76">
        <v>0.40929398148148144</v>
      </c>
      <c r="T38" s="76">
        <v>0.375</v>
      </c>
      <c r="U38" s="76">
        <v>3.4293981481481439E-2</v>
      </c>
      <c r="V38" s="76">
        <v>0</v>
      </c>
    </row>
    <row r="39" spans="1:22">
      <c r="A39" s="85" t="str">
        <f>VLOOKUP('Informe Kelly'!A32,Base!A:B,2,FALSE)</f>
        <v>05.989.878-7</v>
      </c>
      <c r="B39" s="85" t="str">
        <f>VLOOKUP('Informe Kelly'!A32,Base!A:G,7,FALSE)</f>
        <v>FIGUEROA PAVEZ NELLY E.</v>
      </c>
      <c r="C39" s="91">
        <f>'Informe Kelly'!E32</f>
        <v>40647</v>
      </c>
      <c r="D39" s="96">
        <f t="shared" si="0"/>
        <v>16</v>
      </c>
      <c r="E39" s="85" t="str">
        <f>VLOOKUP(A39,Ingreso!K:P,6,FALSE)</f>
        <v>Turno B</v>
      </c>
      <c r="F39" s="85">
        <f>IF('Informe Kelly'!H32=$A$2,'Informe Kelly'!F32,"")</f>
        <v>0.29910879629629633</v>
      </c>
      <c r="G39" s="85" t="str">
        <f>IF('Informe Kelly'!H32=$A$3,'Informe Kelly'!F32,"")</f>
        <v/>
      </c>
      <c r="H39" s="85">
        <f>IF(C39=C37,0,IF(D39=D38,0,(HLOOKUP(C39,Ingreso!$AN$10:$AU$260,VLOOKUP(A39,Ingreso!$AL$11:$AM$260,2,FALSE)))/24))</f>
        <v>0</v>
      </c>
      <c r="I39" s="77">
        <f t="shared" si="1"/>
        <v>0.3125</v>
      </c>
      <c r="N39" s="69">
        <v>40647</v>
      </c>
      <c r="O39" t="s">
        <v>1332</v>
      </c>
      <c r="P39" s="79">
        <v>343</v>
      </c>
      <c r="Q39" s="76">
        <v>0.91447916666666673</v>
      </c>
      <c r="R39" s="76">
        <v>0.32872685185185185</v>
      </c>
      <c r="S39" s="76">
        <v>0.41424768518518507</v>
      </c>
      <c r="T39" s="76">
        <v>0.375</v>
      </c>
      <c r="U39" s="76">
        <v>3.9247685185185066E-2</v>
      </c>
      <c r="V39" s="76">
        <v>0</v>
      </c>
    </row>
    <row r="40" spans="1:22">
      <c r="A40" s="85" t="str">
        <f>VLOOKUP('Informe Kelly'!A33,Base!A:B,2,FALSE)</f>
        <v>05.989.878-7</v>
      </c>
      <c r="B40" s="85" t="str">
        <f>VLOOKUP('Informe Kelly'!A33,Base!A:G,7,FALSE)</f>
        <v>FIGUEROA PAVEZ NELLY E.</v>
      </c>
      <c r="C40" s="91">
        <f>'Informe Kelly'!E33</f>
        <v>40647</v>
      </c>
      <c r="D40" s="96">
        <f t="shared" si="0"/>
        <v>16</v>
      </c>
      <c r="E40" s="85" t="str">
        <f>VLOOKUP(A40,Ingreso!K:P,6,FALSE)</f>
        <v>Turno B</v>
      </c>
      <c r="F40" s="85" t="str">
        <f>IF('Informe Kelly'!H33=$A$2,'Informe Kelly'!F33,"")</f>
        <v/>
      </c>
      <c r="G40" s="85">
        <f>IF('Informe Kelly'!H33=$A$3,'Informe Kelly'!F33,"")</f>
        <v>0.63003472222222223</v>
      </c>
      <c r="H40" s="85">
        <f>IF(C40=C38,0,IF(D40=D39,0,(HLOOKUP(C40,Ingreso!$AN$10:$AU$260,VLOOKUP(A40,Ingreso!$AL$11:$AM$260,2,FALSE)))/24))</f>
        <v>0</v>
      </c>
      <c r="I40" s="77">
        <f t="shared" si="1"/>
        <v>0</v>
      </c>
      <c r="N40" s="69">
        <v>40648</v>
      </c>
      <c r="O40" t="s">
        <v>1332</v>
      </c>
      <c r="P40" s="79">
        <v>344</v>
      </c>
      <c r="Q40" s="76">
        <v>0.92722222222222228</v>
      </c>
      <c r="R40" s="76">
        <v>0.32505787037037037</v>
      </c>
      <c r="S40" s="76">
        <v>0.39783564814814809</v>
      </c>
      <c r="T40" s="76">
        <v>0.375</v>
      </c>
      <c r="U40" s="76">
        <v>2.2835648148148091E-2</v>
      </c>
      <c r="V40" s="76">
        <v>0</v>
      </c>
    </row>
    <row r="41" spans="1:22">
      <c r="A41" s="85" t="str">
        <f>VLOOKUP('Informe Kelly'!A34,Base!A:B,2,FALSE)</f>
        <v>05.989.878-7</v>
      </c>
      <c r="B41" s="85" t="str">
        <f>VLOOKUP('Informe Kelly'!A34,Base!A:G,7,FALSE)</f>
        <v>FIGUEROA PAVEZ NELLY E.</v>
      </c>
      <c r="C41" s="91">
        <f>'Informe Kelly'!E34</f>
        <v>40648</v>
      </c>
      <c r="D41" s="96">
        <f t="shared" si="0"/>
        <v>17</v>
      </c>
      <c r="E41" s="85" t="str">
        <f>VLOOKUP(A41,Ingreso!K:P,6,FALSE)</f>
        <v>Turno B</v>
      </c>
      <c r="F41" s="85">
        <f>IF('Informe Kelly'!H34=$A$2,'Informe Kelly'!F34,"")</f>
        <v>0.60766203703703703</v>
      </c>
      <c r="G41" s="85" t="str">
        <f>IF('Informe Kelly'!H34=$A$3,'Informe Kelly'!F34,"")</f>
        <v/>
      </c>
      <c r="H41" s="85">
        <f>IF(C41=C39,0,IF(D41=D40,0,(HLOOKUP(C41,Ingreso!$AN$10:$AU$260,VLOOKUP(A41,Ingreso!$AL$11:$AM$260,2,FALSE)))/24))</f>
        <v>0</v>
      </c>
      <c r="I41" s="77">
        <f t="shared" si="1"/>
        <v>0.3125</v>
      </c>
      <c r="N41" s="69">
        <v>40649</v>
      </c>
      <c r="O41" t="s">
        <v>1332</v>
      </c>
      <c r="P41" s="79">
        <v>345</v>
      </c>
      <c r="Q41" s="76">
        <v>0</v>
      </c>
      <c r="R41" s="76">
        <v>0.32791666666666669</v>
      </c>
      <c r="S41" s="76">
        <v>0.32791666666666669</v>
      </c>
      <c r="T41" s="76">
        <v>0.375</v>
      </c>
      <c r="U41" s="76">
        <v>-4.708333333333331E-2</v>
      </c>
      <c r="V41" s="76">
        <v>0</v>
      </c>
    </row>
    <row r="42" spans="1:22">
      <c r="A42" s="85" t="str">
        <f>VLOOKUP('Informe Kelly'!A35,Base!A:B,2,FALSE)</f>
        <v>05.989.878-7</v>
      </c>
      <c r="B42" s="85" t="str">
        <f>VLOOKUP('Informe Kelly'!A35,Base!A:G,7,FALSE)</f>
        <v>FIGUEROA PAVEZ NELLY E.</v>
      </c>
      <c r="C42" s="91">
        <f>'Informe Kelly'!E35</f>
        <v>40648</v>
      </c>
      <c r="D42" s="96">
        <f t="shared" si="0"/>
        <v>17</v>
      </c>
      <c r="E42" s="85" t="str">
        <f>VLOOKUP(A42,Ingreso!K:P,6,FALSE)</f>
        <v>Turno B</v>
      </c>
      <c r="F42" s="85" t="str">
        <f>IF('Informe Kelly'!H35=$A$2,'Informe Kelly'!F35,"")</f>
        <v/>
      </c>
      <c r="G42" s="85">
        <f>IF('Informe Kelly'!H35=$A$3,'Informe Kelly'!F35,"")</f>
        <v>0.93927083333333339</v>
      </c>
      <c r="H42" s="85">
        <f>IF(C42=C40,0,IF(D42=D41,0,(HLOOKUP(C42,Ingreso!$AN$10:$AU$260,VLOOKUP(A42,Ingreso!$AL$11:$AM$260,2,FALSE)))/24))</f>
        <v>0</v>
      </c>
      <c r="I42" s="77">
        <f t="shared" si="1"/>
        <v>0</v>
      </c>
      <c r="L42" t="s">
        <v>152</v>
      </c>
      <c r="M42" t="s">
        <v>157</v>
      </c>
      <c r="N42" s="69">
        <v>40644</v>
      </c>
      <c r="O42" t="s">
        <v>1353</v>
      </c>
      <c r="P42" s="79">
        <v>352</v>
      </c>
      <c r="Q42" s="76">
        <v>4.0393518518518521E-3</v>
      </c>
      <c r="R42" s="76">
        <v>0.35031250000000003</v>
      </c>
      <c r="S42" s="76">
        <v>0.34627314814814819</v>
      </c>
      <c r="T42" s="76">
        <v>0.41666666666666669</v>
      </c>
      <c r="U42" s="76">
        <v>-7.0393518518518494E-2</v>
      </c>
      <c r="V42" s="76">
        <v>0.3125</v>
      </c>
    </row>
    <row r="43" spans="1:22">
      <c r="A43" s="85" t="str">
        <f>VLOOKUP('Informe Kelly'!A36,Base!A:B,2,FALSE)</f>
        <v>05.989.878-7</v>
      </c>
      <c r="B43" s="85" t="str">
        <f>VLOOKUP('Informe Kelly'!A36,Base!A:G,7,FALSE)</f>
        <v>FIGUEROA PAVEZ NELLY E.</v>
      </c>
      <c r="C43" s="91">
        <f>'Informe Kelly'!E36</f>
        <v>40649</v>
      </c>
      <c r="D43" s="96">
        <f t="shared" si="0"/>
        <v>18</v>
      </c>
      <c r="E43" s="85" t="str">
        <f>VLOOKUP(A43,Ingreso!K:P,6,FALSE)</f>
        <v>Turno B</v>
      </c>
      <c r="F43" s="85" t="str">
        <f>IF('Informe Kelly'!H36=$A$2,'Informe Kelly'!F36,"")</f>
        <v/>
      </c>
      <c r="G43" s="85">
        <f>IF('Informe Kelly'!H36=$A$3,'Informe Kelly'!F36,"")</f>
        <v>0.81225694444444441</v>
      </c>
      <c r="H43" s="85">
        <f>IF(C43=C41,0,IF(D43=D42,0,(HLOOKUP(C43,Ingreso!$AN$10:$AU$260,VLOOKUP(A43,Ingreso!$AL$11:$AM$260,2,FALSE)))/24))</f>
        <v>0</v>
      </c>
      <c r="I43" s="77">
        <f t="shared" si="1"/>
        <v>0.3125</v>
      </c>
      <c r="N43" s="69">
        <v>40645</v>
      </c>
      <c r="O43" t="s">
        <v>1353</v>
      </c>
      <c r="P43" s="79">
        <v>353</v>
      </c>
      <c r="Q43" s="76">
        <v>0.31578703703703703</v>
      </c>
      <c r="R43" s="76">
        <v>0.81896990740740738</v>
      </c>
      <c r="S43" s="76">
        <v>0.50318287037037035</v>
      </c>
      <c r="T43" s="76">
        <v>0.41666666666666669</v>
      </c>
      <c r="U43" s="76">
        <v>8.6516203703703665E-2</v>
      </c>
      <c r="V43" s="76">
        <v>0</v>
      </c>
    </row>
    <row r="44" spans="1:22">
      <c r="A44" s="85" t="str">
        <f>VLOOKUP('Informe Kelly'!A37,Base!A:B,2,FALSE)</f>
        <v>05.989.878-7</v>
      </c>
      <c r="B44" s="85" t="str">
        <f>VLOOKUP('Informe Kelly'!A37,Base!A:G,7,FALSE)</f>
        <v>FIGUEROA PAVEZ NELLY E.</v>
      </c>
      <c r="C44" s="91">
        <f>'Informe Kelly'!E37</f>
        <v>40649</v>
      </c>
      <c r="D44" s="96">
        <f t="shared" si="0"/>
        <v>18</v>
      </c>
      <c r="E44" s="85" t="str">
        <f>VLOOKUP(A44,Ingreso!K:P,6,FALSE)</f>
        <v>Turno B</v>
      </c>
      <c r="F44" s="85">
        <f>IF('Informe Kelly'!H37=$A$2,'Informe Kelly'!F37,"")</f>
        <v>0.49086805555555557</v>
      </c>
      <c r="G44" s="85" t="str">
        <f>IF('Informe Kelly'!H37=$A$3,'Informe Kelly'!F37,"")</f>
        <v/>
      </c>
      <c r="H44" s="85">
        <f>IF(C44=C42,0,IF(D44=D43,0,(HLOOKUP(C44,Ingreso!$AN$10:$AU$260,VLOOKUP(A44,Ingreso!$AL$11:$AM$260,2,FALSE)))/24))</f>
        <v>0</v>
      </c>
      <c r="I44" s="77">
        <f t="shared" si="1"/>
        <v>0</v>
      </c>
      <c r="N44" s="69">
        <v>40646</v>
      </c>
      <c r="O44" t="s">
        <v>1353</v>
      </c>
      <c r="P44" s="79">
        <v>354</v>
      </c>
      <c r="Q44" s="76">
        <v>0.31509259259259259</v>
      </c>
      <c r="R44" s="76">
        <v>0.85385416666666669</v>
      </c>
      <c r="S44" s="76">
        <v>0.5387615740740741</v>
      </c>
      <c r="T44" s="76">
        <v>0.41666666666666669</v>
      </c>
      <c r="U44" s="76">
        <v>0.12209490740740742</v>
      </c>
      <c r="V44" s="76">
        <v>0</v>
      </c>
    </row>
    <row r="45" spans="1:22">
      <c r="A45" s="85" t="str">
        <f>VLOOKUP('Informe Kelly'!A38,Base!A:B,2,FALSE)</f>
        <v>06.528.911-3</v>
      </c>
      <c r="B45" s="85" t="str">
        <f>VLOOKUP('Informe Kelly'!A38,Base!A:G,7,FALSE)</f>
        <v>PINO MARTINEZ CARLOS</v>
      </c>
      <c r="C45" s="91">
        <f>'Informe Kelly'!E38</f>
        <v>40644</v>
      </c>
      <c r="D45" s="96">
        <f t="shared" si="0"/>
        <v>19</v>
      </c>
      <c r="E45" s="85" t="e">
        <f>VLOOKUP(A45,Ingreso!K:P,6,FALSE)</f>
        <v>#N/A</v>
      </c>
      <c r="F45" s="85">
        <f>IF('Informe Kelly'!H38=$A$2,'Informe Kelly'!F38,"")</f>
        <v>0.29260416666666667</v>
      </c>
      <c r="G45" s="85" t="str">
        <f>IF('Informe Kelly'!H38=$A$3,'Informe Kelly'!F38,"")</f>
        <v/>
      </c>
      <c r="H45" s="85" t="e">
        <f>IF(C45=C43,0,IF(D45=D44,0,(HLOOKUP(C45,Ingreso!$AN$10:$AU$260,VLOOKUP(A45,Ingreso!$AL$11:$AM$260,2,FALSE)))/24))</f>
        <v>#N/A</v>
      </c>
      <c r="I45" s="77" t="e">
        <f t="shared" si="1"/>
        <v>#N/A</v>
      </c>
      <c r="N45" s="69">
        <v>40647</v>
      </c>
      <c r="O45" t="s">
        <v>1353</v>
      </c>
      <c r="P45" s="79">
        <v>355</v>
      </c>
      <c r="Q45" s="76">
        <v>1.0694444444444444</v>
      </c>
      <c r="R45" s="76">
        <v>0</v>
      </c>
      <c r="S45" s="76">
        <v>-6.944444444444442E-2</v>
      </c>
      <c r="T45" s="76">
        <v>0.41666666666666669</v>
      </c>
      <c r="U45" s="76">
        <v>-0.4861111111111111</v>
      </c>
      <c r="V45" s="76">
        <v>0</v>
      </c>
    </row>
    <row r="46" spans="1:22">
      <c r="A46" s="85" t="str">
        <f>VLOOKUP('Informe Kelly'!A39,Base!A:B,2,FALSE)</f>
        <v>06.528.911-3</v>
      </c>
      <c r="B46" s="85" t="str">
        <f>VLOOKUP('Informe Kelly'!A39,Base!A:G,7,FALSE)</f>
        <v>PINO MARTINEZ CARLOS</v>
      </c>
      <c r="C46" s="91">
        <f>'Informe Kelly'!E39</f>
        <v>40644</v>
      </c>
      <c r="D46" s="96">
        <f t="shared" si="0"/>
        <v>19</v>
      </c>
      <c r="E46" s="85" t="e">
        <f>VLOOKUP(A46,Ingreso!K:P,6,FALSE)</f>
        <v>#N/A</v>
      </c>
      <c r="F46" s="85" t="str">
        <f>IF('Informe Kelly'!H39=$A$2,'Informe Kelly'!F39,"")</f>
        <v/>
      </c>
      <c r="G46" s="85">
        <f>IF('Informe Kelly'!H39=$A$3,'Informe Kelly'!F39,"")</f>
        <v>0.63222222222222224</v>
      </c>
      <c r="H46" s="85">
        <f>IF(C46=C44,0,IF(D46=D45,0,(HLOOKUP(C46,Ingreso!$AN$10:$AU$260,VLOOKUP(A46,Ingreso!$AL$11:$AM$260,2,FALSE)))/24))</f>
        <v>0</v>
      </c>
      <c r="I46" s="77">
        <f t="shared" si="1"/>
        <v>0</v>
      </c>
      <c r="N46" s="69">
        <v>40648</v>
      </c>
      <c r="O46" t="s">
        <v>1353</v>
      </c>
      <c r="P46" s="79">
        <v>356</v>
      </c>
      <c r="Q46" s="76">
        <v>0.31231481481481482</v>
      </c>
      <c r="R46" s="76">
        <v>0.67237268518518523</v>
      </c>
      <c r="S46" s="76">
        <v>0.3600578703703704</v>
      </c>
      <c r="T46" s="76">
        <v>0.41666666666666669</v>
      </c>
      <c r="U46" s="76">
        <v>-5.6608796296296282E-2</v>
      </c>
      <c r="V46" s="76">
        <v>0</v>
      </c>
    </row>
    <row r="47" spans="1:22">
      <c r="A47" s="85" t="str">
        <f>VLOOKUP('Informe Kelly'!A40,Base!A:B,2,FALSE)</f>
        <v>06.528.911-3</v>
      </c>
      <c r="B47" s="85" t="str">
        <f>VLOOKUP('Informe Kelly'!A40,Base!A:G,7,FALSE)</f>
        <v>PINO MARTINEZ CARLOS</v>
      </c>
      <c r="C47" s="91">
        <f>'Informe Kelly'!E40</f>
        <v>40645</v>
      </c>
      <c r="D47" s="96">
        <f t="shared" si="0"/>
        <v>20</v>
      </c>
      <c r="E47" s="85" t="e">
        <f>VLOOKUP(A47,Ingreso!K:P,6,FALSE)</f>
        <v>#N/A</v>
      </c>
      <c r="F47" s="85">
        <f>IF('Informe Kelly'!H40=$A$2,'Informe Kelly'!F40,"")</f>
        <v>0.29247685185185185</v>
      </c>
      <c r="G47" s="85" t="str">
        <f>IF('Informe Kelly'!H40=$A$3,'Informe Kelly'!F40,"")</f>
        <v/>
      </c>
      <c r="H47" s="85" t="e">
        <f>IF(C47=C45,0,IF(D47=D46,0,(HLOOKUP(C47,Ingreso!$AN$10:$AU$260,VLOOKUP(A47,Ingreso!$AL$11:$AM$260,2,FALSE)))/24))</f>
        <v>#N/A</v>
      </c>
      <c r="I47" s="77" t="e">
        <f t="shared" si="1"/>
        <v>#N/A</v>
      </c>
      <c r="L47" t="s">
        <v>494</v>
      </c>
      <c r="M47" t="s">
        <v>497</v>
      </c>
      <c r="N47" s="69">
        <v>40644</v>
      </c>
      <c r="O47" t="s">
        <v>1332</v>
      </c>
      <c r="P47" s="79">
        <v>416</v>
      </c>
      <c r="Q47" s="76">
        <v>0.92590277777777785</v>
      </c>
      <c r="R47" s="76">
        <v>0.32226851851851851</v>
      </c>
      <c r="S47" s="76">
        <v>0.39636574074074071</v>
      </c>
      <c r="T47" s="76">
        <v>0.375</v>
      </c>
      <c r="U47" s="76">
        <v>2.1365740740740713E-2</v>
      </c>
      <c r="V47" s="76">
        <v>0.3125</v>
      </c>
    </row>
    <row r="48" spans="1:22">
      <c r="A48" s="85" t="str">
        <f>VLOOKUP('Informe Kelly'!A41,Base!A:B,2,FALSE)</f>
        <v>06.528.911-3</v>
      </c>
      <c r="B48" s="85" t="str">
        <f>VLOOKUP('Informe Kelly'!A41,Base!A:G,7,FALSE)</f>
        <v>PINO MARTINEZ CARLOS</v>
      </c>
      <c r="C48" s="91">
        <f>'Informe Kelly'!E41</f>
        <v>40645</v>
      </c>
      <c r="D48" s="96">
        <f t="shared" si="0"/>
        <v>20</v>
      </c>
      <c r="E48" s="85" t="e">
        <f>VLOOKUP(A48,Ingreso!K:P,6,FALSE)</f>
        <v>#N/A</v>
      </c>
      <c r="F48" s="85" t="str">
        <f>IF('Informe Kelly'!H41=$A$2,'Informe Kelly'!F41,"")</f>
        <v/>
      </c>
      <c r="G48" s="85">
        <f>IF('Informe Kelly'!H41=$A$3,'Informe Kelly'!F41,"")</f>
        <v>0.63972222222222219</v>
      </c>
      <c r="H48" s="85">
        <f>IF(C48=C46,0,IF(D48=D47,0,(HLOOKUP(C48,Ingreso!$AN$10:$AU$260,VLOOKUP(A48,Ingreso!$AL$11:$AM$260,2,FALSE)))/24))</f>
        <v>0</v>
      </c>
      <c r="I48" s="77">
        <f t="shared" si="1"/>
        <v>0</v>
      </c>
      <c r="N48" s="69">
        <v>40645</v>
      </c>
      <c r="O48" t="s">
        <v>1332</v>
      </c>
      <c r="P48" s="79">
        <v>417</v>
      </c>
      <c r="Q48" s="76">
        <v>0.92158564814814825</v>
      </c>
      <c r="R48" s="76">
        <v>0.30138888888888887</v>
      </c>
      <c r="S48" s="76">
        <v>0.37980324074074068</v>
      </c>
      <c r="T48" s="76">
        <v>0.375</v>
      </c>
      <c r="U48" s="76">
        <v>4.8032407407406774E-3</v>
      </c>
      <c r="V48" s="76">
        <v>0</v>
      </c>
    </row>
    <row r="49" spans="1:22">
      <c r="A49" s="85" t="str">
        <f>VLOOKUP('Informe Kelly'!A42,Base!A:B,2,FALSE)</f>
        <v>06.528.911-3</v>
      </c>
      <c r="B49" s="85" t="str">
        <f>VLOOKUP('Informe Kelly'!A42,Base!A:G,7,FALSE)</f>
        <v>PINO MARTINEZ CARLOS</v>
      </c>
      <c r="C49" s="91">
        <f>'Informe Kelly'!E42</f>
        <v>40646</v>
      </c>
      <c r="D49" s="96">
        <f t="shared" si="0"/>
        <v>21</v>
      </c>
      <c r="E49" s="85" t="e">
        <f>VLOOKUP(A49,Ingreso!K:P,6,FALSE)</f>
        <v>#N/A</v>
      </c>
      <c r="F49" s="85">
        <f>IF('Informe Kelly'!H42=$A$2,'Informe Kelly'!F42,"")</f>
        <v>0.29304398148148147</v>
      </c>
      <c r="G49" s="85" t="str">
        <f>IF('Informe Kelly'!H42=$A$3,'Informe Kelly'!F42,"")</f>
        <v/>
      </c>
      <c r="H49" s="85" t="e">
        <f>IF(C49=C47,0,IF(D49=D48,0,(HLOOKUP(C49,Ingreso!$AN$10:$AU$260,VLOOKUP(A49,Ingreso!$AL$11:$AM$260,2,FALSE)))/24))</f>
        <v>#N/A</v>
      </c>
      <c r="I49" s="77" t="e">
        <f t="shared" si="1"/>
        <v>#N/A</v>
      </c>
      <c r="N49" s="69">
        <v>40646</v>
      </c>
      <c r="O49" t="s">
        <v>1332</v>
      </c>
      <c r="P49" s="79">
        <v>418</v>
      </c>
      <c r="Q49" s="76">
        <v>0.9252893518518519</v>
      </c>
      <c r="R49" s="76">
        <v>0.30432870370370374</v>
      </c>
      <c r="S49" s="76">
        <v>0.37903935185185178</v>
      </c>
      <c r="T49" s="76">
        <v>0.375</v>
      </c>
      <c r="U49" s="76">
        <v>4.0393518518517801E-3</v>
      </c>
      <c r="V49" s="76">
        <v>0</v>
      </c>
    </row>
    <row r="50" spans="1:22">
      <c r="A50" s="85" t="str">
        <f>VLOOKUP('Informe Kelly'!A43,Base!A:B,2,FALSE)</f>
        <v>06.528.911-3</v>
      </c>
      <c r="B50" s="85" t="str">
        <f>VLOOKUP('Informe Kelly'!A43,Base!A:G,7,FALSE)</f>
        <v>PINO MARTINEZ CARLOS</v>
      </c>
      <c r="C50" s="91">
        <f>'Informe Kelly'!E43</f>
        <v>40646</v>
      </c>
      <c r="D50" s="96">
        <f t="shared" si="0"/>
        <v>21</v>
      </c>
      <c r="E50" s="85" t="e">
        <f>VLOOKUP(A50,Ingreso!K:P,6,FALSE)</f>
        <v>#N/A</v>
      </c>
      <c r="F50" s="85" t="str">
        <f>IF('Informe Kelly'!H43=$A$2,'Informe Kelly'!F43,"")</f>
        <v/>
      </c>
      <c r="G50" s="85">
        <f>IF('Informe Kelly'!H43=$A$3,'Informe Kelly'!F43,"")</f>
        <v>0.62829861111111118</v>
      </c>
      <c r="H50" s="85">
        <f>IF(C50=C48,0,IF(D50=D49,0,(HLOOKUP(C50,Ingreso!$AN$10:$AU$260,VLOOKUP(A50,Ingreso!$AL$11:$AM$260,2,FALSE)))/24))</f>
        <v>0</v>
      </c>
      <c r="I50" s="77">
        <f t="shared" si="1"/>
        <v>0</v>
      </c>
      <c r="N50" s="69">
        <v>40647</v>
      </c>
      <c r="O50" t="s">
        <v>1332</v>
      </c>
      <c r="P50" s="79">
        <v>419</v>
      </c>
      <c r="Q50" s="76">
        <v>0.9284027777777778</v>
      </c>
      <c r="R50" s="76">
        <v>0.3059027777777778</v>
      </c>
      <c r="S50" s="76">
        <v>0.37750000000000006</v>
      </c>
      <c r="T50" s="76">
        <v>0.375</v>
      </c>
      <c r="U50" s="76">
        <v>2.5000000000000577E-3</v>
      </c>
      <c r="V50" s="76">
        <v>0</v>
      </c>
    </row>
    <row r="51" spans="1:22">
      <c r="A51" s="85" t="str">
        <f>VLOOKUP('Informe Kelly'!A44,Base!A:B,2,FALSE)</f>
        <v>06.528.911-3</v>
      </c>
      <c r="B51" s="85" t="str">
        <f>VLOOKUP('Informe Kelly'!A44,Base!A:G,7,FALSE)</f>
        <v>PINO MARTINEZ CARLOS</v>
      </c>
      <c r="C51" s="91">
        <f>'Informe Kelly'!E44</f>
        <v>40647</v>
      </c>
      <c r="D51" s="96">
        <f t="shared" si="0"/>
        <v>22</v>
      </c>
      <c r="E51" s="85" t="e">
        <f>VLOOKUP(A51,Ingreso!K:P,6,FALSE)</f>
        <v>#N/A</v>
      </c>
      <c r="F51" s="85">
        <f>IF('Informe Kelly'!H44=$A$2,'Informe Kelly'!F44,"")</f>
        <v>0.29281249999999998</v>
      </c>
      <c r="G51" s="85" t="str">
        <f>IF('Informe Kelly'!H44=$A$3,'Informe Kelly'!F44,"")</f>
        <v/>
      </c>
      <c r="H51" s="85" t="e">
        <f>IF(C51=C49,0,IF(D51=D50,0,(HLOOKUP(C51,Ingreso!$AN$10:$AU$260,VLOOKUP(A51,Ingreso!$AL$11:$AM$260,2,FALSE)))/24))</f>
        <v>#N/A</v>
      </c>
      <c r="I51" s="77" t="e">
        <f t="shared" si="1"/>
        <v>#N/A</v>
      </c>
      <c r="N51" s="69">
        <v>40648</v>
      </c>
      <c r="O51" t="s">
        <v>1332</v>
      </c>
      <c r="P51" s="79">
        <v>420</v>
      </c>
      <c r="Q51" s="76">
        <v>0.92721064814814813</v>
      </c>
      <c r="R51" s="76">
        <v>0.31287037037037035</v>
      </c>
      <c r="S51" s="76">
        <v>0.38565972222222222</v>
      </c>
      <c r="T51" s="76">
        <v>0.375</v>
      </c>
      <c r="U51" s="76">
        <v>1.0659722222222223E-2</v>
      </c>
      <c r="V51" s="76">
        <v>0</v>
      </c>
    </row>
    <row r="52" spans="1:22">
      <c r="A52" s="85" t="str">
        <f>VLOOKUP('Informe Kelly'!A45,Base!A:B,2,FALSE)</f>
        <v>06.528.911-3</v>
      </c>
      <c r="B52" s="85" t="str">
        <f>VLOOKUP('Informe Kelly'!A45,Base!A:G,7,FALSE)</f>
        <v>PINO MARTINEZ CARLOS</v>
      </c>
      <c r="C52" s="91">
        <f>'Informe Kelly'!E45</f>
        <v>40647</v>
      </c>
      <c r="D52" s="96">
        <f t="shared" si="0"/>
        <v>22</v>
      </c>
      <c r="E52" s="85" t="e">
        <f>VLOOKUP(A52,Ingreso!K:P,6,FALSE)</f>
        <v>#N/A</v>
      </c>
      <c r="F52" s="85" t="str">
        <f>IF('Informe Kelly'!H45=$A$2,'Informe Kelly'!F45,"")</f>
        <v/>
      </c>
      <c r="G52" s="85">
        <f>IF('Informe Kelly'!H45=$A$3,'Informe Kelly'!F45,"")</f>
        <v>0.63708333333333333</v>
      </c>
      <c r="H52" s="85">
        <f>IF(C52=C50,0,IF(D52=D51,0,(HLOOKUP(C52,Ingreso!$AN$10:$AU$260,VLOOKUP(A52,Ingreso!$AL$11:$AM$260,2,FALSE)))/24))</f>
        <v>0</v>
      </c>
      <c r="I52" s="77">
        <f t="shared" si="1"/>
        <v>0</v>
      </c>
      <c r="N52" s="69">
        <v>40649</v>
      </c>
      <c r="O52" t="s">
        <v>1332</v>
      </c>
      <c r="P52" s="79">
        <v>421</v>
      </c>
      <c r="Q52" s="76">
        <v>0</v>
      </c>
      <c r="R52" s="76">
        <v>0.31425925925925924</v>
      </c>
      <c r="S52" s="76">
        <v>0.31425925925925924</v>
      </c>
      <c r="T52" s="76">
        <v>0.375</v>
      </c>
      <c r="U52" s="76">
        <v>-6.0740740740740762E-2</v>
      </c>
      <c r="V52" s="76">
        <v>0</v>
      </c>
    </row>
    <row r="53" spans="1:22">
      <c r="A53" s="85" t="str">
        <f>VLOOKUP('Informe Kelly'!A46,Base!A:B,2,FALSE)</f>
        <v>06.528.911-3</v>
      </c>
      <c r="B53" s="85" t="str">
        <f>VLOOKUP('Informe Kelly'!A46,Base!A:G,7,FALSE)</f>
        <v>PINO MARTINEZ CARLOS</v>
      </c>
      <c r="C53" s="91">
        <f>'Informe Kelly'!E46</f>
        <v>40648</v>
      </c>
      <c r="D53" s="96">
        <f t="shared" si="0"/>
        <v>23</v>
      </c>
      <c r="E53" s="85" t="e">
        <f>VLOOKUP(A53,Ingreso!K:P,6,FALSE)</f>
        <v>#N/A</v>
      </c>
      <c r="F53" s="85">
        <f>IF('Informe Kelly'!H46=$A$2,'Informe Kelly'!F46,"")</f>
        <v>0.29392361111111109</v>
      </c>
      <c r="G53" s="85" t="str">
        <f>IF('Informe Kelly'!H46=$A$3,'Informe Kelly'!F46,"")</f>
        <v/>
      </c>
      <c r="H53" s="85" t="e">
        <f>IF(C53=C51,0,IF(D53=D52,0,(HLOOKUP(C53,Ingreso!$AN$10:$AU$260,VLOOKUP(A53,Ingreso!$AL$11:$AM$260,2,FALSE)))/24))</f>
        <v>#N/A</v>
      </c>
      <c r="I53" s="77" t="e">
        <f t="shared" si="1"/>
        <v>#N/A</v>
      </c>
      <c r="N53" s="69">
        <v>40650</v>
      </c>
      <c r="O53" t="s">
        <v>1332</v>
      </c>
      <c r="P53" s="79">
        <v>422</v>
      </c>
      <c r="Q53" s="76">
        <v>0.98758101851851843</v>
      </c>
      <c r="R53" s="76">
        <v>0</v>
      </c>
      <c r="S53" s="76">
        <v>1.2418981481481572E-2</v>
      </c>
      <c r="T53" s="76">
        <v>0.375</v>
      </c>
      <c r="U53" s="76">
        <v>-0.36258101851851843</v>
      </c>
      <c r="V53" s="76">
        <v>0</v>
      </c>
    </row>
    <row r="54" spans="1:22">
      <c r="A54" s="85" t="str">
        <f>VLOOKUP('Informe Kelly'!A47,Base!A:B,2,FALSE)</f>
        <v>06.528.911-3</v>
      </c>
      <c r="B54" s="85" t="str">
        <f>VLOOKUP('Informe Kelly'!A47,Base!A:G,7,FALSE)</f>
        <v>PINO MARTINEZ CARLOS</v>
      </c>
      <c r="C54" s="91">
        <f>'Informe Kelly'!E47</f>
        <v>40648</v>
      </c>
      <c r="D54" s="96">
        <f t="shared" si="0"/>
        <v>23</v>
      </c>
      <c r="E54" s="85" t="e">
        <f>VLOOKUP(A54,Ingreso!K:P,6,FALSE)</f>
        <v>#N/A</v>
      </c>
      <c r="F54" s="85" t="str">
        <f>IF('Informe Kelly'!H47=$A$2,'Informe Kelly'!F47,"")</f>
        <v/>
      </c>
      <c r="G54" s="85">
        <f>IF('Informe Kelly'!H47=$A$3,'Informe Kelly'!F47,"")</f>
        <v>0.64274305555555555</v>
      </c>
      <c r="H54" s="85">
        <f>IF(C54=C52,0,IF(D54=D53,0,(HLOOKUP(C54,Ingreso!$AN$10:$AU$260,VLOOKUP(A54,Ingreso!$AL$11:$AM$260,2,FALSE)))/24))</f>
        <v>0</v>
      </c>
      <c r="I54" s="77">
        <f t="shared" si="1"/>
        <v>0</v>
      </c>
      <c r="L54" t="s">
        <v>685</v>
      </c>
      <c r="M54" t="s">
        <v>690</v>
      </c>
      <c r="N54" s="69">
        <v>40644</v>
      </c>
      <c r="O54" t="s">
        <v>1353</v>
      </c>
      <c r="P54" s="79">
        <v>435</v>
      </c>
      <c r="Q54" s="76">
        <v>0.35378472222222218</v>
      </c>
      <c r="R54" s="76">
        <v>0.73265046296296299</v>
      </c>
      <c r="S54" s="76">
        <v>0.37886574074074081</v>
      </c>
      <c r="T54" s="76">
        <v>0.41666666666666669</v>
      </c>
      <c r="U54" s="76">
        <v>-3.7800925925925877E-2</v>
      </c>
      <c r="V54" s="76">
        <v>0</v>
      </c>
    </row>
    <row r="55" spans="1:22">
      <c r="A55" s="85" t="str">
        <f>VLOOKUP('Informe Kelly'!A48,Base!A:B,2,FALSE)</f>
        <v>06.528.911-3</v>
      </c>
      <c r="B55" s="85" t="str">
        <f>VLOOKUP('Informe Kelly'!A48,Base!A:G,7,FALSE)</f>
        <v>PINO MARTINEZ CARLOS</v>
      </c>
      <c r="C55" s="91">
        <f>'Informe Kelly'!E48</f>
        <v>40649</v>
      </c>
      <c r="D55" s="96">
        <f t="shared" si="0"/>
        <v>24</v>
      </c>
      <c r="E55" s="85" t="e">
        <f>VLOOKUP(A55,Ingreso!K:P,6,FALSE)</f>
        <v>#N/A</v>
      </c>
      <c r="F55" s="85" t="str">
        <f>IF('Informe Kelly'!H48=$A$2,'Informe Kelly'!F48,"")</f>
        <v/>
      </c>
      <c r="G55" s="85">
        <f>IF('Informe Kelly'!H48=$A$3,'Informe Kelly'!F48,"")</f>
        <v>0.63292824074074072</v>
      </c>
      <c r="H55" s="85" t="e">
        <f>IF(C55=C53,0,IF(D55=D54,0,(HLOOKUP(C55,Ingreso!$AN$10:$AU$260,VLOOKUP(A55,Ingreso!$AL$11:$AM$260,2,FALSE)))/24))</f>
        <v>#N/A</v>
      </c>
      <c r="I55" s="77" t="e">
        <f t="shared" si="1"/>
        <v>#N/A</v>
      </c>
      <c r="N55" s="69">
        <v>40645</v>
      </c>
      <c r="O55" t="s">
        <v>1353</v>
      </c>
      <c r="P55" s="79">
        <v>436</v>
      </c>
      <c r="Q55" s="76">
        <v>0.34534722222222225</v>
      </c>
      <c r="R55" s="76">
        <v>0.73062499999999997</v>
      </c>
      <c r="S55" s="76">
        <v>0.38527777777777772</v>
      </c>
      <c r="T55" s="76">
        <v>0.41666666666666669</v>
      </c>
      <c r="U55" s="76">
        <v>-3.1388888888888966E-2</v>
      </c>
      <c r="V55" s="76">
        <v>0</v>
      </c>
    </row>
    <row r="56" spans="1:22">
      <c r="A56" s="85" t="str">
        <f>VLOOKUP('Informe Kelly'!A49,Base!A:B,2,FALSE)</f>
        <v>06.528.911-3</v>
      </c>
      <c r="B56" s="85" t="str">
        <f>VLOOKUP('Informe Kelly'!A49,Base!A:G,7,FALSE)</f>
        <v>PINO MARTINEZ CARLOS</v>
      </c>
      <c r="C56" s="91">
        <f>'Informe Kelly'!E49</f>
        <v>40649</v>
      </c>
      <c r="D56" s="96">
        <f t="shared" si="0"/>
        <v>24</v>
      </c>
      <c r="E56" s="85" t="e">
        <f>VLOOKUP(A56,Ingreso!K:P,6,FALSE)</f>
        <v>#N/A</v>
      </c>
      <c r="F56" s="85">
        <f>IF('Informe Kelly'!H49=$A$2,'Informe Kelly'!F49,"")</f>
        <v>0.29335648148148147</v>
      </c>
      <c r="G56" s="85" t="str">
        <f>IF('Informe Kelly'!H49=$A$3,'Informe Kelly'!F49,"")</f>
        <v/>
      </c>
      <c r="H56" s="85">
        <f>IF(C56=C54,0,IF(D56=D55,0,(HLOOKUP(C56,Ingreso!$AN$10:$AU$260,VLOOKUP(A56,Ingreso!$AL$11:$AM$260,2,FALSE)))/24))</f>
        <v>0</v>
      </c>
      <c r="I56" s="77">
        <f t="shared" si="1"/>
        <v>0</v>
      </c>
      <c r="N56" s="69">
        <v>40646</v>
      </c>
      <c r="O56" t="s">
        <v>1353</v>
      </c>
      <c r="P56" s="79">
        <v>437</v>
      </c>
      <c r="Q56" s="76">
        <v>0.34967592592592595</v>
      </c>
      <c r="R56" s="76">
        <v>0.73314814814814822</v>
      </c>
      <c r="S56" s="76">
        <v>0.38347222222222227</v>
      </c>
      <c r="T56" s="76">
        <v>0.41666666666666669</v>
      </c>
      <c r="U56" s="76">
        <v>-3.3194444444444415E-2</v>
      </c>
      <c r="V56" s="76">
        <v>0</v>
      </c>
    </row>
    <row r="57" spans="1:22">
      <c r="A57" s="85" t="str">
        <f>VLOOKUP('Informe Kelly'!A50,Base!A:B,2,FALSE)</f>
        <v>07.481.602-9</v>
      </c>
      <c r="B57" s="85" t="str">
        <f>VLOOKUP('Informe Kelly'!A50,Base!A:G,7,FALSE)</f>
        <v>NARVAI RIVERA JORGE PATRICIO</v>
      </c>
      <c r="C57" s="91">
        <f>'Informe Kelly'!E50</f>
        <v>40644</v>
      </c>
      <c r="D57" s="96">
        <f t="shared" si="0"/>
        <v>25</v>
      </c>
      <c r="E57" s="85" t="str">
        <f>VLOOKUP(A57,Ingreso!K:P,6,FALSE)</f>
        <v>Turno B</v>
      </c>
      <c r="F57" s="85">
        <f>IF('Informe Kelly'!H50=$A$2,'Informe Kelly'!F50,"")</f>
        <v>0.60835648148148147</v>
      </c>
      <c r="G57" s="85" t="str">
        <f>IF('Informe Kelly'!H50=$A$3,'Informe Kelly'!F50,"")</f>
        <v/>
      </c>
      <c r="H57" s="85">
        <f>IF(C57=C55,0,IF(D57=D56,0,(HLOOKUP(C57,Ingreso!$AN$10:$AU$260,VLOOKUP(A57,Ingreso!$AL$11:$AM$260,2,FALSE)))/24))</f>
        <v>0</v>
      </c>
      <c r="I57" s="77">
        <f t="shared" si="1"/>
        <v>0.3125</v>
      </c>
      <c r="N57" s="69">
        <v>40647</v>
      </c>
      <c r="O57" t="s">
        <v>1353</v>
      </c>
      <c r="P57" s="79">
        <v>438</v>
      </c>
      <c r="Q57" s="76">
        <v>0.3478472222222222</v>
      </c>
      <c r="R57" s="76">
        <v>0.73568287037037028</v>
      </c>
      <c r="S57" s="76">
        <v>0.38783564814814808</v>
      </c>
      <c r="T57" s="76">
        <v>0.41666666666666669</v>
      </c>
      <c r="U57" s="76">
        <v>-2.8831018518518603E-2</v>
      </c>
      <c r="V57" s="76">
        <v>0</v>
      </c>
    </row>
    <row r="58" spans="1:22">
      <c r="A58" s="85" t="str">
        <f>VLOOKUP('Informe Kelly'!A51,Base!A:B,2,FALSE)</f>
        <v>07.481.602-9</v>
      </c>
      <c r="B58" s="85" t="str">
        <f>VLOOKUP('Informe Kelly'!A51,Base!A:G,7,FALSE)</f>
        <v>NARVAI RIVERA JORGE PATRICIO</v>
      </c>
      <c r="C58" s="91">
        <f>'Informe Kelly'!E51</f>
        <v>40644</v>
      </c>
      <c r="D58" s="96">
        <f t="shared" si="0"/>
        <v>25</v>
      </c>
      <c r="E58" s="85" t="str">
        <f>VLOOKUP(A58,Ingreso!K:P,6,FALSE)</f>
        <v>Turno B</v>
      </c>
      <c r="F58" s="85" t="str">
        <f>IF('Informe Kelly'!H51=$A$2,'Informe Kelly'!F51,"")</f>
        <v/>
      </c>
      <c r="G58" s="85">
        <f>IF('Informe Kelly'!H51=$A$3,'Informe Kelly'!F51,"")</f>
        <v>0.94307870370370372</v>
      </c>
      <c r="H58" s="85">
        <f>IF(C58=C56,0,IF(D58=D57,0,(HLOOKUP(C58,Ingreso!$AN$10:$AU$260,VLOOKUP(A58,Ingreso!$AL$11:$AM$260,2,FALSE)))/24))</f>
        <v>0</v>
      </c>
      <c r="I58" s="77">
        <f t="shared" si="1"/>
        <v>0</v>
      </c>
      <c r="N58" s="69">
        <v>40648</v>
      </c>
      <c r="O58" t="s">
        <v>1353</v>
      </c>
      <c r="P58" s="79">
        <v>439</v>
      </c>
      <c r="Q58" s="76">
        <v>0.34766203703703707</v>
      </c>
      <c r="R58" s="76">
        <v>0.73166666666666658</v>
      </c>
      <c r="S58" s="76">
        <v>0.3840046296296295</v>
      </c>
      <c r="T58" s="76">
        <v>0.41666666666666669</v>
      </c>
      <c r="U58" s="76">
        <v>-3.2662037037037184E-2</v>
      </c>
      <c r="V58" s="76">
        <v>0</v>
      </c>
    </row>
    <row r="59" spans="1:22">
      <c r="A59" s="85" t="str">
        <f>VLOOKUP('Informe Kelly'!A52,Base!A:B,2,FALSE)</f>
        <v>07.481.602-9</v>
      </c>
      <c r="B59" s="85" t="str">
        <f>VLOOKUP('Informe Kelly'!A52,Base!A:G,7,FALSE)</f>
        <v>NARVAI RIVERA JORGE PATRICIO</v>
      </c>
      <c r="C59" s="91">
        <f>'Informe Kelly'!E52</f>
        <v>40645</v>
      </c>
      <c r="D59" s="96">
        <f t="shared" si="0"/>
        <v>26</v>
      </c>
      <c r="E59" s="85" t="str">
        <f>VLOOKUP(A59,Ingreso!K:P,6,FALSE)</f>
        <v>Turno B</v>
      </c>
      <c r="F59" s="85">
        <f>IF('Informe Kelly'!H52=$A$2,'Informe Kelly'!F52,"")</f>
        <v>0.60817129629629629</v>
      </c>
      <c r="G59" s="85" t="str">
        <f>IF('Informe Kelly'!H52=$A$3,'Informe Kelly'!F52,"")</f>
        <v/>
      </c>
      <c r="H59" s="85">
        <f>IF(C59=C57,0,IF(D59=D58,0,(HLOOKUP(C59,Ingreso!$AN$10:$AU$260,VLOOKUP(A59,Ingreso!$AL$11:$AM$260,2,FALSE)))/24))</f>
        <v>0</v>
      </c>
      <c r="I59" s="77">
        <f t="shared" si="1"/>
        <v>0.3125</v>
      </c>
      <c r="N59" s="69">
        <v>40649</v>
      </c>
      <c r="O59" t="s">
        <v>1353</v>
      </c>
      <c r="P59" s="79">
        <v>440</v>
      </c>
      <c r="Q59" s="76">
        <v>0.35677083333333331</v>
      </c>
      <c r="R59" s="76">
        <v>0.60563657407407401</v>
      </c>
      <c r="S59" s="76">
        <v>0.24886574074074069</v>
      </c>
      <c r="T59" s="76">
        <v>0.41666666666666669</v>
      </c>
      <c r="U59" s="76">
        <v>-0.16780092592592599</v>
      </c>
      <c r="V59" s="76">
        <v>0.25</v>
      </c>
    </row>
    <row r="60" spans="1:22">
      <c r="A60" s="85" t="str">
        <f>VLOOKUP('Informe Kelly'!A53,Base!A:B,2,FALSE)</f>
        <v>07.481.602-9</v>
      </c>
      <c r="B60" s="85" t="str">
        <f>VLOOKUP('Informe Kelly'!A53,Base!A:G,7,FALSE)</f>
        <v>NARVAI RIVERA JORGE PATRICIO</v>
      </c>
      <c r="C60" s="91">
        <f>'Informe Kelly'!E53</f>
        <v>40645</v>
      </c>
      <c r="D60" s="96">
        <f t="shared" si="0"/>
        <v>26</v>
      </c>
      <c r="E60" s="85" t="str">
        <f>VLOOKUP(A60,Ingreso!K:P,6,FALSE)</f>
        <v>Turno B</v>
      </c>
      <c r="F60" s="85" t="str">
        <f>IF('Informe Kelly'!H53=$A$2,'Informe Kelly'!F53,"")</f>
        <v/>
      </c>
      <c r="G60" s="85">
        <f>IF('Informe Kelly'!H53=$A$3,'Informe Kelly'!F53,"")</f>
        <v>0.9443287037037037</v>
      </c>
      <c r="H60" s="85">
        <f>IF(C60=C58,0,IF(D60=D59,0,(HLOOKUP(C60,Ingreso!$AN$10:$AU$260,VLOOKUP(A60,Ingreso!$AL$11:$AM$260,2,FALSE)))/24))</f>
        <v>0</v>
      </c>
      <c r="I60" s="77">
        <f t="shared" si="1"/>
        <v>0</v>
      </c>
      <c r="L60" t="s">
        <v>974</v>
      </c>
      <c r="M60" t="s">
        <v>977</v>
      </c>
      <c r="N60" s="69">
        <v>40644</v>
      </c>
      <c r="O60" t="s">
        <v>6</v>
      </c>
      <c r="P60" s="79">
        <v>470</v>
      </c>
      <c r="Q60" s="76">
        <v>0.31711805555555556</v>
      </c>
      <c r="R60" s="76">
        <v>0.63336805555555553</v>
      </c>
      <c r="S60" s="76">
        <v>0.31624999999999998</v>
      </c>
      <c r="T60" s="76">
        <v>0.3125</v>
      </c>
      <c r="U60" s="76">
        <v>3.7499999999999756E-3</v>
      </c>
      <c r="V60" s="76">
        <v>0</v>
      </c>
    </row>
    <row r="61" spans="1:22">
      <c r="A61" s="85" t="str">
        <f>VLOOKUP('Informe Kelly'!A54,Base!A:B,2,FALSE)</f>
        <v>07.481.602-9</v>
      </c>
      <c r="B61" s="85" t="str">
        <f>VLOOKUP('Informe Kelly'!A54,Base!A:G,7,FALSE)</f>
        <v>NARVAI RIVERA JORGE PATRICIO</v>
      </c>
      <c r="C61" s="91">
        <f>'Informe Kelly'!E54</f>
        <v>40646</v>
      </c>
      <c r="D61" s="96">
        <f t="shared" si="0"/>
        <v>27</v>
      </c>
      <c r="E61" s="85" t="str">
        <f>VLOOKUP(A61,Ingreso!K:P,6,FALSE)</f>
        <v>Turno B</v>
      </c>
      <c r="F61" s="85">
        <f>IF('Informe Kelly'!H54=$A$2,'Informe Kelly'!F54,"")</f>
        <v>0.60945601851851849</v>
      </c>
      <c r="G61" s="85" t="str">
        <f>IF('Informe Kelly'!H54=$A$3,'Informe Kelly'!F54,"")</f>
        <v/>
      </c>
      <c r="H61" s="85">
        <f>IF(C61=C59,0,IF(D61=D60,0,(HLOOKUP(C61,Ingreso!$AN$10:$AU$260,VLOOKUP(A61,Ingreso!$AL$11:$AM$260,2,FALSE)))/24))</f>
        <v>0</v>
      </c>
      <c r="I61" s="77">
        <f t="shared" si="1"/>
        <v>0.3125</v>
      </c>
      <c r="N61" s="69">
        <v>40645</v>
      </c>
      <c r="O61" t="s">
        <v>6</v>
      </c>
      <c r="P61" s="79">
        <v>471</v>
      </c>
      <c r="Q61" s="76">
        <v>0.31069444444444444</v>
      </c>
      <c r="R61" s="76">
        <v>0.71466435185185195</v>
      </c>
      <c r="S61" s="76">
        <v>0.40396990740740751</v>
      </c>
      <c r="T61" s="76">
        <v>0.3125</v>
      </c>
      <c r="U61" s="76">
        <v>9.1469907407407514E-2</v>
      </c>
      <c r="V61" s="76">
        <v>0.10416666666666667</v>
      </c>
    </row>
    <row r="62" spans="1:22">
      <c r="A62" s="85" t="str">
        <f>VLOOKUP('Informe Kelly'!A55,Base!A:B,2,FALSE)</f>
        <v>07.481.602-9</v>
      </c>
      <c r="B62" s="85" t="str">
        <f>VLOOKUP('Informe Kelly'!A55,Base!A:G,7,FALSE)</f>
        <v>NARVAI RIVERA JORGE PATRICIO</v>
      </c>
      <c r="C62" s="91">
        <f>'Informe Kelly'!E55</f>
        <v>40646</v>
      </c>
      <c r="D62" s="96">
        <f t="shared" si="0"/>
        <v>27</v>
      </c>
      <c r="E62" s="85" t="str">
        <f>VLOOKUP(A62,Ingreso!K:P,6,FALSE)</f>
        <v>Turno B</v>
      </c>
      <c r="F62" s="85" t="str">
        <f>IF('Informe Kelly'!H55=$A$2,'Informe Kelly'!F55,"")</f>
        <v/>
      </c>
      <c r="G62" s="85">
        <f>IF('Informe Kelly'!H55=$A$3,'Informe Kelly'!F55,"")</f>
        <v>0.94033564814814818</v>
      </c>
      <c r="H62" s="85">
        <f>IF(C62=C60,0,IF(D62=D61,0,(HLOOKUP(C62,Ingreso!$AN$10:$AU$260,VLOOKUP(A62,Ingreso!$AL$11:$AM$260,2,FALSE)))/24))</f>
        <v>0</v>
      </c>
      <c r="I62" s="77">
        <f t="shared" si="1"/>
        <v>0</v>
      </c>
      <c r="N62" s="69">
        <v>40646</v>
      </c>
      <c r="O62" t="s">
        <v>6</v>
      </c>
      <c r="P62" s="79">
        <v>472</v>
      </c>
      <c r="Q62" s="76">
        <v>0.31155092592592593</v>
      </c>
      <c r="R62" s="76">
        <v>0.71090277777777777</v>
      </c>
      <c r="S62" s="76">
        <v>0.39935185185185185</v>
      </c>
      <c r="T62" s="76">
        <v>0.3125</v>
      </c>
      <c r="U62" s="76">
        <v>8.6851851851851847E-2</v>
      </c>
      <c r="V62" s="76">
        <v>0.10416666666666667</v>
      </c>
    </row>
    <row r="63" spans="1:22">
      <c r="A63" s="85" t="str">
        <f>VLOOKUP('Informe Kelly'!A56,Base!A:B,2,FALSE)</f>
        <v>07.481.602-9</v>
      </c>
      <c r="B63" s="85" t="str">
        <f>VLOOKUP('Informe Kelly'!A56,Base!A:G,7,FALSE)</f>
        <v>NARVAI RIVERA JORGE PATRICIO</v>
      </c>
      <c r="C63" s="91">
        <f>'Informe Kelly'!E56</f>
        <v>40647</v>
      </c>
      <c r="D63" s="96">
        <f t="shared" si="0"/>
        <v>28</v>
      </c>
      <c r="E63" s="85" t="str">
        <f>VLOOKUP(A63,Ingreso!K:P,6,FALSE)</f>
        <v>Turno B</v>
      </c>
      <c r="F63" s="85">
        <f>IF('Informe Kelly'!H56=$A$2,'Informe Kelly'!F56,"")</f>
        <v>0.61252314814814812</v>
      </c>
      <c r="G63" s="85" t="str">
        <f>IF('Informe Kelly'!H56=$A$3,'Informe Kelly'!F56,"")</f>
        <v/>
      </c>
      <c r="H63" s="85">
        <f>IF(C63=C61,0,IF(D63=D62,0,(HLOOKUP(C63,Ingreso!$AN$10:$AU$260,VLOOKUP(A63,Ingreso!$AL$11:$AM$260,2,FALSE)))/24))</f>
        <v>0</v>
      </c>
      <c r="I63" s="77">
        <f t="shared" si="1"/>
        <v>0.3125</v>
      </c>
      <c r="N63" s="69">
        <v>40648</v>
      </c>
      <c r="O63" t="s">
        <v>6</v>
      </c>
      <c r="P63" s="79">
        <v>473</v>
      </c>
      <c r="Q63" s="76">
        <v>0.32341435185185186</v>
      </c>
      <c r="R63" s="76">
        <v>0.62523148148148155</v>
      </c>
      <c r="S63" s="76">
        <v>0.3018171296296297</v>
      </c>
      <c r="T63" s="76">
        <v>0.3125</v>
      </c>
      <c r="U63" s="76">
        <v>-1.0682870370370301E-2</v>
      </c>
      <c r="V63" s="76">
        <v>0</v>
      </c>
    </row>
    <row r="64" spans="1:22">
      <c r="A64" s="85" t="str">
        <f>VLOOKUP('Informe Kelly'!A57,Base!A:B,2,FALSE)</f>
        <v>07.481.602-9</v>
      </c>
      <c r="B64" s="85" t="str">
        <f>VLOOKUP('Informe Kelly'!A57,Base!A:G,7,FALSE)</f>
        <v>NARVAI RIVERA JORGE PATRICIO</v>
      </c>
      <c r="C64" s="91">
        <f>'Informe Kelly'!E57</f>
        <v>40647</v>
      </c>
      <c r="D64" s="96">
        <f t="shared" si="0"/>
        <v>28</v>
      </c>
      <c r="E64" s="85" t="str">
        <f>VLOOKUP(A64,Ingreso!K:P,6,FALSE)</f>
        <v>Turno B</v>
      </c>
      <c r="F64" s="85" t="str">
        <f>IF('Informe Kelly'!H57=$A$2,'Informe Kelly'!F57,"")</f>
        <v/>
      </c>
      <c r="G64" s="85">
        <f>IF('Informe Kelly'!H57=$A$3,'Informe Kelly'!F57,"")</f>
        <v>0.94390046296296293</v>
      </c>
      <c r="H64" s="85">
        <f>IF(C64=C62,0,IF(D64=D63,0,(HLOOKUP(C64,Ingreso!$AN$10:$AU$260,VLOOKUP(A64,Ingreso!$AL$11:$AM$260,2,FALSE)))/24))</f>
        <v>0</v>
      </c>
      <c r="I64" s="77">
        <f t="shared" si="1"/>
        <v>0</v>
      </c>
      <c r="N64" s="69">
        <v>40649</v>
      </c>
      <c r="O64" t="s">
        <v>6</v>
      </c>
      <c r="P64" s="79">
        <v>474</v>
      </c>
      <c r="Q64" s="76">
        <v>0.32061342592592595</v>
      </c>
      <c r="R64" s="76">
        <v>0.63129629629629636</v>
      </c>
      <c r="S64" s="76">
        <v>0.3106828703703704</v>
      </c>
      <c r="T64" s="76">
        <v>0.3125</v>
      </c>
      <c r="U64" s="76">
        <v>-1.8171296296295991E-3</v>
      </c>
      <c r="V64" s="76">
        <v>0</v>
      </c>
    </row>
    <row r="65" spans="1:22">
      <c r="A65" s="85" t="str">
        <f>VLOOKUP('Informe Kelly'!A58,Base!A:B,2,FALSE)</f>
        <v>07.481.602-9</v>
      </c>
      <c r="B65" s="85" t="str">
        <f>VLOOKUP('Informe Kelly'!A58,Base!A:G,7,FALSE)</f>
        <v>NARVAI RIVERA JORGE PATRICIO</v>
      </c>
      <c r="C65" s="91">
        <f>'Informe Kelly'!E58</f>
        <v>40648</v>
      </c>
      <c r="D65" s="96">
        <f t="shared" si="0"/>
        <v>29</v>
      </c>
      <c r="E65" s="85" t="str">
        <f>VLOOKUP(A65,Ingreso!K:P,6,FALSE)</f>
        <v>Turno B</v>
      </c>
      <c r="F65" s="85">
        <f>IF('Informe Kelly'!H58=$A$2,'Informe Kelly'!F58,"")</f>
        <v>0.61799768518518516</v>
      </c>
      <c r="G65" s="85" t="str">
        <f>IF('Informe Kelly'!H58=$A$3,'Informe Kelly'!F58,"")</f>
        <v/>
      </c>
      <c r="H65" s="85">
        <f>IF(C65=C63,0,IF(D65=D64,0,(HLOOKUP(C65,Ingreso!$AN$10:$AU$260,VLOOKUP(A65,Ingreso!$AL$11:$AM$260,2,FALSE)))/24))</f>
        <v>0</v>
      </c>
      <c r="I65" s="77">
        <f t="shared" si="1"/>
        <v>0.3125</v>
      </c>
      <c r="L65" t="s">
        <v>240</v>
      </c>
      <c r="M65" t="s">
        <v>245</v>
      </c>
      <c r="N65" s="69">
        <v>40644</v>
      </c>
      <c r="O65" t="s">
        <v>1332</v>
      </c>
      <c r="P65" s="79">
        <v>563</v>
      </c>
      <c r="Q65" s="76">
        <v>1.0601851851851854E-2</v>
      </c>
      <c r="R65" s="76">
        <v>0.33907407407407408</v>
      </c>
      <c r="S65" s="76">
        <v>0.32847222222222222</v>
      </c>
      <c r="T65" s="76">
        <v>0.375</v>
      </c>
      <c r="U65" s="76">
        <v>-4.6527777777777779E-2</v>
      </c>
      <c r="V65" s="76">
        <v>0.3125</v>
      </c>
    </row>
    <row r="66" spans="1:22">
      <c r="A66" s="85" t="str">
        <f>VLOOKUP('Informe Kelly'!A59,Base!A:B,2,FALSE)</f>
        <v>07.481.602-9</v>
      </c>
      <c r="B66" s="85" t="str">
        <f>VLOOKUP('Informe Kelly'!A59,Base!A:G,7,FALSE)</f>
        <v>NARVAI RIVERA JORGE PATRICIO</v>
      </c>
      <c r="C66" s="91">
        <f>'Informe Kelly'!E59</f>
        <v>40648</v>
      </c>
      <c r="D66" s="96">
        <f t="shared" si="0"/>
        <v>29</v>
      </c>
      <c r="E66" s="85" t="str">
        <f>VLOOKUP(A66,Ingreso!K:P,6,FALSE)</f>
        <v>Turno B</v>
      </c>
      <c r="F66" s="85" t="str">
        <f>IF('Informe Kelly'!H59=$A$2,'Informe Kelly'!F59,"")</f>
        <v/>
      </c>
      <c r="G66" s="85">
        <f>IF('Informe Kelly'!H59=$A$3,'Informe Kelly'!F59,"")</f>
        <v>0.9437037037037036</v>
      </c>
      <c r="H66" s="85">
        <f>IF(C66=C64,0,IF(D66=D65,0,(HLOOKUP(C66,Ingreso!$AN$10:$AU$260,VLOOKUP(A66,Ingreso!$AL$11:$AM$260,2,FALSE)))/24))</f>
        <v>0</v>
      </c>
      <c r="I66" s="77">
        <f t="shared" si="1"/>
        <v>0</v>
      </c>
      <c r="P66" s="79">
        <v>564</v>
      </c>
      <c r="Q66" s="76">
        <v>0.92001157407407408</v>
      </c>
      <c r="R66" s="76">
        <v>0</v>
      </c>
      <c r="S66" s="76">
        <v>7.9988425925925921E-2</v>
      </c>
      <c r="T66" s="76">
        <v>0</v>
      </c>
      <c r="U66" s="76">
        <v>7.9988425925925921E-2</v>
      </c>
      <c r="V66" s="76">
        <v>0</v>
      </c>
    </row>
    <row r="67" spans="1:22">
      <c r="A67" s="85" t="str">
        <f>VLOOKUP('Informe Kelly'!A60,Base!A:B,2,FALSE)</f>
        <v>07.481.602-9</v>
      </c>
      <c r="B67" s="85" t="str">
        <f>VLOOKUP('Informe Kelly'!A60,Base!A:G,7,FALSE)</f>
        <v>NARVAI RIVERA JORGE PATRICIO</v>
      </c>
      <c r="C67" s="91">
        <f>'Informe Kelly'!E60</f>
        <v>40649</v>
      </c>
      <c r="D67" s="96">
        <f t="shared" si="0"/>
        <v>30</v>
      </c>
      <c r="E67" s="85" t="str">
        <f>VLOOKUP(A67,Ingreso!K:P,6,FALSE)</f>
        <v>Turno B</v>
      </c>
      <c r="F67" s="85" t="str">
        <f>IF('Informe Kelly'!H60=$A$2,'Informe Kelly'!F60,"")</f>
        <v/>
      </c>
      <c r="G67" s="85">
        <f>IF('Informe Kelly'!H60=$A$3,'Informe Kelly'!F60,"")</f>
        <v>0.72829861111111116</v>
      </c>
      <c r="H67" s="85">
        <f>IF(C67=C65,0,IF(D67=D66,0,(HLOOKUP(C67,Ingreso!$AN$10:$AU$260,VLOOKUP(A67,Ingreso!$AL$11:$AM$260,2,FALSE)))/24))</f>
        <v>0</v>
      </c>
      <c r="I67" s="77">
        <f t="shared" si="1"/>
        <v>0.3125</v>
      </c>
      <c r="N67" s="69">
        <v>40645</v>
      </c>
      <c r="O67" t="s">
        <v>1332</v>
      </c>
      <c r="P67" s="79">
        <v>565</v>
      </c>
      <c r="Q67" s="76">
        <v>0.91952546296296289</v>
      </c>
      <c r="R67" s="76">
        <v>0.3263078703703704</v>
      </c>
      <c r="S67" s="76">
        <v>0.40678240740740745</v>
      </c>
      <c r="T67" s="76">
        <v>0.375</v>
      </c>
      <c r="U67" s="76">
        <v>3.1782407407407454E-2</v>
      </c>
      <c r="V67" s="76">
        <v>0</v>
      </c>
    </row>
    <row r="68" spans="1:22">
      <c r="A68" s="85" t="str">
        <f>VLOOKUP('Informe Kelly'!A61,Base!A:B,2,FALSE)</f>
        <v>07.481.602-9</v>
      </c>
      <c r="B68" s="85" t="str">
        <f>VLOOKUP('Informe Kelly'!A61,Base!A:G,7,FALSE)</f>
        <v>NARVAI RIVERA JORGE PATRICIO</v>
      </c>
      <c r="C68" s="91">
        <f>'Informe Kelly'!E61</f>
        <v>40649</v>
      </c>
      <c r="D68" s="96">
        <f t="shared" si="0"/>
        <v>30</v>
      </c>
      <c r="E68" s="85" t="str">
        <f>VLOOKUP(A68,Ingreso!K:P,6,FALSE)</f>
        <v>Turno B</v>
      </c>
      <c r="F68" s="85">
        <f>IF('Informe Kelly'!H61=$A$2,'Informe Kelly'!F61,"")</f>
        <v>0.42921296296296302</v>
      </c>
      <c r="G68" s="85" t="str">
        <f>IF('Informe Kelly'!H61=$A$3,'Informe Kelly'!F61,"")</f>
        <v/>
      </c>
      <c r="H68" s="85">
        <f>IF(C68=C66,0,IF(D68=D67,0,(HLOOKUP(C68,Ingreso!$AN$10:$AU$260,VLOOKUP(A68,Ingreso!$AL$11:$AM$260,2,FALSE)))/24))</f>
        <v>0</v>
      </c>
      <c r="I68" s="77">
        <f t="shared" si="1"/>
        <v>0</v>
      </c>
      <c r="N68" s="69">
        <v>40646</v>
      </c>
      <c r="O68" t="s">
        <v>1332</v>
      </c>
      <c r="P68" s="79">
        <v>566</v>
      </c>
      <c r="Q68" s="76">
        <v>0.91900462962962959</v>
      </c>
      <c r="R68" s="76">
        <v>0.32657407407407407</v>
      </c>
      <c r="S68" s="76">
        <v>0.40756944444444454</v>
      </c>
      <c r="T68" s="76">
        <v>0.375</v>
      </c>
      <c r="U68" s="76">
        <v>3.256944444444454E-2</v>
      </c>
      <c r="V68" s="76">
        <v>0</v>
      </c>
    </row>
    <row r="69" spans="1:22">
      <c r="A69" s="85" t="str">
        <f>VLOOKUP('Informe Kelly'!A62,Base!A:B,2,FALSE)</f>
        <v>07.721.223-K</v>
      </c>
      <c r="B69" s="85" t="str">
        <f>VLOOKUP('Informe Kelly'!A62,Base!A:G,7,FALSE)</f>
        <v xml:space="preserve">QUIROZ VENEGAS JOSE MANUEL </v>
      </c>
      <c r="C69" s="91">
        <f>'Informe Kelly'!E62</f>
        <v>40644</v>
      </c>
      <c r="D69" s="96">
        <f t="shared" si="0"/>
        <v>31</v>
      </c>
      <c r="E69" s="85" t="str">
        <f>VLOOKUP(A69,Ingreso!K:P,6,FALSE)</f>
        <v>Turno C</v>
      </c>
      <c r="F69" s="85">
        <f>IF('Informe Kelly'!H62=$A$2,'Informe Kelly'!F62,"")</f>
        <v>0.91929398148148145</v>
      </c>
      <c r="G69" s="85" t="str">
        <f>IF('Informe Kelly'!H62=$A$3,'Informe Kelly'!F62,"")</f>
        <v/>
      </c>
      <c r="H69" s="85">
        <f>IF(C69=C67,0,IF(D69=D68,0,(HLOOKUP(C69,Ingreso!$AN$10:$AU$260,VLOOKUP(A69,Ingreso!$AL$11:$AM$260,2,FALSE)))/24))</f>
        <v>0</v>
      </c>
      <c r="I69" s="77">
        <f t="shared" si="1"/>
        <v>0.375</v>
      </c>
      <c r="N69" s="69">
        <v>40647</v>
      </c>
      <c r="O69" t="s">
        <v>1332</v>
      </c>
      <c r="P69" s="79">
        <v>567</v>
      </c>
      <c r="Q69" s="76">
        <v>0.92143518518518519</v>
      </c>
      <c r="R69" s="76">
        <v>0.32709490740740738</v>
      </c>
      <c r="S69" s="76">
        <v>0.40565972222222224</v>
      </c>
      <c r="T69" s="76">
        <v>0.375</v>
      </c>
      <c r="U69" s="76">
        <v>3.0659722222222241E-2</v>
      </c>
      <c r="V69" s="76">
        <v>0</v>
      </c>
    </row>
    <row r="70" spans="1:22">
      <c r="A70" s="85" t="str">
        <f>VLOOKUP('Informe Kelly'!A63,Base!A:B,2,FALSE)</f>
        <v>07.721.223-K</v>
      </c>
      <c r="B70" s="85" t="str">
        <f>VLOOKUP('Informe Kelly'!A63,Base!A:G,7,FALSE)</f>
        <v xml:space="preserve">QUIROZ VENEGAS JOSE MANUEL </v>
      </c>
      <c r="C70" s="91">
        <f>'Informe Kelly'!E63</f>
        <v>40645</v>
      </c>
      <c r="D70" s="96">
        <f t="shared" si="0"/>
        <v>32</v>
      </c>
      <c r="E70" s="85" t="str">
        <f>VLOOKUP(A70,Ingreso!K:P,6,FALSE)</f>
        <v>Turno C</v>
      </c>
      <c r="F70" s="85" t="str">
        <f>IF('Informe Kelly'!H63=$A$2,'Informe Kelly'!F63,"")</f>
        <v/>
      </c>
      <c r="G70" s="85">
        <f>IF('Informe Kelly'!H63=$A$3,'Informe Kelly'!F63,"")</f>
        <v>0.31740740740740742</v>
      </c>
      <c r="H70" s="85">
        <f>IF(C70=C68,0,IF(D70=D69,0,(HLOOKUP(C70,Ingreso!$AN$10:$AU$260,VLOOKUP(A70,Ingreso!$AL$11:$AM$260,2,FALSE)))/24))</f>
        <v>0</v>
      </c>
      <c r="I70" s="77">
        <f t="shared" si="1"/>
        <v>0.375</v>
      </c>
      <c r="N70" s="69">
        <v>40648</v>
      </c>
      <c r="O70" t="s">
        <v>1332</v>
      </c>
      <c r="P70" s="79">
        <v>568</v>
      </c>
      <c r="Q70" s="76">
        <v>0.92655092592592592</v>
      </c>
      <c r="R70" s="76">
        <v>0.32796296296296296</v>
      </c>
      <c r="S70" s="76">
        <v>0.40141203703703709</v>
      </c>
      <c r="T70" s="76">
        <v>0.375</v>
      </c>
      <c r="U70" s="76">
        <v>2.6412037037037095E-2</v>
      </c>
      <c r="V70" s="76">
        <v>0</v>
      </c>
    </row>
    <row r="71" spans="1:22">
      <c r="A71" s="85" t="str">
        <f>VLOOKUP('Informe Kelly'!A64,Base!A:B,2,FALSE)</f>
        <v>07.721.223-K</v>
      </c>
      <c r="B71" s="85" t="str">
        <f>VLOOKUP('Informe Kelly'!A64,Base!A:G,7,FALSE)</f>
        <v xml:space="preserve">QUIROZ VENEGAS JOSE MANUEL </v>
      </c>
      <c r="C71" s="91">
        <f>'Informe Kelly'!E64</f>
        <v>40645</v>
      </c>
      <c r="D71" s="96">
        <f t="shared" si="0"/>
        <v>32</v>
      </c>
      <c r="E71" s="85" t="str">
        <f>VLOOKUP(A71,Ingreso!K:P,6,FALSE)</f>
        <v>Turno C</v>
      </c>
      <c r="F71" s="85">
        <f>IF('Informe Kelly'!H64=$A$2,'Informe Kelly'!F64,"")</f>
        <v>0.91819444444444442</v>
      </c>
      <c r="G71" s="85" t="str">
        <f>IF('Informe Kelly'!H64=$A$3,'Informe Kelly'!F64,"")</f>
        <v/>
      </c>
      <c r="H71" s="85">
        <f>IF(C71=C69,0,IF(D71=D70,0,(HLOOKUP(C71,Ingreso!$AN$10:$AU$260,VLOOKUP(A71,Ingreso!$AL$11:$AM$260,2,FALSE)))/24))</f>
        <v>0</v>
      </c>
      <c r="I71" s="77">
        <f t="shared" si="1"/>
        <v>0</v>
      </c>
      <c r="N71" s="69">
        <v>40649</v>
      </c>
      <c r="O71" t="s">
        <v>1332</v>
      </c>
      <c r="P71" s="79">
        <v>569</v>
      </c>
      <c r="Q71" s="76">
        <v>0</v>
      </c>
      <c r="R71" s="76">
        <v>0.32710648148148147</v>
      </c>
      <c r="S71" s="76">
        <v>0.32710648148148147</v>
      </c>
      <c r="T71" s="76">
        <v>0.375</v>
      </c>
      <c r="U71" s="76">
        <v>-4.789351851851853E-2</v>
      </c>
      <c r="V71" s="76">
        <v>0</v>
      </c>
    </row>
    <row r="72" spans="1:22">
      <c r="A72" s="85" t="str">
        <f>VLOOKUP('Informe Kelly'!A65,Base!A:B,2,FALSE)</f>
        <v>07.721.223-K</v>
      </c>
      <c r="B72" s="85" t="str">
        <f>VLOOKUP('Informe Kelly'!A65,Base!A:G,7,FALSE)</f>
        <v xml:space="preserve">QUIROZ VENEGAS JOSE MANUEL </v>
      </c>
      <c r="C72" s="91">
        <f>'Informe Kelly'!E65</f>
        <v>40646</v>
      </c>
      <c r="D72" s="96">
        <f t="shared" si="0"/>
        <v>33</v>
      </c>
      <c r="E72" s="85" t="str">
        <f>VLOOKUP(A72,Ingreso!K:P,6,FALSE)</f>
        <v>Turno C</v>
      </c>
      <c r="F72" s="85" t="str">
        <f>IF('Informe Kelly'!H65=$A$2,'Informe Kelly'!F65,"")</f>
        <v/>
      </c>
      <c r="G72" s="85">
        <f>IF('Informe Kelly'!H65=$A$3,'Informe Kelly'!F65,"")</f>
        <v>0.31697916666666665</v>
      </c>
      <c r="H72" s="85">
        <f>IF(C72=C70,0,IF(D72=D71,0,(HLOOKUP(C72,Ingreso!$AN$10:$AU$260,VLOOKUP(A72,Ingreso!$AL$11:$AM$260,2,FALSE)))/24))</f>
        <v>0</v>
      </c>
      <c r="I72" s="77">
        <f t="shared" si="1"/>
        <v>0.375</v>
      </c>
      <c r="L72" t="s">
        <v>1362</v>
      </c>
      <c r="P72"/>
      <c r="Q72" s="76">
        <v>32.843680555555551</v>
      </c>
      <c r="R72" s="76">
        <v>31.059224537037029</v>
      </c>
      <c r="S72" s="76">
        <v>-0.78445601851852231</v>
      </c>
      <c r="T72" s="76">
        <v>21.770833333333336</v>
      </c>
      <c r="U72" s="76">
        <v>-22.555289351851858</v>
      </c>
      <c r="V72" s="76">
        <v>2.6874999999999996</v>
      </c>
    </row>
    <row r="73" spans="1:22">
      <c r="A73" s="85" t="str">
        <f>VLOOKUP('Informe Kelly'!A66,Base!A:B,2,FALSE)</f>
        <v>07.721.223-K</v>
      </c>
      <c r="B73" s="85" t="str">
        <f>VLOOKUP('Informe Kelly'!A66,Base!A:G,7,FALSE)</f>
        <v xml:space="preserve">QUIROZ VENEGAS JOSE MANUEL </v>
      </c>
      <c r="C73" s="91">
        <f>'Informe Kelly'!E66</f>
        <v>40646</v>
      </c>
      <c r="D73" s="96">
        <f t="shared" ref="D73:D136" si="2">IF(C72=C73,IF(C73=C70,D72,IF(C73=C71,D72+1,D72)),D72+1)</f>
        <v>33</v>
      </c>
      <c r="E73" s="85" t="str">
        <f>VLOOKUP(A73,Ingreso!K:P,6,FALSE)</f>
        <v>Turno C</v>
      </c>
      <c r="F73" s="85">
        <f>IF('Informe Kelly'!H66=$A$2,'Informe Kelly'!F66,"")</f>
        <v>0.91810185185185178</v>
      </c>
      <c r="G73" s="85" t="str">
        <f>IF('Informe Kelly'!H66=$A$3,'Informe Kelly'!F66,"")</f>
        <v/>
      </c>
      <c r="H73" s="85">
        <f>IF(C73=C71,0,IF(D73=D72,0,(HLOOKUP(C73,Ingreso!$AN$10:$AU$260,VLOOKUP(A73,Ingreso!$AL$11:$AM$260,2,FALSE)))/24))</f>
        <v>0</v>
      </c>
      <c r="I73" s="77">
        <f t="shared" si="1"/>
        <v>0</v>
      </c>
      <c r="P73"/>
      <c r="Q73" s="92"/>
      <c r="R73" s="92"/>
    </row>
    <row r="74" spans="1:22">
      <c r="A74" s="85" t="str">
        <f>VLOOKUP('Informe Kelly'!A67,Base!A:B,2,FALSE)</f>
        <v>07.721.223-K</v>
      </c>
      <c r="B74" s="85" t="str">
        <f>VLOOKUP('Informe Kelly'!A67,Base!A:G,7,FALSE)</f>
        <v xml:space="preserve">QUIROZ VENEGAS JOSE MANUEL </v>
      </c>
      <c r="C74" s="91">
        <f>'Informe Kelly'!E67</f>
        <v>40647</v>
      </c>
      <c r="D74" s="96">
        <f t="shared" si="2"/>
        <v>34</v>
      </c>
      <c r="E74" s="85" t="str">
        <f>VLOOKUP(A74,Ingreso!K:P,6,FALSE)</f>
        <v>Turno C</v>
      </c>
      <c r="F74" s="85" t="str">
        <f>IF('Informe Kelly'!H67=$A$2,'Informe Kelly'!F67,"")</f>
        <v/>
      </c>
      <c r="G74" s="85">
        <f>IF('Informe Kelly'!H67=$A$3,'Informe Kelly'!F67,"")</f>
        <v>0.32002314814814814</v>
      </c>
      <c r="H74" s="85">
        <f>IF(C74=C72,0,IF(D74=D73,0,(HLOOKUP(C74,Ingreso!$AN$10:$AU$260,VLOOKUP(A74,Ingreso!$AL$11:$AM$260,2,FALSE)))/24))</f>
        <v>0</v>
      </c>
      <c r="I74" s="77">
        <f t="shared" ref="I74:I137" si="3">IF(C74=C72,0,IF(D74=D73,0,(VLOOKUP(E74,$C$2:$D$5,2,FALSE))))</f>
        <v>0.375</v>
      </c>
      <c r="P74"/>
      <c r="Q74" s="92"/>
      <c r="R74" s="92"/>
    </row>
    <row r="75" spans="1:22">
      <c r="A75" s="85" t="str">
        <f>VLOOKUP('Informe Kelly'!A68,Base!A:B,2,FALSE)</f>
        <v>07.721.223-K</v>
      </c>
      <c r="B75" s="85" t="str">
        <f>VLOOKUP('Informe Kelly'!A68,Base!A:G,7,FALSE)</f>
        <v xml:space="preserve">QUIROZ VENEGAS JOSE MANUEL </v>
      </c>
      <c r="C75" s="91">
        <f>'Informe Kelly'!E68</f>
        <v>40647</v>
      </c>
      <c r="D75" s="96">
        <f t="shared" si="2"/>
        <v>34</v>
      </c>
      <c r="E75" s="85" t="str">
        <f>VLOOKUP(A75,Ingreso!K:P,6,FALSE)</f>
        <v>Turno C</v>
      </c>
      <c r="F75" s="85">
        <f>IF('Informe Kelly'!H68=$A$2,'Informe Kelly'!F68,"")</f>
        <v>0.91947916666666663</v>
      </c>
      <c r="G75" s="85" t="str">
        <f>IF('Informe Kelly'!H68=$A$3,'Informe Kelly'!F68,"")</f>
        <v/>
      </c>
      <c r="H75" s="85">
        <f>IF(C75=C73,0,IF(D75=D74,0,(HLOOKUP(C75,Ingreso!$AN$10:$AU$260,VLOOKUP(A75,Ingreso!$AL$11:$AM$260,2,FALSE)))/24))</f>
        <v>0</v>
      </c>
      <c r="I75" s="77">
        <f t="shared" si="3"/>
        <v>0</v>
      </c>
      <c r="P75"/>
      <c r="Q75" s="92"/>
      <c r="R75" s="92"/>
    </row>
    <row r="76" spans="1:22">
      <c r="A76" s="85" t="str">
        <f>VLOOKUP('Informe Kelly'!A69,Base!A:B,2,FALSE)</f>
        <v>07.721.223-K</v>
      </c>
      <c r="B76" s="85" t="str">
        <f>VLOOKUP('Informe Kelly'!A69,Base!A:G,7,FALSE)</f>
        <v xml:space="preserve">QUIROZ VENEGAS JOSE MANUEL </v>
      </c>
      <c r="C76" s="91">
        <f>'Informe Kelly'!E69</f>
        <v>40648</v>
      </c>
      <c r="D76" s="96">
        <f t="shared" si="2"/>
        <v>35</v>
      </c>
      <c r="E76" s="85" t="str">
        <f>VLOOKUP(A76,Ingreso!K:P,6,FALSE)</f>
        <v>Turno C</v>
      </c>
      <c r="F76" s="85">
        <f>IF('Informe Kelly'!H69=$A$2,'Informe Kelly'!F69,"")</f>
        <v>0.92180555555555566</v>
      </c>
      <c r="G76" s="85" t="str">
        <f>IF('Informe Kelly'!H69=$A$3,'Informe Kelly'!F69,"")</f>
        <v/>
      </c>
      <c r="H76" s="85">
        <f>IF(C76=C74,0,IF(D76=D75,0,(HLOOKUP(C76,Ingreso!$AN$10:$AU$260,VLOOKUP(A76,Ingreso!$AL$11:$AM$260,2,FALSE)))/24))</f>
        <v>0</v>
      </c>
      <c r="I76" s="77">
        <f t="shared" si="3"/>
        <v>0.375</v>
      </c>
      <c r="P76"/>
      <c r="Q76" s="92"/>
      <c r="R76" s="92"/>
    </row>
    <row r="77" spans="1:22">
      <c r="A77" s="85" t="str">
        <f>VLOOKUP('Informe Kelly'!A70,Base!A:B,2,FALSE)</f>
        <v>07.721.223-K</v>
      </c>
      <c r="B77" s="85" t="str">
        <f>VLOOKUP('Informe Kelly'!A70,Base!A:G,7,FALSE)</f>
        <v xml:space="preserve">QUIROZ VENEGAS JOSE MANUEL </v>
      </c>
      <c r="C77" s="91">
        <f>'Informe Kelly'!E70</f>
        <v>40648</v>
      </c>
      <c r="D77" s="96">
        <f t="shared" si="2"/>
        <v>35</v>
      </c>
      <c r="E77" s="85" t="str">
        <f>VLOOKUP(A77,Ingreso!K:P,6,FALSE)</f>
        <v>Turno C</v>
      </c>
      <c r="F77" s="85" t="str">
        <f>IF('Informe Kelly'!H70=$A$2,'Informe Kelly'!F70,"")</f>
        <v/>
      </c>
      <c r="G77" s="85">
        <f>IF('Informe Kelly'!H70=$A$3,'Informe Kelly'!F70,"")</f>
        <v>0.31730324074074073</v>
      </c>
      <c r="H77" s="85">
        <f>IF(C77=C75,0,IF(D77=D76,0,(HLOOKUP(C77,Ingreso!$AN$10:$AU$260,VLOOKUP(A77,Ingreso!$AL$11:$AM$260,2,FALSE)))/24))</f>
        <v>0</v>
      </c>
      <c r="I77" s="77">
        <f t="shared" si="3"/>
        <v>0</v>
      </c>
      <c r="P77"/>
      <c r="Q77" s="92"/>
      <c r="R77" s="92"/>
    </row>
    <row r="78" spans="1:22">
      <c r="A78" s="85" t="str">
        <f>VLOOKUP('Informe Kelly'!A71,Base!A:B,2,FALSE)</f>
        <v>07.721.223-K</v>
      </c>
      <c r="B78" s="85" t="str">
        <f>VLOOKUP('Informe Kelly'!A71,Base!A:G,7,FALSE)</f>
        <v xml:space="preserve">QUIROZ VENEGAS JOSE MANUEL </v>
      </c>
      <c r="C78" s="91">
        <f>'Informe Kelly'!E71</f>
        <v>40649</v>
      </c>
      <c r="D78" s="96">
        <f t="shared" si="2"/>
        <v>36</v>
      </c>
      <c r="E78" s="85" t="str">
        <f>VLOOKUP(A78,Ingreso!K:P,6,FALSE)</f>
        <v>Turno C</v>
      </c>
      <c r="F78" s="85" t="str">
        <f>IF('Informe Kelly'!H71=$A$2,'Informe Kelly'!F71,"")</f>
        <v/>
      </c>
      <c r="G78" s="85">
        <f>IF('Informe Kelly'!H71=$A$3,'Informe Kelly'!F71,"")</f>
        <v>0.31568287037037041</v>
      </c>
      <c r="H78" s="85">
        <f>IF(C78=C76,0,IF(D78=D77,0,(HLOOKUP(C78,Ingreso!$AN$10:$AU$260,VLOOKUP(A78,Ingreso!$AL$11:$AM$260,2,FALSE)))/24))</f>
        <v>0</v>
      </c>
      <c r="I78" s="77">
        <f t="shared" si="3"/>
        <v>0.375</v>
      </c>
      <c r="P78"/>
      <c r="Q78" s="92"/>
      <c r="R78" s="92"/>
    </row>
    <row r="79" spans="1:22">
      <c r="A79" s="85" t="str">
        <f>VLOOKUP('Informe Kelly'!A72,Base!A:B,2,FALSE)</f>
        <v>07.760.886-9</v>
      </c>
      <c r="B79" s="85" t="str">
        <f>VLOOKUP('Informe Kelly'!A72,Base!A:G,7,FALSE)</f>
        <v>ALBORNOZ ROA OSCAR ALFREDO</v>
      </c>
      <c r="C79" s="91">
        <f>'Informe Kelly'!E72</f>
        <v>40644</v>
      </c>
      <c r="D79" s="96">
        <f t="shared" si="2"/>
        <v>37</v>
      </c>
      <c r="E79" s="85" t="str">
        <f>VLOOKUP(A79,Ingreso!K:P,6,FALSE)</f>
        <v>Admin</v>
      </c>
      <c r="F79" s="85">
        <f>IF('Informe Kelly'!H72=$A$2,'Informe Kelly'!F72,"")</f>
        <v>0.30967592592592591</v>
      </c>
      <c r="G79" s="85" t="str">
        <f>IF('Informe Kelly'!H72=$A$3,'Informe Kelly'!F72,"")</f>
        <v/>
      </c>
      <c r="H79" s="85">
        <f>IF(C79=C77,0,IF(D79=D78,0,(HLOOKUP(C79,Ingreso!$AN$10:$AU$260,VLOOKUP(A79,Ingreso!$AL$11:$AM$260,2,FALSE)))/24))</f>
        <v>8.3333333333333329E-2</v>
      </c>
      <c r="I79" s="77">
        <f t="shared" si="3"/>
        <v>0.41666666666666669</v>
      </c>
      <c r="P79"/>
      <c r="Q79" s="92"/>
      <c r="R79" s="92"/>
    </row>
    <row r="80" spans="1:22">
      <c r="A80" s="85" t="str">
        <f>VLOOKUP('Informe Kelly'!A73,Base!A:B,2,FALSE)</f>
        <v>07.760.886-9</v>
      </c>
      <c r="B80" s="85" t="str">
        <f>VLOOKUP('Informe Kelly'!A73,Base!A:G,7,FALSE)</f>
        <v>ALBORNOZ ROA OSCAR ALFREDO</v>
      </c>
      <c r="C80" s="91">
        <f>'Informe Kelly'!E73</f>
        <v>40644</v>
      </c>
      <c r="D80" s="96">
        <f t="shared" si="2"/>
        <v>37</v>
      </c>
      <c r="E80" s="85" t="str">
        <f>VLOOKUP(A80,Ingreso!K:P,6,FALSE)</f>
        <v>Admin</v>
      </c>
      <c r="F80" s="85" t="str">
        <f>IF('Informe Kelly'!H73=$A$2,'Informe Kelly'!F73,"")</f>
        <v/>
      </c>
      <c r="G80" s="85">
        <f>IF('Informe Kelly'!H73=$A$3,'Informe Kelly'!F73,"")</f>
        <v>0.81153935185185189</v>
      </c>
      <c r="H80" s="85">
        <f>IF(C80=C78,0,IF(D80=D79,0,(HLOOKUP(C80,Ingreso!$AN$10:$AU$260,VLOOKUP(A80,Ingreso!$AL$11:$AM$260,2,FALSE)))/24))</f>
        <v>0</v>
      </c>
      <c r="I80" s="77">
        <f t="shared" si="3"/>
        <v>0</v>
      </c>
      <c r="P80"/>
      <c r="Q80" s="92"/>
      <c r="R80" s="92"/>
    </row>
    <row r="81" spans="1:18">
      <c r="A81" s="85" t="str">
        <f>VLOOKUP('Informe Kelly'!A74,Base!A:B,2,FALSE)</f>
        <v>07.760.886-9</v>
      </c>
      <c r="B81" s="85" t="str">
        <f>VLOOKUP('Informe Kelly'!A74,Base!A:G,7,FALSE)</f>
        <v>ALBORNOZ ROA OSCAR ALFREDO</v>
      </c>
      <c r="C81" s="91">
        <f>'Informe Kelly'!E74</f>
        <v>40645</v>
      </c>
      <c r="D81" s="96">
        <f t="shared" si="2"/>
        <v>38</v>
      </c>
      <c r="E81" s="85" t="str">
        <f>VLOOKUP(A81,Ingreso!K:P,6,FALSE)</f>
        <v>Admin</v>
      </c>
      <c r="F81" s="85">
        <f>IF('Informe Kelly'!H74=$A$2,'Informe Kelly'!F74,"")</f>
        <v>0.31056712962962962</v>
      </c>
      <c r="G81" s="85" t="str">
        <f>IF('Informe Kelly'!H74=$A$3,'Informe Kelly'!F74,"")</f>
        <v/>
      </c>
      <c r="H81" s="85">
        <f>IF(C81=C79,0,IF(D81=D80,0,(HLOOKUP(C81,Ingreso!$AN$10:$AU$260,VLOOKUP(A81,Ingreso!$AL$11:$AM$260,2,FALSE)))/24))</f>
        <v>8.3333333333333329E-2</v>
      </c>
      <c r="I81" s="77">
        <f t="shared" si="3"/>
        <v>0.41666666666666669</v>
      </c>
      <c r="P81"/>
      <c r="Q81" s="92"/>
      <c r="R81" s="92"/>
    </row>
    <row r="82" spans="1:18">
      <c r="A82" s="85" t="str">
        <f>VLOOKUP('Informe Kelly'!A75,Base!A:B,2,FALSE)</f>
        <v>07.760.886-9</v>
      </c>
      <c r="B82" s="85" t="str">
        <f>VLOOKUP('Informe Kelly'!A75,Base!A:G,7,FALSE)</f>
        <v>ALBORNOZ ROA OSCAR ALFREDO</v>
      </c>
      <c r="C82" s="91">
        <f>'Informe Kelly'!E75</f>
        <v>40645</v>
      </c>
      <c r="D82" s="96">
        <f t="shared" si="2"/>
        <v>38</v>
      </c>
      <c r="E82" s="85" t="str">
        <f>VLOOKUP(A82,Ingreso!K:P,6,FALSE)</f>
        <v>Admin</v>
      </c>
      <c r="F82" s="85" t="str">
        <f>IF('Informe Kelly'!H75=$A$2,'Informe Kelly'!F75,"")</f>
        <v/>
      </c>
      <c r="G82" s="85">
        <f>IF('Informe Kelly'!H75=$A$3,'Informe Kelly'!F75,"")</f>
        <v>0.8143287037037038</v>
      </c>
      <c r="H82" s="85">
        <f>IF(C82=C80,0,IF(D82=D81,0,(HLOOKUP(C82,Ingreso!$AN$10:$AU$260,VLOOKUP(A82,Ingreso!$AL$11:$AM$260,2,FALSE)))/24))</f>
        <v>0</v>
      </c>
      <c r="I82" s="77">
        <f t="shared" si="3"/>
        <v>0</v>
      </c>
      <c r="P82"/>
      <c r="Q82" s="92"/>
      <c r="R82" s="92"/>
    </row>
    <row r="83" spans="1:18">
      <c r="A83" s="85" t="str">
        <f>VLOOKUP('Informe Kelly'!A76,Base!A:B,2,FALSE)</f>
        <v>07.760.886-9</v>
      </c>
      <c r="B83" s="85" t="str">
        <f>VLOOKUP('Informe Kelly'!A76,Base!A:G,7,FALSE)</f>
        <v>ALBORNOZ ROA OSCAR ALFREDO</v>
      </c>
      <c r="C83" s="91">
        <f>'Informe Kelly'!E76</f>
        <v>40646</v>
      </c>
      <c r="D83" s="96">
        <f t="shared" si="2"/>
        <v>39</v>
      </c>
      <c r="E83" s="85" t="str">
        <f>VLOOKUP(A83,Ingreso!K:P,6,FALSE)</f>
        <v>Admin</v>
      </c>
      <c r="F83" s="85">
        <f>IF('Informe Kelly'!H76=$A$2,'Informe Kelly'!F76,"")</f>
        <v>0.30584490740740738</v>
      </c>
      <c r="G83" s="85" t="str">
        <f>IF('Informe Kelly'!H76=$A$3,'Informe Kelly'!F76,"")</f>
        <v/>
      </c>
      <c r="H83" s="85">
        <f>IF(C83=C81,0,IF(D83=D82,0,(HLOOKUP(C83,Ingreso!$AN$10:$AU$260,VLOOKUP(A83,Ingreso!$AL$11:$AM$260,2,FALSE)))/24))</f>
        <v>8.3333333333333329E-2</v>
      </c>
      <c r="I83" s="77">
        <f t="shared" si="3"/>
        <v>0.41666666666666669</v>
      </c>
      <c r="P83"/>
      <c r="Q83" s="92"/>
      <c r="R83" s="92"/>
    </row>
    <row r="84" spans="1:18">
      <c r="A84" s="85" t="str">
        <f>VLOOKUP('Informe Kelly'!A77,Base!A:B,2,FALSE)</f>
        <v>07.760.886-9</v>
      </c>
      <c r="B84" s="85" t="str">
        <f>VLOOKUP('Informe Kelly'!A77,Base!A:G,7,FALSE)</f>
        <v>ALBORNOZ ROA OSCAR ALFREDO</v>
      </c>
      <c r="C84" s="91">
        <f>'Informe Kelly'!E77</f>
        <v>40646</v>
      </c>
      <c r="D84" s="96">
        <f t="shared" si="2"/>
        <v>39</v>
      </c>
      <c r="E84" s="85" t="str">
        <f>VLOOKUP(A84,Ingreso!K:P,6,FALSE)</f>
        <v>Admin</v>
      </c>
      <c r="F84" s="85" t="str">
        <f>IF('Informe Kelly'!H77=$A$2,'Informe Kelly'!F77,"")</f>
        <v/>
      </c>
      <c r="G84" s="85">
        <f>IF('Informe Kelly'!H77=$A$3,'Informe Kelly'!F77,"")</f>
        <v>0.80843750000000003</v>
      </c>
      <c r="H84" s="85">
        <f>IF(C84=C82,0,IF(D84=D83,0,(HLOOKUP(C84,Ingreso!$AN$10:$AU$260,VLOOKUP(A84,Ingreso!$AL$11:$AM$260,2,FALSE)))/24))</f>
        <v>0</v>
      </c>
      <c r="I84" s="77">
        <f t="shared" si="3"/>
        <v>0</v>
      </c>
      <c r="P84"/>
      <c r="Q84" s="92"/>
      <c r="R84" s="92"/>
    </row>
    <row r="85" spans="1:18">
      <c r="A85" s="85" t="str">
        <f>VLOOKUP('Informe Kelly'!A78,Base!A:B,2,FALSE)</f>
        <v>07.760.886-9</v>
      </c>
      <c r="B85" s="85" t="str">
        <f>VLOOKUP('Informe Kelly'!A78,Base!A:G,7,FALSE)</f>
        <v>ALBORNOZ ROA OSCAR ALFREDO</v>
      </c>
      <c r="C85" s="91">
        <f>'Informe Kelly'!E78</f>
        <v>40647</v>
      </c>
      <c r="D85" s="96">
        <f t="shared" si="2"/>
        <v>40</v>
      </c>
      <c r="E85" s="85" t="str">
        <f>VLOOKUP(A85,Ingreso!K:P,6,FALSE)</f>
        <v>Admin</v>
      </c>
      <c r="F85" s="85">
        <f>IF('Informe Kelly'!H78=$A$2,'Informe Kelly'!F78,"")</f>
        <v>0.30701388888888886</v>
      </c>
      <c r="G85" s="85" t="str">
        <f>IF('Informe Kelly'!H78=$A$3,'Informe Kelly'!F78,"")</f>
        <v/>
      </c>
      <c r="H85" s="85">
        <f>IF(C85=C83,0,IF(D85=D84,0,(HLOOKUP(C85,Ingreso!$AN$10:$AU$260,VLOOKUP(A85,Ingreso!$AL$11:$AM$260,2,FALSE)))/24))</f>
        <v>8.3333333333333329E-2</v>
      </c>
      <c r="I85" s="77">
        <f t="shared" si="3"/>
        <v>0.41666666666666669</v>
      </c>
      <c r="P85"/>
      <c r="Q85" s="92"/>
      <c r="R85" s="92"/>
    </row>
    <row r="86" spans="1:18">
      <c r="A86" s="85" t="str">
        <f>VLOOKUP('Informe Kelly'!A79,Base!A:B,2,FALSE)</f>
        <v>07.760.886-9</v>
      </c>
      <c r="B86" s="85" t="str">
        <f>VLOOKUP('Informe Kelly'!A79,Base!A:G,7,FALSE)</f>
        <v>ALBORNOZ ROA OSCAR ALFREDO</v>
      </c>
      <c r="C86" s="91">
        <f>'Informe Kelly'!E79</f>
        <v>40647</v>
      </c>
      <c r="D86" s="96">
        <f t="shared" si="2"/>
        <v>40</v>
      </c>
      <c r="E86" s="85" t="str">
        <f>VLOOKUP(A86,Ingreso!K:P,6,FALSE)</f>
        <v>Admin</v>
      </c>
      <c r="F86" s="85" t="str">
        <f>IF('Informe Kelly'!H79=$A$2,'Informe Kelly'!F79,"")</f>
        <v/>
      </c>
      <c r="G86" s="85">
        <f>IF('Informe Kelly'!H79=$A$3,'Informe Kelly'!F79,"")</f>
        <v>0.81135416666666671</v>
      </c>
      <c r="H86" s="85">
        <f>IF(C86=C84,0,IF(D86=D85,0,(HLOOKUP(C86,Ingreso!$AN$10:$AU$260,VLOOKUP(A86,Ingreso!$AL$11:$AM$260,2,FALSE)))/24))</f>
        <v>0</v>
      </c>
      <c r="I86" s="77">
        <f t="shared" si="3"/>
        <v>0</v>
      </c>
      <c r="P86"/>
      <c r="Q86" s="92"/>
      <c r="R86" s="92"/>
    </row>
    <row r="87" spans="1:18">
      <c r="A87" s="85" t="str">
        <f>VLOOKUP('Informe Kelly'!A80,Base!A:B,2,FALSE)</f>
        <v>07.760.886-9</v>
      </c>
      <c r="B87" s="85" t="str">
        <f>VLOOKUP('Informe Kelly'!A80,Base!A:G,7,FALSE)</f>
        <v>ALBORNOZ ROA OSCAR ALFREDO</v>
      </c>
      <c r="C87" s="91">
        <f>'Informe Kelly'!E80</f>
        <v>40648</v>
      </c>
      <c r="D87" s="96">
        <f t="shared" si="2"/>
        <v>41</v>
      </c>
      <c r="E87" s="85" t="str">
        <f>VLOOKUP(A87,Ingreso!K:P,6,FALSE)</f>
        <v>Admin</v>
      </c>
      <c r="F87" s="85" t="str">
        <f>IF('Informe Kelly'!H80=$A$2,'Informe Kelly'!F80,"")</f>
        <v/>
      </c>
      <c r="G87" s="85">
        <f>IF('Informe Kelly'!H80=$A$3,'Informe Kelly'!F80,"")</f>
        <v>0.81001157407407398</v>
      </c>
      <c r="H87" s="85">
        <f>IF(C87=C85,0,IF(D87=D86,0,(HLOOKUP(C87,Ingreso!$AN$10:$AU$260,VLOOKUP(A87,Ingreso!$AL$11:$AM$260,2,FALSE)))/24))</f>
        <v>8.3333333333333329E-2</v>
      </c>
      <c r="I87" s="77">
        <f t="shared" si="3"/>
        <v>0.41666666666666669</v>
      </c>
      <c r="P87"/>
      <c r="Q87" s="92"/>
      <c r="R87" s="92"/>
    </row>
    <row r="88" spans="1:18">
      <c r="A88" s="85" t="str">
        <f>VLOOKUP('Informe Kelly'!A81,Base!A:B,2,FALSE)</f>
        <v>07.760.886-9</v>
      </c>
      <c r="B88" s="85" t="str">
        <f>VLOOKUP('Informe Kelly'!A81,Base!A:G,7,FALSE)</f>
        <v>ALBORNOZ ROA OSCAR ALFREDO</v>
      </c>
      <c r="C88" s="91">
        <f>'Informe Kelly'!E81</f>
        <v>40648</v>
      </c>
      <c r="D88" s="96">
        <f t="shared" si="2"/>
        <v>41</v>
      </c>
      <c r="E88" s="85" t="str">
        <f>VLOOKUP(A88,Ingreso!K:P,6,FALSE)</f>
        <v>Admin</v>
      </c>
      <c r="F88" s="85">
        <f>IF('Informe Kelly'!H81=$A$2,'Informe Kelly'!F81,"")</f>
        <v>0.30303240740740739</v>
      </c>
      <c r="G88" s="85" t="str">
        <f>IF('Informe Kelly'!H81=$A$3,'Informe Kelly'!F81,"")</f>
        <v/>
      </c>
      <c r="H88" s="85">
        <f>IF(C88=C86,0,IF(D88=D87,0,(HLOOKUP(C88,Ingreso!$AN$10:$AU$260,VLOOKUP(A88,Ingreso!$AL$11:$AM$260,2,FALSE)))/24))</f>
        <v>0</v>
      </c>
      <c r="I88" s="77">
        <f t="shared" si="3"/>
        <v>0</v>
      </c>
      <c r="P88"/>
      <c r="Q88" s="92"/>
      <c r="R88" s="92"/>
    </row>
    <row r="89" spans="1:18">
      <c r="A89" s="85" t="str">
        <f>VLOOKUP('Informe Kelly'!A82,Base!A:B,2,FALSE)</f>
        <v>07.815.607-4</v>
      </c>
      <c r="B89" s="85" t="str">
        <f>VLOOKUP('Informe Kelly'!A82,Base!A:G,7,FALSE)</f>
        <v>CUEVAS ORDENES PATRICIO HERNAN</v>
      </c>
      <c r="C89" s="91">
        <f>'Informe Kelly'!E82</f>
        <v>40644</v>
      </c>
      <c r="D89" s="96">
        <f t="shared" si="2"/>
        <v>42</v>
      </c>
      <c r="E89" s="85" t="str">
        <f>VLOOKUP(A89,Ingreso!K:P,6,FALSE)</f>
        <v>Turno B</v>
      </c>
      <c r="F89" s="85">
        <f>IF('Informe Kelly'!H82=$A$2,'Informe Kelly'!F82,"")</f>
        <v>0.28010416666666665</v>
      </c>
      <c r="G89" s="85" t="str">
        <f>IF('Informe Kelly'!H82=$A$3,'Informe Kelly'!F82,"")</f>
        <v/>
      </c>
      <c r="H89" s="85">
        <f>IF(C89=C87,0,IF(D89=D88,0,(HLOOKUP(C89,Ingreso!$AN$10:$AU$260,VLOOKUP(A89,Ingreso!$AL$11:$AM$260,2,FALSE)))/24))</f>
        <v>0</v>
      </c>
      <c r="I89" s="77">
        <f t="shared" si="3"/>
        <v>0.3125</v>
      </c>
      <c r="P89"/>
      <c r="Q89" s="92"/>
      <c r="R89" s="92"/>
    </row>
    <row r="90" spans="1:18">
      <c r="A90" s="85" t="str">
        <f>VLOOKUP('Informe Kelly'!A83,Base!A:B,2,FALSE)</f>
        <v>07.815.607-4</v>
      </c>
      <c r="B90" s="85" t="str">
        <f>VLOOKUP('Informe Kelly'!A83,Base!A:G,7,FALSE)</f>
        <v>CUEVAS ORDENES PATRICIO HERNAN</v>
      </c>
      <c r="C90" s="91">
        <f>'Informe Kelly'!E83</f>
        <v>40644</v>
      </c>
      <c r="D90" s="96">
        <f t="shared" si="2"/>
        <v>42</v>
      </c>
      <c r="E90" s="85" t="str">
        <f>VLOOKUP(A90,Ingreso!K:P,6,FALSE)</f>
        <v>Turno B</v>
      </c>
      <c r="F90" s="85" t="str">
        <f>IF('Informe Kelly'!H83=$A$2,'Informe Kelly'!F83,"")</f>
        <v/>
      </c>
      <c r="G90" s="85">
        <f>IF('Informe Kelly'!H83=$A$3,'Informe Kelly'!F83,"")</f>
        <v>0.63031249999999994</v>
      </c>
      <c r="H90" s="85">
        <f>IF(C90=C88,0,IF(D90=D89,0,(HLOOKUP(C90,Ingreso!$AN$10:$AU$260,VLOOKUP(A90,Ingreso!$AL$11:$AM$260,2,FALSE)))/24))</f>
        <v>0</v>
      </c>
      <c r="I90" s="77">
        <f t="shared" si="3"/>
        <v>0</v>
      </c>
      <c r="P90"/>
      <c r="Q90" s="92"/>
      <c r="R90" s="92"/>
    </row>
    <row r="91" spans="1:18">
      <c r="A91" s="85" t="str">
        <f>VLOOKUP('Informe Kelly'!A84,Base!A:B,2,FALSE)</f>
        <v>07.815.607-4</v>
      </c>
      <c r="B91" s="85" t="str">
        <f>VLOOKUP('Informe Kelly'!A84,Base!A:G,7,FALSE)</f>
        <v>CUEVAS ORDENES PATRICIO HERNAN</v>
      </c>
      <c r="C91" s="91">
        <f>'Informe Kelly'!E84</f>
        <v>40645</v>
      </c>
      <c r="D91" s="96">
        <f t="shared" si="2"/>
        <v>43</v>
      </c>
      <c r="E91" s="85" t="str">
        <f>VLOOKUP(A91,Ingreso!K:P,6,FALSE)</f>
        <v>Turno B</v>
      </c>
      <c r="F91" s="85">
        <f>IF('Informe Kelly'!H84=$A$2,'Informe Kelly'!F84,"")</f>
        <v>0.28938657407407409</v>
      </c>
      <c r="G91" s="85" t="str">
        <f>IF('Informe Kelly'!H84=$A$3,'Informe Kelly'!F84,"")</f>
        <v/>
      </c>
      <c r="H91" s="85">
        <f>IF(C91=C89,0,IF(D91=D90,0,(HLOOKUP(C91,Ingreso!$AN$10:$AU$260,VLOOKUP(A91,Ingreso!$AL$11:$AM$260,2,FALSE)))/24))</f>
        <v>0</v>
      </c>
      <c r="I91" s="77">
        <f t="shared" si="3"/>
        <v>0.3125</v>
      </c>
      <c r="P91"/>
      <c r="Q91" s="92"/>
      <c r="R91" s="92"/>
    </row>
    <row r="92" spans="1:18">
      <c r="A92" s="85" t="str">
        <f>VLOOKUP('Informe Kelly'!A85,Base!A:B,2,FALSE)</f>
        <v>07.815.607-4</v>
      </c>
      <c r="B92" s="85" t="str">
        <f>VLOOKUP('Informe Kelly'!A85,Base!A:G,7,FALSE)</f>
        <v>CUEVAS ORDENES PATRICIO HERNAN</v>
      </c>
      <c r="C92" s="91">
        <f>'Informe Kelly'!E85</f>
        <v>40645</v>
      </c>
      <c r="D92" s="96">
        <f t="shared" si="2"/>
        <v>43</v>
      </c>
      <c r="E92" s="85" t="str">
        <f>VLOOKUP(A92,Ingreso!K:P,6,FALSE)</f>
        <v>Turno B</v>
      </c>
      <c r="F92" s="85" t="str">
        <f>IF('Informe Kelly'!H85=$A$2,'Informe Kelly'!F85,"")</f>
        <v/>
      </c>
      <c r="G92" s="85">
        <f>IF('Informe Kelly'!H85=$A$3,'Informe Kelly'!F85,"")</f>
        <v>0.63261574074074078</v>
      </c>
      <c r="H92" s="85">
        <f>IF(C92=C90,0,IF(D92=D91,0,(HLOOKUP(C92,Ingreso!$AN$10:$AU$260,VLOOKUP(A92,Ingreso!$AL$11:$AM$260,2,FALSE)))/24))</f>
        <v>0</v>
      </c>
      <c r="I92" s="77">
        <f t="shared" si="3"/>
        <v>0</v>
      </c>
      <c r="P92"/>
      <c r="Q92" s="92"/>
      <c r="R92" s="92"/>
    </row>
    <row r="93" spans="1:18">
      <c r="A93" s="85" t="str">
        <f>VLOOKUP('Informe Kelly'!A86,Base!A:B,2,FALSE)</f>
        <v>07.815.607-4</v>
      </c>
      <c r="B93" s="85" t="str">
        <f>VLOOKUP('Informe Kelly'!A86,Base!A:G,7,FALSE)</f>
        <v>CUEVAS ORDENES PATRICIO HERNAN</v>
      </c>
      <c r="C93" s="91">
        <f>'Informe Kelly'!E86</f>
        <v>40646</v>
      </c>
      <c r="D93" s="96">
        <f t="shared" si="2"/>
        <v>44</v>
      </c>
      <c r="E93" s="85" t="str">
        <f>VLOOKUP(A93,Ingreso!K:P,6,FALSE)</f>
        <v>Turno B</v>
      </c>
      <c r="F93" s="85">
        <f>IF('Informe Kelly'!H86=$A$2,'Informe Kelly'!F86,"")</f>
        <v>0.27717592592592594</v>
      </c>
      <c r="G93" s="85" t="str">
        <f>IF('Informe Kelly'!H86=$A$3,'Informe Kelly'!F86,"")</f>
        <v/>
      </c>
      <c r="H93" s="85">
        <f>IF(C93=C91,0,IF(D93=D92,0,(HLOOKUP(C93,Ingreso!$AN$10:$AU$260,VLOOKUP(A93,Ingreso!$AL$11:$AM$260,2,FALSE)))/24))</f>
        <v>0</v>
      </c>
      <c r="I93" s="77">
        <f t="shared" si="3"/>
        <v>0.3125</v>
      </c>
      <c r="P93"/>
      <c r="Q93" s="92"/>
      <c r="R93" s="92"/>
    </row>
    <row r="94" spans="1:18">
      <c r="A94" s="85" t="str">
        <f>VLOOKUP('Informe Kelly'!A87,Base!A:B,2,FALSE)</f>
        <v>07.815.607-4</v>
      </c>
      <c r="B94" s="85" t="str">
        <f>VLOOKUP('Informe Kelly'!A87,Base!A:G,7,FALSE)</f>
        <v>CUEVAS ORDENES PATRICIO HERNAN</v>
      </c>
      <c r="C94" s="91">
        <f>'Informe Kelly'!E87</f>
        <v>40646</v>
      </c>
      <c r="D94" s="96">
        <f t="shared" si="2"/>
        <v>44</v>
      </c>
      <c r="E94" s="85" t="str">
        <f>VLOOKUP(A94,Ingreso!K:P,6,FALSE)</f>
        <v>Turno B</v>
      </c>
      <c r="F94" s="85" t="str">
        <f>IF('Informe Kelly'!H87=$A$2,'Informe Kelly'!F87,"")</f>
        <v/>
      </c>
      <c r="G94" s="85">
        <f>IF('Informe Kelly'!H87=$A$3,'Informe Kelly'!F87,"")</f>
        <v>0.63570601851851849</v>
      </c>
      <c r="H94" s="85">
        <f>IF(C94=C92,0,IF(D94=D93,0,(HLOOKUP(C94,Ingreso!$AN$10:$AU$260,VLOOKUP(A94,Ingreso!$AL$11:$AM$260,2,FALSE)))/24))</f>
        <v>0</v>
      </c>
      <c r="I94" s="77">
        <f t="shared" si="3"/>
        <v>0</v>
      </c>
      <c r="P94"/>
      <c r="Q94" s="92"/>
      <c r="R94" s="92"/>
    </row>
    <row r="95" spans="1:18">
      <c r="A95" s="85" t="str">
        <f>VLOOKUP('Informe Kelly'!A88,Base!A:B,2,FALSE)</f>
        <v>07.815.607-4</v>
      </c>
      <c r="B95" s="85" t="str">
        <f>VLOOKUP('Informe Kelly'!A88,Base!A:G,7,FALSE)</f>
        <v>CUEVAS ORDENES PATRICIO HERNAN</v>
      </c>
      <c r="C95" s="91">
        <f>'Informe Kelly'!E88</f>
        <v>40647</v>
      </c>
      <c r="D95" s="96">
        <f t="shared" si="2"/>
        <v>45</v>
      </c>
      <c r="E95" s="85" t="str">
        <f>VLOOKUP(A95,Ingreso!K:P,6,FALSE)</f>
        <v>Turno B</v>
      </c>
      <c r="F95" s="85">
        <f>IF('Informe Kelly'!H88=$A$2,'Informe Kelly'!F88,"")</f>
        <v>0.27717592592592594</v>
      </c>
      <c r="G95" s="85" t="str">
        <f>IF('Informe Kelly'!H88=$A$3,'Informe Kelly'!F88,"")</f>
        <v/>
      </c>
      <c r="H95" s="85">
        <f>IF(C95=C93,0,IF(D95=D94,0,(HLOOKUP(C95,Ingreso!$AN$10:$AU$260,VLOOKUP(A95,Ingreso!$AL$11:$AM$260,2,FALSE)))/24))</f>
        <v>0</v>
      </c>
      <c r="I95" s="77">
        <f t="shared" si="3"/>
        <v>0.3125</v>
      </c>
      <c r="P95"/>
      <c r="Q95" s="92"/>
      <c r="R95" s="92"/>
    </row>
    <row r="96" spans="1:18">
      <c r="A96" s="85" t="str">
        <f>VLOOKUP('Informe Kelly'!A89,Base!A:B,2,FALSE)</f>
        <v>07.815.607-4</v>
      </c>
      <c r="B96" s="85" t="str">
        <f>VLOOKUP('Informe Kelly'!A89,Base!A:G,7,FALSE)</f>
        <v>CUEVAS ORDENES PATRICIO HERNAN</v>
      </c>
      <c r="C96" s="91">
        <f>'Informe Kelly'!E89</f>
        <v>40647</v>
      </c>
      <c r="D96" s="96">
        <f t="shared" si="2"/>
        <v>45</v>
      </c>
      <c r="E96" s="85" t="str">
        <f>VLOOKUP(A96,Ingreso!K:P,6,FALSE)</f>
        <v>Turno B</v>
      </c>
      <c r="F96" s="85" t="str">
        <f>IF('Informe Kelly'!H89=$A$2,'Informe Kelly'!F89,"")</f>
        <v/>
      </c>
      <c r="G96" s="85">
        <f>IF('Informe Kelly'!H89=$A$3,'Informe Kelly'!F89,"")</f>
        <v>0.63596064814814812</v>
      </c>
      <c r="H96" s="85">
        <f>IF(C96=C94,0,IF(D96=D95,0,(HLOOKUP(C96,Ingreso!$AN$10:$AU$260,VLOOKUP(A96,Ingreso!$AL$11:$AM$260,2,FALSE)))/24))</f>
        <v>0</v>
      </c>
      <c r="I96" s="77">
        <f t="shared" si="3"/>
        <v>0</v>
      </c>
      <c r="P96"/>
      <c r="Q96" s="92"/>
      <c r="R96" s="92"/>
    </row>
    <row r="97" spans="1:18">
      <c r="A97" s="85" t="str">
        <f>VLOOKUP('Informe Kelly'!A90,Base!A:B,2,FALSE)</f>
        <v>07.815.607-4</v>
      </c>
      <c r="B97" s="85" t="str">
        <f>VLOOKUP('Informe Kelly'!A90,Base!A:G,7,FALSE)</f>
        <v>CUEVAS ORDENES PATRICIO HERNAN</v>
      </c>
      <c r="C97" s="91">
        <f>'Informe Kelly'!E90</f>
        <v>40648</v>
      </c>
      <c r="D97" s="96">
        <f t="shared" si="2"/>
        <v>46</v>
      </c>
      <c r="E97" s="85" t="str">
        <f>VLOOKUP(A97,Ingreso!K:P,6,FALSE)</f>
        <v>Turno B</v>
      </c>
      <c r="F97" s="85" t="str">
        <f>IF('Informe Kelly'!H90=$A$2,'Informe Kelly'!F90,"")</f>
        <v/>
      </c>
      <c r="G97" s="85">
        <f>IF('Informe Kelly'!H90=$A$3,'Informe Kelly'!F90,"")</f>
        <v>0.63589120370370367</v>
      </c>
      <c r="H97" s="85">
        <f>IF(C97=C95,0,IF(D97=D96,0,(HLOOKUP(C97,Ingreso!$AN$10:$AU$260,VLOOKUP(A97,Ingreso!$AL$11:$AM$260,2,FALSE)))/24))</f>
        <v>0</v>
      </c>
      <c r="I97" s="77">
        <f t="shared" si="3"/>
        <v>0.3125</v>
      </c>
      <c r="P97"/>
      <c r="Q97" s="92"/>
      <c r="R97" s="92"/>
    </row>
    <row r="98" spans="1:18">
      <c r="A98" s="85" t="str">
        <f>VLOOKUP('Informe Kelly'!A91,Base!A:B,2,FALSE)</f>
        <v>07.815.607-4</v>
      </c>
      <c r="B98" s="85" t="str">
        <f>VLOOKUP('Informe Kelly'!A91,Base!A:G,7,FALSE)</f>
        <v>CUEVAS ORDENES PATRICIO HERNAN</v>
      </c>
      <c r="C98" s="91">
        <f>'Informe Kelly'!E91</f>
        <v>40648</v>
      </c>
      <c r="D98" s="96">
        <f t="shared" si="2"/>
        <v>46</v>
      </c>
      <c r="E98" s="85" t="str">
        <f>VLOOKUP(A98,Ingreso!K:P,6,FALSE)</f>
        <v>Turno B</v>
      </c>
      <c r="F98" s="85">
        <f>IF('Informe Kelly'!H91=$A$2,'Informe Kelly'!F91,"")</f>
        <v>0.28449074074074071</v>
      </c>
      <c r="G98" s="85" t="str">
        <f>IF('Informe Kelly'!H91=$A$3,'Informe Kelly'!F91,"")</f>
        <v/>
      </c>
      <c r="H98" s="85">
        <f>IF(C98=C96,0,IF(D98=D97,0,(HLOOKUP(C98,Ingreso!$AN$10:$AU$260,VLOOKUP(A98,Ingreso!$AL$11:$AM$260,2,FALSE)))/24))</f>
        <v>0</v>
      </c>
      <c r="I98" s="77">
        <f t="shared" si="3"/>
        <v>0</v>
      </c>
      <c r="P98"/>
      <c r="Q98" s="92"/>
      <c r="R98" s="92"/>
    </row>
    <row r="99" spans="1:18">
      <c r="A99" s="85" t="str">
        <f>VLOOKUP('Informe Kelly'!A92,Base!A:B,2,FALSE)</f>
        <v>07.815.607-4</v>
      </c>
      <c r="B99" s="85" t="str">
        <f>VLOOKUP('Informe Kelly'!A92,Base!A:G,7,FALSE)</f>
        <v>CUEVAS ORDENES PATRICIO HERNAN</v>
      </c>
      <c r="C99" s="91">
        <f>'Informe Kelly'!E92</f>
        <v>40649</v>
      </c>
      <c r="D99" s="96">
        <f t="shared" si="2"/>
        <v>47</v>
      </c>
      <c r="E99" s="85" t="str">
        <f>VLOOKUP(A99,Ingreso!K:P,6,FALSE)</f>
        <v>Turno B</v>
      </c>
      <c r="F99" s="85">
        <f>IF('Informe Kelly'!H92=$A$2,'Informe Kelly'!F92,"")</f>
        <v>0.60362268518518525</v>
      </c>
      <c r="G99" s="85" t="str">
        <f>IF('Informe Kelly'!H92=$A$3,'Informe Kelly'!F92,"")</f>
        <v/>
      </c>
      <c r="H99" s="85">
        <f>IF(C99=C97,0,IF(D99=D98,0,(HLOOKUP(C99,Ingreso!$AN$10:$AU$260,VLOOKUP(A99,Ingreso!$AL$11:$AM$260,2,FALSE)))/24))</f>
        <v>0</v>
      </c>
      <c r="I99" s="77">
        <f t="shared" si="3"/>
        <v>0.3125</v>
      </c>
      <c r="P99"/>
      <c r="Q99" s="92"/>
      <c r="R99" s="92"/>
    </row>
    <row r="100" spans="1:18">
      <c r="A100" s="85" t="str">
        <f>VLOOKUP('Informe Kelly'!A93,Base!A:B,2,FALSE)</f>
        <v>07.815.607-4</v>
      </c>
      <c r="B100" s="85" t="str">
        <f>VLOOKUP('Informe Kelly'!A93,Base!A:G,7,FALSE)</f>
        <v>CUEVAS ORDENES PATRICIO HERNAN</v>
      </c>
      <c r="C100" s="91">
        <f>'Informe Kelly'!E93</f>
        <v>40649</v>
      </c>
      <c r="D100" s="96">
        <f t="shared" si="2"/>
        <v>47</v>
      </c>
      <c r="E100" s="85" t="str">
        <f>VLOOKUP(A100,Ingreso!K:P,6,FALSE)</f>
        <v>Turno B</v>
      </c>
      <c r="F100" s="85" t="str">
        <f>IF('Informe Kelly'!H93=$A$2,'Informe Kelly'!F93,"")</f>
        <v/>
      </c>
      <c r="G100" s="85">
        <f>IF('Informe Kelly'!H93=$A$3,'Informe Kelly'!F93,"")</f>
        <v>0.93822916666666656</v>
      </c>
      <c r="H100" s="85">
        <f>IF(C100=C98,0,IF(D100=D99,0,(HLOOKUP(C100,Ingreso!$AN$10:$AU$260,VLOOKUP(A100,Ingreso!$AL$11:$AM$260,2,FALSE)))/24))</f>
        <v>0</v>
      </c>
      <c r="I100" s="77">
        <f t="shared" si="3"/>
        <v>0</v>
      </c>
      <c r="P100"/>
      <c r="Q100" s="92"/>
      <c r="R100" s="92"/>
    </row>
    <row r="101" spans="1:18">
      <c r="A101" s="85" t="str">
        <f>VLOOKUP('Informe Kelly'!A94,Base!A:B,2,FALSE)</f>
        <v>07.816.535-9</v>
      </c>
      <c r="B101" s="85" t="str">
        <f>VLOOKUP('Informe Kelly'!A94,Base!A:G,7,FALSE)</f>
        <v>CERONI  PIZARRO,CARLOS</v>
      </c>
      <c r="C101" s="91">
        <f>'Informe Kelly'!E94</f>
        <v>40644</v>
      </c>
      <c r="D101" s="96">
        <f t="shared" si="2"/>
        <v>48</v>
      </c>
      <c r="E101" s="85" t="e">
        <f>VLOOKUP(A101,Ingreso!K:P,6,FALSE)</f>
        <v>#N/A</v>
      </c>
      <c r="F101" s="85">
        <f>IF('Informe Kelly'!H94=$A$2,'Informe Kelly'!F94,"")</f>
        <v>0.30810185185185185</v>
      </c>
      <c r="G101" s="85" t="str">
        <f>IF('Informe Kelly'!H94=$A$3,'Informe Kelly'!F94,"")</f>
        <v/>
      </c>
      <c r="H101" s="85" t="e">
        <f>IF(C101=C99,0,IF(D101=D100,0,(HLOOKUP(C101,Ingreso!$AN$10:$AU$260,VLOOKUP(A101,Ingreso!$AL$11:$AM$260,2,FALSE)))/24))</f>
        <v>#N/A</v>
      </c>
      <c r="I101" s="77" t="e">
        <f t="shared" si="3"/>
        <v>#N/A</v>
      </c>
      <c r="P101"/>
      <c r="Q101" s="92"/>
      <c r="R101" s="92"/>
    </row>
    <row r="102" spans="1:18">
      <c r="A102" s="85" t="str">
        <f>VLOOKUP('Informe Kelly'!A95,Base!A:B,2,FALSE)</f>
        <v>07.816.535-9</v>
      </c>
      <c r="B102" s="85" t="str">
        <f>VLOOKUP('Informe Kelly'!A95,Base!A:G,7,FALSE)</f>
        <v>CERONI  PIZARRO,CARLOS</v>
      </c>
      <c r="C102" s="91">
        <f>'Informe Kelly'!E95</f>
        <v>40644</v>
      </c>
      <c r="D102" s="96">
        <f t="shared" si="2"/>
        <v>48</v>
      </c>
      <c r="E102" s="85" t="e">
        <f>VLOOKUP(A102,Ingreso!K:P,6,FALSE)</f>
        <v>#N/A</v>
      </c>
      <c r="F102" s="85" t="str">
        <f>IF('Informe Kelly'!H95=$A$2,'Informe Kelly'!F95,"")</f>
        <v/>
      </c>
      <c r="G102" s="85">
        <f>IF('Informe Kelly'!H95=$A$3,'Informe Kelly'!F95,"")</f>
        <v>0.62540509259259258</v>
      </c>
      <c r="H102" s="85">
        <f>IF(C102=C100,0,IF(D102=D101,0,(HLOOKUP(C102,Ingreso!$AN$10:$AU$260,VLOOKUP(A102,Ingreso!$AL$11:$AM$260,2,FALSE)))/24))</f>
        <v>0</v>
      </c>
      <c r="I102" s="77">
        <f t="shared" si="3"/>
        <v>0</v>
      </c>
      <c r="P102"/>
      <c r="Q102" s="92"/>
      <c r="R102" s="92"/>
    </row>
    <row r="103" spans="1:18">
      <c r="A103" s="85" t="str">
        <f>VLOOKUP('Informe Kelly'!A96,Base!A:B,2,FALSE)</f>
        <v>07.816.535-9</v>
      </c>
      <c r="B103" s="85" t="str">
        <f>VLOOKUP('Informe Kelly'!A96,Base!A:G,7,FALSE)</f>
        <v>CERONI  PIZARRO,CARLOS</v>
      </c>
      <c r="C103" s="91">
        <f>'Informe Kelly'!E96</f>
        <v>40646</v>
      </c>
      <c r="D103" s="96">
        <f t="shared" si="2"/>
        <v>49</v>
      </c>
      <c r="E103" s="85" t="e">
        <f>VLOOKUP(A103,Ingreso!K:P,6,FALSE)</f>
        <v>#N/A</v>
      </c>
      <c r="F103" s="85">
        <f>IF('Informe Kelly'!H96=$A$2,'Informe Kelly'!F96,"")</f>
        <v>0.30520833333333336</v>
      </c>
      <c r="G103" s="85" t="str">
        <f>IF('Informe Kelly'!H96=$A$3,'Informe Kelly'!F96,"")</f>
        <v/>
      </c>
      <c r="H103" s="85" t="e">
        <f>IF(C103=C101,0,IF(D103=D102,0,(HLOOKUP(C103,Ingreso!$AN$10:$AU$260,VLOOKUP(A103,Ingreso!$AL$11:$AM$260,2,FALSE)))/24))</f>
        <v>#N/A</v>
      </c>
      <c r="I103" s="77" t="e">
        <f t="shared" si="3"/>
        <v>#N/A</v>
      </c>
      <c r="P103"/>
      <c r="Q103" s="92"/>
      <c r="R103" s="92"/>
    </row>
    <row r="104" spans="1:18">
      <c r="A104" s="85" t="str">
        <f>VLOOKUP('Informe Kelly'!A97,Base!A:B,2,FALSE)</f>
        <v>07.816.535-9</v>
      </c>
      <c r="B104" s="85" t="str">
        <f>VLOOKUP('Informe Kelly'!A97,Base!A:G,7,FALSE)</f>
        <v>CERONI  PIZARRO,CARLOS</v>
      </c>
      <c r="C104" s="91">
        <f>'Informe Kelly'!E97</f>
        <v>40646</v>
      </c>
      <c r="D104" s="96">
        <f t="shared" si="2"/>
        <v>49</v>
      </c>
      <c r="E104" s="85" t="e">
        <f>VLOOKUP(A104,Ingreso!K:P,6,FALSE)</f>
        <v>#N/A</v>
      </c>
      <c r="F104" s="85" t="str">
        <f>IF('Informe Kelly'!H97=$A$2,'Informe Kelly'!F97,"")</f>
        <v/>
      </c>
      <c r="G104" s="85">
        <f>IF('Informe Kelly'!H97=$A$3,'Informe Kelly'!F97,"")</f>
        <v>0.62967592592592592</v>
      </c>
      <c r="H104" s="85">
        <f>IF(C104=C102,0,IF(D104=D103,0,(HLOOKUP(C104,Ingreso!$AN$10:$AU$260,VLOOKUP(A104,Ingreso!$AL$11:$AM$260,2,FALSE)))/24))</f>
        <v>0</v>
      </c>
      <c r="I104" s="77">
        <f t="shared" si="3"/>
        <v>0</v>
      </c>
      <c r="P104"/>
      <c r="Q104" s="92"/>
      <c r="R104" s="92"/>
    </row>
    <row r="105" spans="1:18">
      <c r="A105" s="85" t="str">
        <f>VLOOKUP('Informe Kelly'!A98,Base!A:B,2,FALSE)</f>
        <v>07.816.535-9</v>
      </c>
      <c r="B105" s="85" t="str">
        <f>VLOOKUP('Informe Kelly'!A98,Base!A:G,7,FALSE)</f>
        <v>CERONI  PIZARRO,CARLOS</v>
      </c>
      <c r="C105" s="91">
        <f>'Informe Kelly'!E98</f>
        <v>40647</v>
      </c>
      <c r="D105" s="96">
        <f t="shared" si="2"/>
        <v>50</v>
      </c>
      <c r="E105" s="85" t="e">
        <f>VLOOKUP(A105,Ingreso!K:P,6,FALSE)</f>
        <v>#N/A</v>
      </c>
      <c r="F105" s="85">
        <f>IF('Informe Kelly'!H98=$A$2,'Informe Kelly'!F98,"")</f>
        <v>0.30486111111111108</v>
      </c>
      <c r="G105" s="85" t="str">
        <f>IF('Informe Kelly'!H98=$A$3,'Informe Kelly'!F98,"")</f>
        <v/>
      </c>
      <c r="H105" s="85" t="e">
        <f>IF(C105=C103,0,IF(D105=D104,0,(HLOOKUP(C105,Ingreso!$AN$10:$AU$260,VLOOKUP(A105,Ingreso!$AL$11:$AM$260,2,FALSE)))/24))</f>
        <v>#N/A</v>
      </c>
      <c r="I105" s="77" t="e">
        <f t="shared" si="3"/>
        <v>#N/A</v>
      </c>
      <c r="P105"/>
      <c r="Q105" s="92"/>
      <c r="R105" s="92"/>
    </row>
    <row r="106" spans="1:18">
      <c r="A106" s="85" t="str">
        <f>VLOOKUP('Informe Kelly'!A99,Base!A:B,2,FALSE)</f>
        <v>07.816.535-9</v>
      </c>
      <c r="B106" s="85" t="str">
        <f>VLOOKUP('Informe Kelly'!A99,Base!A:G,7,FALSE)</f>
        <v>CERONI  PIZARRO,CARLOS</v>
      </c>
      <c r="C106" s="91">
        <f>'Informe Kelly'!E99</f>
        <v>40647</v>
      </c>
      <c r="D106" s="96">
        <f t="shared" si="2"/>
        <v>50</v>
      </c>
      <c r="E106" s="85" t="e">
        <f>VLOOKUP(A106,Ingreso!K:P,6,FALSE)</f>
        <v>#N/A</v>
      </c>
      <c r="F106" s="85" t="str">
        <f>IF('Informe Kelly'!H99=$A$2,'Informe Kelly'!F99,"")</f>
        <v/>
      </c>
      <c r="G106" s="85">
        <f>IF('Informe Kelly'!H99=$A$3,'Informe Kelly'!F99,"")</f>
        <v>0.62870370370370365</v>
      </c>
      <c r="H106" s="85">
        <f>IF(C106=C104,0,IF(D106=D105,0,(HLOOKUP(C106,Ingreso!$AN$10:$AU$260,VLOOKUP(A106,Ingreso!$AL$11:$AM$260,2,FALSE)))/24))</f>
        <v>0</v>
      </c>
      <c r="I106" s="77">
        <f t="shared" si="3"/>
        <v>0</v>
      </c>
      <c r="P106"/>
      <c r="Q106" s="92"/>
      <c r="R106" s="92"/>
    </row>
    <row r="107" spans="1:18">
      <c r="A107" s="85" t="str">
        <f>VLOOKUP('Informe Kelly'!A100,Base!A:B,2,FALSE)</f>
        <v>07.816.535-9</v>
      </c>
      <c r="B107" s="85" t="str">
        <f>VLOOKUP('Informe Kelly'!A100,Base!A:G,7,FALSE)</f>
        <v>CERONI  PIZARRO,CARLOS</v>
      </c>
      <c r="C107" s="91">
        <f>'Informe Kelly'!E100</f>
        <v>40648</v>
      </c>
      <c r="D107" s="96">
        <f t="shared" si="2"/>
        <v>51</v>
      </c>
      <c r="E107" s="85" t="e">
        <f>VLOOKUP(A107,Ingreso!K:P,6,FALSE)</f>
        <v>#N/A</v>
      </c>
      <c r="F107" s="85" t="str">
        <f>IF('Informe Kelly'!H100=$A$2,'Informe Kelly'!F100,"")</f>
        <v/>
      </c>
      <c r="G107" s="85">
        <f>IF('Informe Kelly'!H100=$A$3,'Informe Kelly'!F100,"")</f>
        <v>0.62864583333333335</v>
      </c>
      <c r="H107" s="85" t="e">
        <f>IF(C107=C105,0,IF(D107=D106,0,(HLOOKUP(C107,Ingreso!$AN$10:$AU$260,VLOOKUP(A107,Ingreso!$AL$11:$AM$260,2,FALSE)))/24))</f>
        <v>#N/A</v>
      </c>
      <c r="I107" s="77" t="e">
        <f t="shared" si="3"/>
        <v>#N/A</v>
      </c>
      <c r="P107"/>
      <c r="Q107" s="92"/>
      <c r="R107" s="92"/>
    </row>
    <row r="108" spans="1:18">
      <c r="A108" s="85" t="str">
        <f>VLOOKUP('Informe Kelly'!A101,Base!A:B,2,FALSE)</f>
        <v>07.816.535-9</v>
      </c>
      <c r="B108" s="85" t="str">
        <f>VLOOKUP('Informe Kelly'!A101,Base!A:G,7,FALSE)</f>
        <v>CERONI  PIZARRO,CARLOS</v>
      </c>
      <c r="C108" s="91">
        <f>'Informe Kelly'!E101</f>
        <v>40648</v>
      </c>
      <c r="D108" s="96">
        <f t="shared" si="2"/>
        <v>51</v>
      </c>
      <c r="E108" s="85" t="e">
        <f>VLOOKUP(A108,Ingreso!K:P,6,FALSE)</f>
        <v>#N/A</v>
      </c>
      <c r="F108" s="85">
        <f>IF('Informe Kelly'!H101=$A$2,'Informe Kelly'!F101,"")</f>
        <v>0.31010416666666668</v>
      </c>
      <c r="G108" s="85" t="str">
        <f>IF('Informe Kelly'!H101=$A$3,'Informe Kelly'!F101,"")</f>
        <v/>
      </c>
      <c r="H108" s="85">
        <f>IF(C108=C106,0,IF(D108=D107,0,(HLOOKUP(C108,Ingreso!$AN$10:$AU$260,VLOOKUP(A108,Ingreso!$AL$11:$AM$260,2,FALSE)))/24))</f>
        <v>0</v>
      </c>
      <c r="I108" s="77">
        <f t="shared" si="3"/>
        <v>0</v>
      </c>
      <c r="P108"/>
      <c r="Q108" s="92"/>
      <c r="R108" s="92"/>
    </row>
    <row r="109" spans="1:18">
      <c r="A109" s="85" t="str">
        <f>VLOOKUP('Informe Kelly'!A102,Base!A:B,2,FALSE)</f>
        <v>07.816.535-9</v>
      </c>
      <c r="B109" s="85" t="str">
        <f>VLOOKUP('Informe Kelly'!A102,Base!A:G,7,FALSE)</f>
        <v>CERONI  PIZARRO,CARLOS</v>
      </c>
      <c r="C109" s="91">
        <f>'Informe Kelly'!E102</f>
        <v>40649</v>
      </c>
      <c r="D109" s="96">
        <f t="shared" si="2"/>
        <v>52</v>
      </c>
      <c r="E109" s="85" t="e">
        <f>VLOOKUP(A109,Ingreso!K:P,6,FALSE)</f>
        <v>#N/A</v>
      </c>
      <c r="F109" s="85">
        <f>IF('Informe Kelly'!H102=$A$2,'Informe Kelly'!F102,"")</f>
        <v>0.30591435185185184</v>
      </c>
      <c r="G109" s="85" t="str">
        <f>IF('Informe Kelly'!H102=$A$3,'Informe Kelly'!F102,"")</f>
        <v/>
      </c>
      <c r="H109" s="85" t="e">
        <f>IF(C109=C107,0,IF(D109=D108,0,(HLOOKUP(C109,Ingreso!$AN$10:$AU$260,VLOOKUP(A109,Ingreso!$AL$11:$AM$260,2,FALSE)))/24))</f>
        <v>#N/A</v>
      </c>
      <c r="I109" s="77" t="e">
        <f t="shared" si="3"/>
        <v>#N/A</v>
      </c>
      <c r="P109"/>
      <c r="Q109" s="92"/>
      <c r="R109" s="92"/>
    </row>
    <row r="110" spans="1:18">
      <c r="A110" s="85" t="str">
        <f>VLOOKUP('Informe Kelly'!A103,Base!A:B,2,FALSE)</f>
        <v>07.816.535-9</v>
      </c>
      <c r="B110" s="85" t="str">
        <f>VLOOKUP('Informe Kelly'!A103,Base!A:G,7,FALSE)</f>
        <v>CERONI  PIZARRO,CARLOS</v>
      </c>
      <c r="C110" s="91">
        <f>'Informe Kelly'!E103</f>
        <v>40649</v>
      </c>
      <c r="D110" s="96">
        <f t="shared" si="2"/>
        <v>52</v>
      </c>
      <c r="E110" s="85" t="e">
        <f>VLOOKUP(A110,Ingreso!K:P,6,FALSE)</f>
        <v>#N/A</v>
      </c>
      <c r="F110" s="85" t="str">
        <f>IF('Informe Kelly'!H103=$A$2,'Informe Kelly'!F103,"")</f>
        <v/>
      </c>
      <c r="G110" s="85">
        <f>IF('Informe Kelly'!H103=$A$3,'Informe Kelly'!F103,"")</f>
        <v>0.62888888888888894</v>
      </c>
      <c r="H110" s="85">
        <f>IF(C110=C108,0,IF(D110=D109,0,(HLOOKUP(C110,Ingreso!$AN$10:$AU$260,VLOOKUP(A110,Ingreso!$AL$11:$AM$260,2,FALSE)))/24))</f>
        <v>0</v>
      </c>
      <c r="I110" s="77">
        <f t="shared" si="3"/>
        <v>0</v>
      </c>
      <c r="P110"/>
      <c r="Q110" s="92"/>
      <c r="R110" s="92"/>
    </row>
    <row r="111" spans="1:18">
      <c r="A111" s="85" t="str">
        <f>VLOOKUP('Informe Kelly'!A104,Base!A:B,2,FALSE)</f>
        <v>07.816.805-6</v>
      </c>
      <c r="B111" s="85" t="str">
        <f>VLOOKUP('Informe Kelly'!A104,Base!A:G,7,FALSE)</f>
        <v>PINTO  FLORES,JULIO CESAR</v>
      </c>
      <c r="C111" s="91">
        <f>'Informe Kelly'!E104</f>
        <v>40644</v>
      </c>
      <c r="D111" s="96">
        <f t="shared" si="2"/>
        <v>53</v>
      </c>
      <c r="E111" s="85" t="e">
        <f>VLOOKUP(A111,Ingreso!K:P,6,FALSE)</f>
        <v>#N/A</v>
      </c>
      <c r="F111" s="85">
        <f>IF('Informe Kelly'!H104=$A$2,'Informe Kelly'!F104,"")</f>
        <v>0.91631944444444446</v>
      </c>
      <c r="G111" s="85" t="str">
        <f>IF('Informe Kelly'!H104=$A$3,'Informe Kelly'!F104,"")</f>
        <v/>
      </c>
      <c r="H111" s="85" t="e">
        <f>IF(C111=C109,0,IF(D111=D110,0,(HLOOKUP(C111,Ingreso!$AN$10:$AU$260,VLOOKUP(A111,Ingreso!$AL$11:$AM$260,2,FALSE)))/24))</f>
        <v>#N/A</v>
      </c>
      <c r="I111" s="77" t="e">
        <f t="shared" si="3"/>
        <v>#N/A</v>
      </c>
      <c r="P111"/>
      <c r="Q111" s="92"/>
      <c r="R111" s="92"/>
    </row>
    <row r="112" spans="1:18">
      <c r="A112" s="85" t="str">
        <f>VLOOKUP('Informe Kelly'!A105,Base!A:B,2,FALSE)</f>
        <v>07.816.805-6</v>
      </c>
      <c r="B112" s="85" t="str">
        <f>VLOOKUP('Informe Kelly'!A105,Base!A:G,7,FALSE)</f>
        <v>PINTO  FLORES,JULIO CESAR</v>
      </c>
      <c r="C112" s="91">
        <f>'Informe Kelly'!E105</f>
        <v>40645</v>
      </c>
      <c r="D112" s="96">
        <f t="shared" si="2"/>
        <v>54</v>
      </c>
      <c r="E112" s="85" t="e">
        <f>VLOOKUP(A112,Ingreso!K:P,6,FALSE)</f>
        <v>#N/A</v>
      </c>
      <c r="F112" s="85" t="str">
        <f>IF('Informe Kelly'!H105=$A$2,'Informe Kelly'!F105,"")</f>
        <v/>
      </c>
      <c r="G112" s="85">
        <f>IF('Informe Kelly'!H105=$A$3,'Informe Kelly'!F105,"")</f>
        <v>0.32431712962962961</v>
      </c>
      <c r="H112" s="85" t="e">
        <f>IF(C112=C110,0,IF(D112=D111,0,(HLOOKUP(C112,Ingreso!$AN$10:$AU$260,VLOOKUP(A112,Ingreso!$AL$11:$AM$260,2,FALSE)))/24))</f>
        <v>#N/A</v>
      </c>
      <c r="I112" s="77" t="e">
        <f t="shared" si="3"/>
        <v>#N/A</v>
      </c>
      <c r="P112"/>
      <c r="Q112" s="92"/>
      <c r="R112" s="92"/>
    </row>
    <row r="113" spans="1:18">
      <c r="A113" s="85" t="str">
        <f>VLOOKUP('Informe Kelly'!A106,Base!A:B,2,FALSE)</f>
        <v>07.816.805-6</v>
      </c>
      <c r="B113" s="85" t="str">
        <f>VLOOKUP('Informe Kelly'!A106,Base!A:G,7,FALSE)</f>
        <v>PINTO  FLORES,JULIO CESAR</v>
      </c>
      <c r="C113" s="91">
        <f>'Informe Kelly'!E106</f>
        <v>40645</v>
      </c>
      <c r="D113" s="96">
        <f t="shared" si="2"/>
        <v>54</v>
      </c>
      <c r="E113" s="85" t="e">
        <f>VLOOKUP(A113,Ingreso!K:P,6,FALSE)</f>
        <v>#N/A</v>
      </c>
      <c r="F113" s="85">
        <f>IF('Informe Kelly'!H106=$A$2,'Informe Kelly'!F106,"")</f>
        <v>0.91430555555555559</v>
      </c>
      <c r="G113" s="85" t="str">
        <f>IF('Informe Kelly'!H106=$A$3,'Informe Kelly'!F106,"")</f>
        <v/>
      </c>
      <c r="H113" s="85">
        <f>IF(C113=C111,0,IF(D113=D112,0,(HLOOKUP(C113,Ingreso!$AN$10:$AU$260,VLOOKUP(A113,Ingreso!$AL$11:$AM$260,2,FALSE)))/24))</f>
        <v>0</v>
      </c>
      <c r="I113" s="77">
        <f t="shared" si="3"/>
        <v>0</v>
      </c>
      <c r="P113"/>
      <c r="Q113" s="92"/>
      <c r="R113" s="92"/>
    </row>
    <row r="114" spans="1:18">
      <c r="A114" s="85" t="str">
        <f>VLOOKUP('Informe Kelly'!A107,Base!A:B,2,FALSE)</f>
        <v>07.816.805-6</v>
      </c>
      <c r="B114" s="85" t="str">
        <f>VLOOKUP('Informe Kelly'!A107,Base!A:G,7,FALSE)</f>
        <v>PINTO  FLORES,JULIO CESAR</v>
      </c>
      <c r="C114" s="91">
        <f>'Informe Kelly'!E107</f>
        <v>40646</v>
      </c>
      <c r="D114" s="96">
        <f t="shared" si="2"/>
        <v>55</v>
      </c>
      <c r="E114" s="85" t="e">
        <f>VLOOKUP(A114,Ingreso!K:P,6,FALSE)</f>
        <v>#N/A</v>
      </c>
      <c r="F114" s="85" t="str">
        <f>IF('Informe Kelly'!H107=$A$2,'Informe Kelly'!F107,"")</f>
        <v/>
      </c>
      <c r="G114" s="85">
        <f>IF('Informe Kelly'!H107=$A$3,'Informe Kelly'!F107,"")</f>
        <v>0.32171296296296298</v>
      </c>
      <c r="H114" s="85" t="e">
        <f>IF(C114=C112,0,IF(D114=D113,0,(HLOOKUP(C114,Ingreso!$AN$10:$AU$260,VLOOKUP(A114,Ingreso!$AL$11:$AM$260,2,FALSE)))/24))</f>
        <v>#N/A</v>
      </c>
      <c r="I114" s="77" t="e">
        <f t="shared" si="3"/>
        <v>#N/A</v>
      </c>
      <c r="P114"/>
      <c r="Q114" s="92"/>
      <c r="R114" s="92"/>
    </row>
    <row r="115" spans="1:18">
      <c r="A115" s="85" t="str">
        <f>VLOOKUP('Informe Kelly'!A108,Base!A:B,2,FALSE)</f>
        <v>07.816.805-6</v>
      </c>
      <c r="B115" s="85" t="str">
        <f>VLOOKUP('Informe Kelly'!A108,Base!A:G,7,FALSE)</f>
        <v>PINTO  FLORES,JULIO CESAR</v>
      </c>
      <c r="C115" s="91">
        <f>'Informe Kelly'!E108</f>
        <v>40646</v>
      </c>
      <c r="D115" s="96">
        <f t="shared" si="2"/>
        <v>55</v>
      </c>
      <c r="E115" s="85" t="e">
        <f>VLOOKUP(A115,Ingreso!K:P,6,FALSE)</f>
        <v>#N/A</v>
      </c>
      <c r="F115" s="85">
        <f>IF('Informe Kelly'!H108=$A$2,'Informe Kelly'!F108,"")</f>
        <v>0.91396990740740736</v>
      </c>
      <c r="G115" s="85" t="str">
        <f>IF('Informe Kelly'!H108=$A$3,'Informe Kelly'!F108,"")</f>
        <v/>
      </c>
      <c r="H115" s="85">
        <f>IF(C115=C113,0,IF(D115=D114,0,(HLOOKUP(C115,Ingreso!$AN$10:$AU$260,VLOOKUP(A115,Ingreso!$AL$11:$AM$260,2,FALSE)))/24))</f>
        <v>0</v>
      </c>
      <c r="I115" s="77">
        <f t="shared" si="3"/>
        <v>0</v>
      </c>
      <c r="P115"/>
      <c r="Q115" s="92"/>
      <c r="R115" s="92"/>
    </row>
    <row r="116" spans="1:18">
      <c r="A116" s="85" t="str">
        <f>VLOOKUP('Informe Kelly'!A109,Base!A:B,2,FALSE)</f>
        <v>07.816.805-6</v>
      </c>
      <c r="B116" s="85" t="str">
        <f>VLOOKUP('Informe Kelly'!A109,Base!A:G,7,FALSE)</f>
        <v>PINTO  FLORES,JULIO CESAR</v>
      </c>
      <c r="C116" s="91">
        <f>'Informe Kelly'!E109</f>
        <v>40647</v>
      </c>
      <c r="D116" s="96">
        <f t="shared" si="2"/>
        <v>56</v>
      </c>
      <c r="E116" s="85" t="e">
        <f>VLOOKUP(A116,Ingreso!K:P,6,FALSE)</f>
        <v>#N/A</v>
      </c>
      <c r="F116" s="85" t="str">
        <f>IF('Informe Kelly'!H109=$A$2,'Informe Kelly'!F109,"")</f>
        <v/>
      </c>
      <c r="G116" s="85">
        <f>IF('Informe Kelly'!H109=$A$3,'Informe Kelly'!F109,"")</f>
        <v>0.32314814814814813</v>
      </c>
      <c r="H116" s="85" t="e">
        <f>IF(C116=C114,0,IF(D116=D115,0,(HLOOKUP(C116,Ingreso!$AN$10:$AU$260,VLOOKUP(A116,Ingreso!$AL$11:$AM$260,2,FALSE)))/24))</f>
        <v>#N/A</v>
      </c>
      <c r="I116" s="77" t="e">
        <f t="shared" si="3"/>
        <v>#N/A</v>
      </c>
      <c r="P116"/>
      <c r="Q116" s="92"/>
      <c r="R116" s="92"/>
    </row>
    <row r="117" spans="1:18">
      <c r="A117" s="85" t="str">
        <f>VLOOKUP('Informe Kelly'!A110,Base!A:B,2,FALSE)</f>
        <v>07.816.805-6</v>
      </c>
      <c r="B117" s="85" t="str">
        <f>VLOOKUP('Informe Kelly'!A110,Base!A:G,7,FALSE)</f>
        <v>PINTO  FLORES,JULIO CESAR</v>
      </c>
      <c r="C117" s="91">
        <f>'Informe Kelly'!E110</f>
        <v>40647</v>
      </c>
      <c r="D117" s="96">
        <f t="shared" si="2"/>
        <v>56</v>
      </c>
      <c r="E117" s="85" t="e">
        <f>VLOOKUP(A117,Ingreso!K:P,6,FALSE)</f>
        <v>#N/A</v>
      </c>
      <c r="F117" s="85">
        <f>IF('Informe Kelly'!H110=$A$2,'Informe Kelly'!F110,"")</f>
        <v>0.91577546296296297</v>
      </c>
      <c r="G117" s="85" t="str">
        <f>IF('Informe Kelly'!H110=$A$3,'Informe Kelly'!F110,"")</f>
        <v/>
      </c>
      <c r="H117" s="85">
        <f>IF(C117=C115,0,IF(D117=D116,0,(HLOOKUP(C117,Ingreso!$AN$10:$AU$260,VLOOKUP(A117,Ingreso!$AL$11:$AM$260,2,FALSE)))/24))</f>
        <v>0</v>
      </c>
      <c r="I117" s="77">
        <f t="shared" si="3"/>
        <v>0</v>
      </c>
      <c r="P117"/>
      <c r="Q117" s="92"/>
      <c r="R117" s="92"/>
    </row>
    <row r="118" spans="1:18">
      <c r="A118" s="85" t="str">
        <f>VLOOKUP('Informe Kelly'!A111,Base!A:B,2,FALSE)</f>
        <v>07.816.805-6</v>
      </c>
      <c r="B118" s="85" t="str">
        <f>VLOOKUP('Informe Kelly'!A111,Base!A:G,7,FALSE)</f>
        <v>PINTO  FLORES,JULIO CESAR</v>
      </c>
      <c r="C118" s="91">
        <f>'Informe Kelly'!E111</f>
        <v>40648</v>
      </c>
      <c r="D118" s="96">
        <f t="shared" si="2"/>
        <v>57</v>
      </c>
      <c r="E118" s="85" t="e">
        <f>VLOOKUP(A118,Ingreso!K:P,6,FALSE)</f>
        <v>#N/A</v>
      </c>
      <c r="F118" s="85">
        <f>IF('Informe Kelly'!H111=$A$2,'Informe Kelly'!F111,"")</f>
        <v>0.91442129629629632</v>
      </c>
      <c r="G118" s="85" t="str">
        <f>IF('Informe Kelly'!H111=$A$3,'Informe Kelly'!F111,"")</f>
        <v/>
      </c>
      <c r="H118" s="85" t="e">
        <f>IF(C118=C116,0,IF(D118=D117,0,(HLOOKUP(C118,Ingreso!$AN$10:$AU$260,VLOOKUP(A118,Ingreso!$AL$11:$AM$260,2,FALSE)))/24))</f>
        <v>#N/A</v>
      </c>
      <c r="I118" s="77" t="e">
        <f t="shared" si="3"/>
        <v>#N/A</v>
      </c>
      <c r="P118"/>
      <c r="Q118" s="92"/>
      <c r="R118" s="92"/>
    </row>
    <row r="119" spans="1:18">
      <c r="A119" s="85" t="str">
        <f>VLOOKUP('Informe Kelly'!A112,Base!A:B,2,FALSE)</f>
        <v>07.816.805-6</v>
      </c>
      <c r="B119" s="85" t="str">
        <f>VLOOKUP('Informe Kelly'!A112,Base!A:G,7,FALSE)</f>
        <v>PINTO  FLORES,JULIO CESAR</v>
      </c>
      <c r="C119" s="91">
        <f>'Informe Kelly'!E112</f>
        <v>40648</v>
      </c>
      <c r="D119" s="96">
        <f t="shared" si="2"/>
        <v>57</v>
      </c>
      <c r="E119" s="85" t="e">
        <f>VLOOKUP(A119,Ingreso!K:P,6,FALSE)</f>
        <v>#N/A</v>
      </c>
      <c r="F119" s="85" t="str">
        <f>IF('Informe Kelly'!H112=$A$2,'Informe Kelly'!F112,"")</f>
        <v/>
      </c>
      <c r="G119" s="85">
        <f>IF('Informe Kelly'!H112=$A$3,'Informe Kelly'!F112,"")</f>
        <v>0.32246527777777778</v>
      </c>
      <c r="H119" s="85">
        <f>IF(C119=C117,0,IF(D119=D118,0,(HLOOKUP(C119,Ingreso!$AN$10:$AU$260,VLOOKUP(A119,Ingreso!$AL$11:$AM$260,2,FALSE)))/24))</f>
        <v>0</v>
      </c>
      <c r="I119" s="77">
        <f t="shared" si="3"/>
        <v>0</v>
      </c>
      <c r="P119"/>
      <c r="Q119" s="92"/>
      <c r="R119" s="92"/>
    </row>
    <row r="120" spans="1:18">
      <c r="A120" s="85" t="str">
        <f>VLOOKUP('Informe Kelly'!A113,Base!A:B,2,FALSE)</f>
        <v>07.816.805-6</v>
      </c>
      <c r="B120" s="85" t="str">
        <f>VLOOKUP('Informe Kelly'!A113,Base!A:G,7,FALSE)</f>
        <v>PINTO  FLORES,JULIO CESAR</v>
      </c>
      <c r="C120" s="91">
        <f>'Informe Kelly'!E113</f>
        <v>40649</v>
      </c>
      <c r="D120" s="96">
        <f t="shared" si="2"/>
        <v>58</v>
      </c>
      <c r="E120" s="85" t="e">
        <f>VLOOKUP(A120,Ingreso!K:P,6,FALSE)</f>
        <v>#N/A</v>
      </c>
      <c r="F120" s="85" t="str">
        <f>IF('Informe Kelly'!H113=$A$2,'Informe Kelly'!F113,"")</f>
        <v/>
      </c>
      <c r="G120" s="85">
        <f>IF('Informe Kelly'!H113=$A$3,'Informe Kelly'!F113,"")</f>
        <v>0.32394675925925925</v>
      </c>
      <c r="H120" s="85" t="e">
        <f>IF(C120=C118,0,IF(D120=D119,0,(HLOOKUP(C120,Ingreso!$AN$10:$AU$260,VLOOKUP(A120,Ingreso!$AL$11:$AM$260,2,FALSE)))/24))</f>
        <v>#N/A</v>
      </c>
      <c r="I120" s="77" t="e">
        <f t="shared" si="3"/>
        <v>#N/A</v>
      </c>
      <c r="P120"/>
      <c r="Q120" s="92"/>
      <c r="R120" s="92"/>
    </row>
    <row r="121" spans="1:18">
      <c r="A121" s="85" t="str">
        <f>VLOOKUP('Informe Kelly'!A114,Base!A:B,2,FALSE)</f>
        <v>07.913.597-6</v>
      </c>
      <c r="B121" s="85" t="str">
        <f>VLOOKUP('Informe Kelly'!A114,Base!A:G,7,FALSE)</f>
        <v>RAMIREZ ROJAS JOSE</v>
      </c>
      <c r="C121" s="91">
        <f>'Informe Kelly'!E114</f>
        <v>40644</v>
      </c>
      <c r="D121" s="96">
        <f t="shared" si="2"/>
        <v>59</v>
      </c>
      <c r="E121" s="85" t="str">
        <f>VLOOKUP(A121,Ingreso!K:P,6,FALSE)</f>
        <v>Turno A</v>
      </c>
      <c r="F121" s="85">
        <f>IF('Informe Kelly'!H114=$A$2,'Informe Kelly'!F114,"")</f>
        <v>0.29050925925925924</v>
      </c>
      <c r="G121" s="85" t="str">
        <f>IF('Informe Kelly'!H114=$A$3,'Informe Kelly'!F114,"")</f>
        <v/>
      </c>
      <c r="H121" s="85">
        <f>IF(C121=C119,0,IF(D121=D120,0,(HLOOKUP(C121,Ingreso!$AN$10:$AU$260,VLOOKUP(A121,Ingreso!$AL$11:$AM$260,2,FALSE)))/24))</f>
        <v>0</v>
      </c>
      <c r="I121" s="77">
        <f t="shared" si="3"/>
        <v>0.3125</v>
      </c>
      <c r="P121"/>
      <c r="Q121" s="92"/>
      <c r="R121" s="92"/>
    </row>
    <row r="122" spans="1:18">
      <c r="A122" s="85" t="str">
        <f>VLOOKUP('Informe Kelly'!A115,Base!A:B,2,FALSE)</f>
        <v>07.913.597-6</v>
      </c>
      <c r="B122" s="85" t="str">
        <f>VLOOKUP('Informe Kelly'!A115,Base!A:G,7,FALSE)</f>
        <v>RAMIREZ ROJAS JOSE</v>
      </c>
      <c r="C122" s="91">
        <f>'Informe Kelly'!E115</f>
        <v>40644</v>
      </c>
      <c r="D122" s="96">
        <f t="shared" si="2"/>
        <v>59</v>
      </c>
      <c r="E122" s="85" t="str">
        <f>VLOOKUP(A122,Ingreso!K:P,6,FALSE)</f>
        <v>Turno A</v>
      </c>
      <c r="F122" s="85" t="str">
        <f>IF('Informe Kelly'!H115=$A$2,'Informe Kelly'!F115,"")</f>
        <v/>
      </c>
      <c r="G122" s="85">
        <f>IF('Informe Kelly'!H115=$A$3,'Informe Kelly'!F115,"")</f>
        <v>0.63399305555555552</v>
      </c>
      <c r="H122" s="85">
        <f>IF(C122=C120,0,IF(D122=D121,0,(HLOOKUP(C122,Ingreso!$AN$10:$AU$260,VLOOKUP(A122,Ingreso!$AL$11:$AM$260,2,FALSE)))/24))</f>
        <v>0</v>
      </c>
      <c r="I122" s="77">
        <f t="shared" si="3"/>
        <v>0</v>
      </c>
      <c r="P122"/>
      <c r="Q122" s="92"/>
      <c r="R122" s="92"/>
    </row>
    <row r="123" spans="1:18">
      <c r="A123" s="85" t="str">
        <f>VLOOKUP('Informe Kelly'!A116,Base!A:B,2,FALSE)</f>
        <v>07.913.597-6</v>
      </c>
      <c r="B123" s="85" t="str">
        <f>VLOOKUP('Informe Kelly'!A116,Base!A:G,7,FALSE)</f>
        <v>RAMIREZ ROJAS JOSE</v>
      </c>
      <c r="C123" s="91">
        <f>'Informe Kelly'!E116</f>
        <v>40645</v>
      </c>
      <c r="D123" s="96">
        <f t="shared" si="2"/>
        <v>60</v>
      </c>
      <c r="E123" s="85" t="str">
        <f>VLOOKUP(A123,Ingreso!K:P,6,FALSE)</f>
        <v>Turno A</v>
      </c>
      <c r="F123" s="85">
        <f>IF('Informe Kelly'!H116=$A$2,'Informe Kelly'!F116,"")</f>
        <v>0.29032407407407407</v>
      </c>
      <c r="G123" s="85" t="str">
        <f>IF('Informe Kelly'!H116=$A$3,'Informe Kelly'!F116,"")</f>
        <v/>
      </c>
      <c r="H123" s="85">
        <f>IF(C123=C121,0,IF(D123=D122,0,(HLOOKUP(C123,Ingreso!$AN$10:$AU$260,VLOOKUP(A123,Ingreso!$AL$11:$AM$260,2,FALSE)))/24))</f>
        <v>8.3333333333333329E-2</v>
      </c>
      <c r="I123" s="77">
        <f t="shared" si="3"/>
        <v>0.3125</v>
      </c>
      <c r="P123"/>
      <c r="Q123" s="92"/>
      <c r="R123" s="92"/>
    </row>
    <row r="124" spans="1:18">
      <c r="A124" s="85" t="str">
        <f>VLOOKUP('Informe Kelly'!A117,Base!A:B,2,FALSE)</f>
        <v>07.913.597-6</v>
      </c>
      <c r="B124" s="85" t="str">
        <f>VLOOKUP('Informe Kelly'!A117,Base!A:G,7,FALSE)</f>
        <v>RAMIREZ ROJAS JOSE</v>
      </c>
      <c r="C124" s="91">
        <f>'Informe Kelly'!E117</f>
        <v>40645</v>
      </c>
      <c r="D124" s="96">
        <f t="shared" si="2"/>
        <v>60</v>
      </c>
      <c r="E124" s="85" t="str">
        <f>VLOOKUP(A124,Ingreso!K:P,6,FALSE)</f>
        <v>Turno A</v>
      </c>
      <c r="F124" s="85" t="str">
        <f>IF('Informe Kelly'!H117=$A$2,'Informe Kelly'!F117,"")</f>
        <v/>
      </c>
      <c r="G124" s="85">
        <f>IF('Informe Kelly'!H117=$A$3,'Informe Kelly'!F117,"")</f>
        <v>0.70780092592592592</v>
      </c>
      <c r="H124" s="85">
        <f>IF(C124=C122,0,IF(D124=D123,0,(HLOOKUP(C124,Ingreso!$AN$10:$AU$260,VLOOKUP(A124,Ingreso!$AL$11:$AM$260,2,FALSE)))/24))</f>
        <v>0</v>
      </c>
      <c r="I124" s="77">
        <f t="shared" si="3"/>
        <v>0</v>
      </c>
      <c r="P124"/>
      <c r="Q124" s="92"/>
      <c r="R124" s="92"/>
    </row>
    <row r="125" spans="1:18">
      <c r="A125" s="85" t="str">
        <f>VLOOKUP('Informe Kelly'!A118,Base!A:B,2,FALSE)</f>
        <v>07.913.597-6</v>
      </c>
      <c r="B125" s="85" t="str">
        <f>VLOOKUP('Informe Kelly'!A118,Base!A:G,7,FALSE)</f>
        <v>RAMIREZ ROJAS JOSE</v>
      </c>
      <c r="C125" s="91">
        <f>'Informe Kelly'!E118</f>
        <v>40646</v>
      </c>
      <c r="D125" s="96">
        <f t="shared" si="2"/>
        <v>61</v>
      </c>
      <c r="E125" s="85" t="str">
        <f>VLOOKUP(A125,Ingreso!K:P,6,FALSE)</f>
        <v>Turno A</v>
      </c>
      <c r="F125" s="85">
        <f>IF('Informe Kelly'!H118=$A$2,'Informe Kelly'!F118,"")</f>
        <v>0.28899305555555554</v>
      </c>
      <c r="G125" s="85" t="str">
        <f>IF('Informe Kelly'!H118=$A$3,'Informe Kelly'!F118,"")</f>
        <v/>
      </c>
      <c r="H125" s="85">
        <f>IF(C125=C123,0,IF(D125=D124,0,(HLOOKUP(C125,Ingreso!$AN$10:$AU$260,VLOOKUP(A125,Ingreso!$AL$11:$AM$260,2,FALSE)))/24))</f>
        <v>8.3333333333333329E-2</v>
      </c>
      <c r="I125" s="77">
        <f t="shared" si="3"/>
        <v>0.3125</v>
      </c>
      <c r="P125"/>
      <c r="Q125" s="92"/>
      <c r="R125" s="92"/>
    </row>
    <row r="126" spans="1:18">
      <c r="A126" s="85" t="str">
        <f>VLOOKUP('Informe Kelly'!A119,Base!A:B,2,FALSE)</f>
        <v>07.913.597-6</v>
      </c>
      <c r="B126" s="85" t="str">
        <f>VLOOKUP('Informe Kelly'!A119,Base!A:G,7,FALSE)</f>
        <v>RAMIREZ ROJAS JOSE</v>
      </c>
      <c r="C126" s="91">
        <f>'Informe Kelly'!E119</f>
        <v>40646</v>
      </c>
      <c r="D126" s="96">
        <f t="shared" si="2"/>
        <v>61</v>
      </c>
      <c r="E126" s="85" t="str">
        <f>VLOOKUP(A126,Ingreso!K:P,6,FALSE)</f>
        <v>Turno A</v>
      </c>
      <c r="F126" s="85" t="str">
        <f>IF('Informe Kelly'!H119=$A$2,'Informe Kelly'!F119,"")</f>
        <v/>
      </c>
      <c r="G126" s="85">
        <f>IF('Informe Kelly'!H119=$A$3,'Informe Kelly'!F119,"")</f>
        <v>0.68293981481481481</v>
      </c>
      <c r="H126" s="85">
        <f>IF(C126=C124,0,IF(D126=D125,0,(HLOOKUP(C126,Ingreso!$AN$10:$AU$260,VLOOKUP(A126,Ingreso!$AL$11:$AM$260,2,FALSE)))/24))</f>
        <v>0</v>
      </c>
      <c r="I126" s="77">
        <f t="shared" si="3"/>
        <v>0</v>
      </c>
      <c r="P126"/>
      <c r="Q126" s="92"/>
      <c r="R126" s="92"/>
    </row>
    <row r="127" spans="1:18">
      <c r="A127" s="85" t="str">
        <f>VLOOKUP('Informe Kelly'!A120,Base!A:B,2,FALSE)</f>
        <v>07.913.597-6</v>
      </c>
      <c r="B127" s="85" t="str">
        <f>VLOOKUP('Informe Kelly'!A120,Base!A:G,7,FALSE)</f>
        <v>RAMIREZ ROJAS JOSE</v>
      </c>
      <c r="C127" s="91">
        <f>'Informe Kelly'!E120</f>
        <v>40647</v>
      </c>
      <c r="D127" s="96">
        <f t="shared" si="2"/>
        <v>62</v>
      </c>
      <c r="E127" s="85" t="str">
        <f>VLOOKUP(A127,Ingreso!K:P,6,FALSE)</f>
        <v>Turno A</v>
      </c>
      <c r="F127" s="85">
        <f>IF('Informe Kelly'!H120=$A$2,'Informe Kelly'!F120,"")</f>
        <v>0.29623842592592592</v>
      </c>
      <c r="G127" s="85" t="str">
        <f>IF('Informe Kelly'!H120=$A$3,'Informe Kelly'!F120,"")</f>
        <v/>
      </c>
      <c r="H127" s="85">
        <f>IF(C127=C125,0,IF(D127=D126,0,(HLOOKUP(C127,Ingreso!$AN$10:$AU$260,VLOOKUP(A127,Ingreso!$AL$11:$AM$260,2,FALSE)))/24))</f>
        <v>0</v>
      </c>
      <c r="I127" s="77">
        <f t="shared" si="3"/>
        <v>0.3125</v>
      </c>
      <c r="P127"/>
      <c r="Q127" s="92"/>
      <c r="R127" s="92"/>
    </row>
    <row r="128" spans="1:18">
      <c r="A128" s="85" t="str">
        <f>VLOOKUP('Informe Kelly'!A121,Base!A:B,2,FALSE)</f>
        <v>07.913.597-6</v>
      </c>
      <c r="B128" s="85" t="str">
        <f>VLOOKUP('Informe Kelly'!A121,Base!A:G,7,FALSE)</f>
        <v>RAMIREZ ROJAS JOSE</v>
      </c>
      <c r="C128" s="91">
        <f>'Informe Kelly'!E121</f>
        <v>40647</v>
      </c>
      <c r="D128" s="96">
        <f t="shared" si="2"/>
        <v>62</v>
      </c>
      <c r="E128" s="85" t="str">
        <f>VLOOKUP(A128,Ingreso!K:P,6,FALSE)</f>
        <v>Turno A</v>
      </c>
      <c r="F128" s="85" t="str">
        <f>IF('Informe Kelly'!H121=$A$2,'Informe Kelly'!F121,"")</f>
        <v/>
      </c>
      <c r="G128" s="85">
        <f>IF('Informe Kelly'!H121=$A$3,'Informe Kelly'!F121,"")</f>
        <v>0.63590277777777782</v>
      </c>
      <c r="H128" s="85">
        <f>IF(C128=C126,0,IF(D128=D127,0,(HLOOKUP(C128,Ingreso!$AN$10:$AU$260,VLOOKUP(A128,Ingreso!$AL$11:$AM$260,2,FALSE)))/24))</f>
        <v>0</v>
      </c>
      <c r="I128" s="77">
        <f t="shared" si="3"/>
        <v>0</v>
      </c>
      <c r="P128"/>
      <c r="Q128" s="92"/>
      <c r="R128" s="92"/>
    </row>
    <row r="129" spans="1:18">
      <c r="A129" s="85" t="str">
        <f>VLOOKUP('Informe Kelly'!A122,Base!A:B,2,FALSE)</f>
        <v>07.913.597-6</v>
      </c>
      <c r="B129" s="85" t="str">
        <f>VLOOKUP('Informe Kelly'!A122,Base!A:G,7,FALSE)</f>
        <v>RAMIREZ ROJAS JOSE</v>
      </c>
      <c r="C129" s="91">
        <f>'Informe Kelly'!E122</f>
        <v>40648</v>
      </c>
      <c r="D129" s="96">
        <f t="shared" si="2"/>
        <v>63</v>
      </c>
      <c r="E129" s="85" t="str">
        <f>VLOOKUP(A129,Ingreso!K:P,6,FALSE)</f>
        <v>Turno A</v>
      </c>
      <c r="F129" s="85" t="str">
        <f>IF('Informe Kelly'!H122=$A$2,'Informe Kelly'!F122,"")</f>
        <v/>
      </c>
      <c r="G129" s="85">
        <f>IF('Informe Kelly'!H122=$A$3,'Informe Kelly'!F122,"")</f>
        <v>0.6366087962962963</v>
      </c>
      <c r="H129" s="85">
        <f>IF(C129=C127,0,IF(D129=D128,0,(HLOOKUP(C129,Ingreso!$AN$10:$AU$260,VLOOKUP(A129,Ingreso!$AL$11:$AM$260,2,FALSE)))/24))</f>
        <v>0</v>
      </c>
      <c r="I129" s="77">
        <f t="shared" si="3"/>
        <v>0.3125</v>
      </c>
      <c r="P129"/>
      <c r="Q129" s="92"/>
      <c r="R129" s="92"/>
    </row>
    <row r="130" spans="1:18">
      <c r="A130" s="85" t="str">
        <f>VLOOKUP('Informe Kelly'!A123,Base!A:B,2,FALSE)</f>
        <v>07.913.597-6</v>
      </c>
      <c r="B130" s="85" t="str">
        <f>VLOOKUP('Informe Kelly'!A123,Base!A:G,7,FALSE)</f>
        <v>RAMIREZ ROJAS JOSE</v>
      </c>
      <c r="C130" s="91">
        <f>'Informe Kelly'!E123</f>
        <v>40648</v>
      </c>
      <c r="D130" s="96">
        <f t="shared" si="2"/>
        <v>63</v>
      </c>
      <c r="E130" s="85" t="str">
        <f>VLOOKUP(A130,Ingreso!K:P,6,FALSE)</f>
        <v>Turno A</v>
      </c>
      <c r="F130" s="85">
        <f>IF('Informe Kelly'!H123=$A$2,'Informe Kelly'!F123,"")</f>
        <v>0.29631944444444441</v>
      </c>
      <c r="G130" s="85" t="str">
        <f>IF('Informe Kelly'!H123=$A$3,'Informe Kelly'!F123,"")</f>
        <v/>
      </c>
      <c r="H130" s="85">
        <f>IF(C130=C128,0,IF(D130=D129,0,(HLOOKUP(C130,Ingreso!$AN$10:$AU$260,VLOOKUP(A130,Ingreso!$AL$11:$AM$260,2,FALSE)))/24))</f>
        <v>0</v>
      </c>
      <c r="I130" s="77">
        <f t="shared" si="3"/>
        <v>0</v>
      </c>
      <c r="P130"/>
      <c r="Q130" s="92"/>
      <c r="R130" s="92"/>
    </row>
    <row r="131" spans="1:18">
      <c r="A131" s="85" t="str">
        <f>VLOOKUP('Informe Kelly'!A124,Base!A:B,2,FALSE)</f>
        <v>07.913.597-6</v>
      </c>
      <c r="B131" s="85" t="str">
        <f>VLOOKUP('Informe Kelly'!A124,Base!A:G,7,FALSE)</f>
        <v>RAMIREZ ROJAS JOSE</v>
      </c>
      <c r="C131" s="91">
        <f>'Informe Kelly'!E124</f>
        <v>40649</v>
      </c>
      <c r="D131" s="96">
        <f t="shared" si="2"/>
        <v>64</v>
      </c>
      <c r="E131" s="85" t="str">
        <f>VLOOKUP(A131,Ingreso!K:P,6,FALSE)</f>
        <v>Turno A</v>
      </c>
      <c r="F131" s="85">
        <f>IF('Informe Kelly'!H124=$A$2,'Informe Kelly'!F124,"")</f>
        <v>0.29158564814814814</v>
      </c>
      <c r="G131" s="85" t="str">
        <f>IF('Informe Kelly'!H124=$A$3,'Informe Kelly'!F124,"")</f>
        <v/>
      </c>
      <c r="H131" s="85">
        <f>IF(C131=C129,0,IF(D131=D130,0,(HLOOKUP(C131,Ingreso!$AN$10:$AU$260,VLOOKUP(A131,Ingreso!$AL$11:$AM$260,2,FALSE)))/24))</f>
        <v>0</v>
      </c>
      <c r="I131" s="77">
        <f t="shared" si="3"/>
        <v>0.3125</v>
      </c>
      <c r="P131"/>
      <c r="Q131" s="92"/>
      <c r="R131" s="92"/>
    </row>
    <row r="132" spans="1:18">
      <c r="A132" s="85" t="str">
        <f>VLOOKUP('Informe Kelly'!A125,Base!A:B,2,FALSE)</f>
        <v>07.913.597-6</v>
      </c>
      <c r="B132" s="85" t="str">
        <f>VLOOKUP('Informe Kelly'!A125,Base!A:G,7,FALSE)</f>
        <v>RAMIREZ ROJAS JOSE</v>
      </c>
      <c r="C132" s="91">
        <f>'Informe Kelly'!E125</f>
        <v>40649</v>
      </c>
      <c r="D132" s="96">
        <f t="shared" si="2"/>
        <v>64</v>
      </c>
      <c r="E132" s="85" t="str">
        <f>VLOOKUP(A132,Ingreso!K:P,6,FALSE)</f>
        <v>Turno A</v>
      </c>
      <c r="F132" s="85" t="str">
        <f>IF('Informe Kelly'!H125=$A$2,'Informe Kelly'!F125,"")</f>
        <v/>
      </c>
      <c r="G132" s="85">
        <f>IF('Informe Kelly'!H125=$A$3,'Informe Kelly'!F125,"")</f>
        <v>0.63445601851851852</v>
      </c>
      <c r="H132" s="85">
        <f>IF(C132=C130,0,IF(D132=D131,0,(HLOOKUP(C132,Ingreso!$AN$10:$AU$260,VLOOKUP(A132,Ingreso!$AL$11:$AM$260,2,FALSE)))/24))</f>
        <v>0</v>
      </c>
      <c r="I132" s="77">
        <f t="shared" si="3"/>
        <v>0</v>
      </c>
      <c r="P132"/>
      <c r="Q132" s="92"/>
      <c r="R132" s="92"/>
    </row>
    <row r="133" spans="1:18">
      <c r="A133" s="85" t="str">
        <f>VLOOKUP('Informe Kelly'!A126,Base!A:B,2,FALSE)</f>
        <v>07.913.597-6</v>
      </c>
      <c r="B133" s="85" t="str">
        <f>VLOOKUP('Informe Kelly'!A126,Base!A:G,7,FALSE)</f>
        <v>RAMIREZ ROJAS JOSE</v>
      </c>
      <c r="C133" s="91">
        <f>'Informe Kelly'!E126</f>
        <v>40650</v>
      </c>
      <c r="D133" s="96">
        <f t="shared" si="2"/>
        <v>65</v>
      </c>
      <c r="E133" s="85" t="str">
        <f>VLOOKUP(A133,Ingreso!K:P,6,FALSE)</f>
        <v>Turno A</v>
      </c>
      <c r="F133" s="85">
        <f>IF('Informe Kelly'!H126=$A$2,'Informe Kelly'!F126,"")</f>
        <v>0.93552083333333336</v>
      </c>
      <c r="G133" s="85" t="str">
        <f>IF('Informe Kelly'!H126=$A$3,'Informe Kelly'!F126,"")</f>
        <v/>
      </c>
      <c r="H133" s="85">
        <f>IF(C133=C131,0,IF(D133=D132,0,(HLOOKUP(C133,Ingreso!$AN$10:$AU$260,VLOOKUP(A133,Ingreso!$AL$11:$AM$260,2,FALSE)))/24))</f>
        <v>0</v>
      </c>
      <c r="I133" s="77">
        <f t="shared" si="3"/>
        <v>0.3125</v>
      </c>
    </row>
    <row r="134" spans="1:18">
      <c r="A134" s="85" t="str">
        <f>VLOOKUP('Informe Kelly'!A127,Base!A:B,2,FALSE)</f>
        <v>07.916.907-2</v>
      </c>
      <c r="B134" s="85" t="str">
        <f>VLOOKUP('Informe Kelly'!A127,Base!A:G,7,FALSE)</f>
        <v>RUBIO CASTRO MARCOS</v>
      </c>
      <c r="C134" s="91">
        <f>'Informe Kelly'!E127</f>
        <v>40644</v>
      </c>
      <c r="D134" s="96">
        <f t="shared" si="2"/>
        <v>66</v>
      </c>
      <c r="E134" s="85" t="str">
        <f>VLOOKUP(A134,Ingreso!K:P,6,FALSE)</f>
        <v>Admin</v>
      </c>
      <c r="F134" s="85" t="str">
        <f>IF('Informe Kelly'!H127=$A$2,'Informe Kelly'!F127,"")</f>
        <v/>
      </c>
      <c r="G134" s="85">
        <f>IF('Informe Kelly'!H127=$A$3,'Informe Kelly'!F127,"")</f>
        <v>0.33585648148148151</v>
      </c>
      <c r="H134" s="85">
        <f>IF(C134=C132,0,IF(D134=D133,0,(HLOOKUP(C134,Ingreso!$AN$10:$AU$260,VLOOKUP(A134,Ingreso!$AL$11:$AM$260,2,FALSE)))/24))</f>
        <v>0.3125</v>
      </c>
      <c r="I134" s="77">
        <f t="shared" si="3"/>
        <v>0.41666666666666669</v>
      </c>
    </row>
    <row r="135" spans="1:18">
      <c r="A135" s="85" t="str">
        <f>VLOOKUP('Informe Kelly'!A128,Base!A:B,2,FALSE)</f>
        <v>07.916.907-2</v>
      </c>
      <c r="B135" s="85" t="str">
        <f>VLOOKUP('Informe Kelly'!A128,Base!A:G,7,FALSE)</f>
        <v>RUBIO CASTRO MARCOS</v>
      </c>
      <c r="C135" s="91">
        <f>'Informe Kelly'!E128</f>
        <v>40645</v>
      </c>
      <c r="D135" s="96">
        <f t="shared" si="2"/>
        <v>67</v>
      </c>
      <c r="E135" s="85" t="str">
        <f>VLOOKUP(A135,Ingreso!K:P,6,FALSE)</f>
        <v>Admin</v>
      </c>
      <c r="F135" s="85">
        <f>IF('Informe Kelly'!H128=$A$2,'Informe Kelly'!F128,"")</f>
        <v>0.30225694444444445</v>
      </c>
      <c r="G135" s="85" t="str">
        <f>IF('Informe Kelly'!H128=$A$3,'Informe Kelly'!F128,"")</f>
        <v/>
      </c>
      <c r="H135" s="85">
        <f>IF(C135=C133,0,IF(D135=D134,0,(HLOOKUP(C135,Ingreso!$AN$10:$AU$260,VLOOKUP(A135,Ingreso!$AL$11:$AM$260,2,FALSE)))/24))</f>
        <v>0</v>
      </c>
      <c r="I135" s="77">
        <f>IF(C135=C133,0,IF(D135=D134,0,(VLOOKUP(E135,$C$2:$D$5,2,FALSE))))</f>
        <v>0.41666666666666669</v>
      </c>
    </row>
    <row r="136" spans="1:18">
      <c r="A136" s="85" t="str">
        <f>VLOOKUP('Informe Kelly'!A129,Base!A:B,2,FALSE)</f>
        <v>07.916.907-2</v>
      </c>
      <c r="B136" s="85" t="str">
        <f>VLOOKUP('Informe Kelly'!A129,Base!A:G,7,FALSE)</f>
        <v>RUBIO CASTRO MARCOS</v>
      </c>
      <c r="C136" s="91">
        <f>'Informe Kelly'!E129</f>
        <v>40645</v>
      </c>
      <c r="D136" s="96">
        <f t="shared" si="2"/>
        <v>67</v>
      </c>
      <c r="E136" s="85" t="str">
        <f>VLOOKUP(A136,Ingreso!K:P,6,FALSE)</f>
        <v>Admin</v>
      </c>
      <c r="F136" s="85" t="str">
        <f>IF('Informe Kelly'!H129=$A$2,'Informe Kelly'!F129,"")</f>
        <v/>
      </c>
      <c r="G136" s="85">
        <f>IF('Informe Kelly'!H129=$A$3,'Informe Kelly'!F129,"")</f>
        <v>0.77986111111111101</v>
      </c>
      <c r="H136" s="85">
        <f>IF(C136=C134,0,IF(D136=D135,0,(HLOOKUP(C136,Ingreso!$AN$10:$AU$260,VLOOKUP(A136,Ingreso!$AL$11:$AM$260,2,FALSE)))/24))</f>
        <v>0</v>
      </c>
      <c r="I136" s="77">
        <f t="shared" si="3"/>
        <v>0</v>
      </c>
    </row>
    <row r="137" spans="1:18">
      <c r="A137" s="85" t="str">
        <f>VLOOKUP('Informe Kelly'!A130,Base!A:B,2,FALSE)</f>
        <v>07.916.907-2</v>
      </c>
      <c r="B137" s="85" t="str">
        <f>VLOOKUP('Informe Kelly'!A130,Base!A:G,7,FALSE)</f>
        <v>RUBIO CASTRO MARCOS</v>
      </c>
      <c r="C137" s="91">
        <f>'Informe Kelly'!E130</f>
        <v>40646</v>
      </c>
      <c r="D137" s="96">
        <f t="shared" ref="D137:D200" si="4">IF(C136=C137,IF(C137=C134,D136,IF(C137=C135,D136+1,D136)),D136+1)</f>
        <v>68</v>
      </c>
      <c r="E137" s="85" t="str">
        <f>VLOOKUP(A137,Ingreso!K:P,6,FALSE)</f>
        <v>Admin</v>
      </c>
      <c r="F137" s="85">
        <f>IF('Informe Kelly'!H130=$A$2,'Informe Kelly'!F130,"")</f>
        <v>0.30361111111111111</v>
      </c>
      <c r="G137" s="85" t="str">
        <f>IF('Informe Kelly'!H130=$A$3,'Informe Kelly'!F130,"")</f>
        <v/>
      </c>
      <c r="H137" s="85">
        <f>IF(C137=C135,0,IF(D137=D136,0,(HLOOKUP(C137,Ingreso!$AN$10:$AU$260,VLOOKUP(A137,Ingreso!$AL$11:$AM$260,2,FALSE)))/24))</f>
        <v>0</v>
      </c>
      <c r="I137" s="77">
        <f t="shared" si="3"/>
        <v>0.41666666666666669</v>
      </c>
    </row>
    <row r="138" spans="1:18">
      <c r="A138" s="85" t="str">
        <f>VLOOKUP('Informe Kelly'!A131,Base!A:B,2,FALSE)</f>
        <v>07.916.907-2</v>
      </c>
      <c r="B138" s="85" t="str">
        <f>VLOOKUP('Informe Kelly'!A131,Base!A:G,7,FALSE)</f>
        <v>RUBIO CASTRO MARCOS</v>
      </c>
      <c r="C138" s="91">
        <f>'Informe Kelly'!E131</f>
        <v>40646</v>
      </c>
      <c r="D138" s="96">
        <f t="shared" si="4"/>
        <v>68</v>
      </c>
      <c r="E138" s="85" t="str">
        <f>VLOOKUP(A138,Ingreso!K:P,6,FALSE)</f>
        <v>Admin</v>
      </c>
      <c r="F138" s="85" t="str">
        <f>IF('Informe Kelly'!H131=$A$2,'Informe Kelly'!F131,"")</f>
        <v/>
      </c>
      <c r="G138" s="85">
        <f>IF('Informe Kelly'!H131=$A$3,'Informe Kelly'!F131,"")</f>
        <v>0.78331018518518514</v>
      </c>
      <c r="H138" s="85">
        <f>IF(C138=C136,0,IF(D138=D137,0,(HLOOKUP(C138,Ingreso!$AN$10:$AU$260,VLOOKUP(A138,Ingreso!$AL$11:$AM$260,2,FALSE)))/24))</f>
        <v>0</v>
      </c>
      <c r="I138" s="77">
        <f t="shared" ref="I138:I201" si="5">IF(C138=C136,0,IF(D138=D137,0,(VLOOKUP(E138,$C$2:$D$5,2,FALSE))))</f>
        <v>0</v>
      </c>
    </row>
    <row r="139" spans="1:18">
      <c r="A139" s="85" t="str">
        <f>VLOOKUP('Informe Kelly'!A132,Base!A:B,2,FALSE)</f>
        <v>07.916.907-2</v>
      </c>
      <c r="B139" s="85" t="str">
        <f>VLOOKUP('Informe Kelly'!A132,Base!A:G,7,FALSE)</f>
        <v>RUBIO CASTRO MARCOS</v>
      </c>
      <c r="C139" s="91">
        <f>'Informe Kelly'!E132</f>
        <v>40647</v>
      </c>
      <c r="D139" s="96">
        <f t="shared" si="4"/>
        <v>69</v>
      </c>
      <c r="E139" s="85" t="str">
        <f>VLOOKUP(A139,Ingreso!K:P,6,FALSE)</f>
        <v>Admin</v>
      </c>
      <c r="F139" s="85">
        <f>IF('Informe Kelly'!H132=$A$2,'Informe Kelly'!F132,"")</f>
        <v>0.34700231481481486</v>
      </c>
      <c r="G139" s="85" t="str">
        <f>IF('Informe Kelly'!H132=$A$3,'Informe Kelly'!F132,"")</f>
        <v/>
      </c>
      <c r="H139" s="85">
        <f>IF(C139=C137,0,IF(D139=D138,0,(HLOOKUP(C139,Ingreso!$AN$10:$AU$260,VLOOKUP(A139,Ingreso!$AL$11:$AM$260,2,FALSE)))/24))</f>
        <v>0</v>
      </c>
      <c r="I139" s="77">
        <f t="shared" si="5"/>
        <v>0.41666666666666669</v>
      </c>
    </row>
    <row r="140" spans="1:18">
      <c r="A140" s="85" t="str">
        <f>VLOOKUP('Informe Kelly'!A133,Base!A:B,2,FALSE)</f>
        <v>07.916.907-2</v>
      </c>
      <c r="B140" s="85" t="str">
        <f>VLOOKUP('Informe Kelly'!A133,Base!A:G,7,FALSE)</f>
        <v>RUBIO CASTRO MARCOS</v>
      </c>
      <c r="C140" s="91">
        <f>'Informe Kelly'!E133</f>
        <v>40647</v>
      </c>
      <c r="D140" s="96">
        <f t="shared" si="4"/>
        <v>69</v>
      </c>
      <c r="E140" s="85" t="str">
        <f>VLOOKUP(A140,Ingreso!K:P,6,FALSE)</f>
        <v>Admin</v>
      </c>
      <c r="F140" s="85" t="str">
        <f>IF('Informe Kelly'!H133=$A$2,'Informe Kelly'!F133,"")</f>
        <v/>
      </c>
      <c r="G140" s="85">
        <f>IF('Informe Kelly'!H133=$A$3,'Informe Kelly'!F133,"")</f>
        <v>0.77961805555555552</v>
      </c>
      <c r="H140" s="85">
        <f>IF(C140=C138,0,IF(D140=D139,0,(HLOOKUP(C140,Ingreso!$AN$10:$AU$260,VLOOKUP(A140,Ingreso!$AL$11:$AM$260,2,FALSE)))/24))</f>
        <v>0</v>
      </c>
      <c r="I140" s="77">
        <f t="shared" si="5"/>
        <v>0</v>
      </c>
    </row>
    <row r="141" spans="1:18">
      <c r="A141" s="85" t="str">
        <f>VLOOKUP('Informe Kelly'!A134,Base!A:B,2,FALSE)</f>
        <v>07.916.907-2</v>
      </c>
      <c r="B141" s="85" t="str">
        <f>VLOOKUP('Informe Kelly'!A134,Base!A:G,7,FALSE)</f>
        <v>RUBIO CASTRO MARCOS</v>
      </c>
      <c r="C141" s="91">
        <f>'Informe Kelly'!E134</f>
        <v>40648</v>
      </c>
      <c r="D141" s="96">
        <f t="shared" si="4"/>
        <v>70</v>
      </c>
      <c r="E141" s="85" t="str">
        <f>VLOOKUP(A141,Ingreso!K:P,6,FALSE)</f>
        <v>Admin</v>
      </c>
      <c r="F141" s="85">
        <f>IF('Informe Kelly'!H134=$A$2,'Informe Kelly'!F134,"")</f>
        <v>0.30442129629629627</v>
      </c>
      <c r="G141" s="85" t="str">
        <f>IF('Informe Kelly'!H134=$A$3,'Informe Kelly'!F134,"")</f>
        <v/>
      </c>
      <c r="H141" s="85">
        <f>IF(C141=C139,0,IF(D141=D140,0,(HLOOKUP(C141,Ingreso!$AN$10:$AU$260,VLOOKUP(A141,Ingreso!$AL$11:$AM$260,2,FALSE)))/24))</f>
        <v>0</v>
      </c>
      <c r="I141" s="77">
        <f t="shared" si="5"/>
        <v>0.41666666666666669</v>
      </c>
    </row>
    <row r="142" spans="1:18">
      <c r="A142" s="85" t="str">
        <f>VLOOKUP('Informe Kelly'!A135,Base!A:B,2,FALSE)</f>
        <v>07.916.907-2</v>
      </c>
      <c r="B142" s="85" t="str">
        <f>VLOOKUP('Informe Kelly'!A135,Base!A:G,7,FALSE)</f>
        <v>RUBIO CASTRO MARCOS</v>
      </c>
      <c r="C142" s="91">
        <f>'Informe Kelly'!E135</f>
        <v>40648</v>
      </c>
      <c r="D142" s="96">
        <f t="shared" si="4"/>
        <v>70</v>
      </c>
      <c r="E142" s="85" t="str">
        <f>VLOOKUP(A142,Ingreso!K:P,6,FALSE)</f>
        <v>Admin</v>
      </c>
      <c r="F142" s="85" t="str">
        <f>IF('Informe Kelly'!H135=$A$2,'Informe Kelly'!F135,"")</f>
        <v/>
      </c>
      <c r="G142" s="85">
        <f>IF('Informe Kelly'!H135=$A$3,'Informe Kelly'!F135,"")</f>
        <v>0.75537037037037036</v>
      </c>
      <c r="H142" s="85">
        <f>IF(C142=C140,0,IF(D142=D141,0,(HLOOKUP(C142,Ingreso!$AN$10:$AU$260,VLOOKUP(A142,Ingreso!$AL$11:$AM$260,2,FALSE)))/24))</f>
        <v>0</v>
      </c>
      <c r="I142" s="77">
        <f t="shared" si="5"/>
        <v>0</v>
      </c>
    </row>
    <row r="143" spans="1:18">
      <c r="A143" s="85" t="str">
        <f>VLOOKUP('Informe Kelly'!A136,Base!A:B,2,FALSE)</f>
        <v>07.916.907-2</v>
      </c>
      <c r="B143" s="85" t="str">
        <f>VLOOKUP('Informe Kelly'!A136,Base!A:G,7,FALSE)</f>
        <v>RUBIO CASTRO MARCOS</v>
      </c>
      <c r="C143" s="91">
        <f>'Informe Kelly'!E136</f>
        <v>40650</v>
      </c>
      <c r="D143" s="96">
        <f t="shared" si="4"/>
        <v>71</v>
      </c>
      <c r="E143" s="85" t="str">
        <f>VLOOKUP(A143,Ingreso!K:P,6,FALSE)</f>
        <v>Admin</v>
      </c>
      <c r="F143" s="85">
        <f>IF('Informe Kelly'!H136=$A$2,'Informe Kelly'!F136,"")</f>
        <v>0.99990740740740736</v>
      </c>
      <c r="G143" s="85" t="str">
        <f>IF('Informe Kelly'!H136=$A$3,'Informe Kelly'!F136,"")</f>
        <v/>
      </c>
      <c r="H143" s="85">
        <f>IF(C143=C141,0,IF(D143=D142,0,(HLOOKUP(C143,Ingreso!$AN$10:$AU$260,VLOOKUP(A143,Ingreso!$AL$11:$AM$260,2,FALSE)))/24))</f>
        <v>0</v>
      </c>
      <c r="I143" s="77">
        <f t="shared" si="5"/>
        <v>0.41666666666666669</v>
      </c>
    </row>
    <row r="144" spans="1:18">
      <c r="A144" s="85" t="str">
        <f>VLOOKUP('Informe Kelly'!A137,Base!A:B,2,FALSE)</f>
        <v>07.944.613-0</v>
      </c>
      <c r="B144" s="85" t="str">
        <f>VLOOKUP('Informe Kelly'!A137,Base!A:G,7,FALSE)</f>
        <v>DIAZ CASTRO MIGUEL ANGEL</v>
      </c>
      <c r="C144" s="91">
        <f>'Informe Kelly'!E137</f>
        <v>40644</v>
      </c>
      <c r="D144" s="96">
        <f t="shared" si="4"/>
        <v>72</v>
      </c>
      <c r="E144" s="85" t="str">
        <f>VLOOKUP(A144,Ingreso!K:P,6,FALSE)</f>
        <v>Turno A</v>
      </c>
      <c r="F144" s="85">
        <f>IF('Informe Kelly'!H137=$A$2,'Informe Kelly'!F137,"")</f>
        <v>0.29501157407407408</v>
      </c>
      <c r="G144" s="85" t="str">
        <f>IF('Informe Kelly'!H137=$A$3,'Informe Kelly'!F137,"")</f>
        <v/>
      </c>
      <c r="H144" s="85">
        <f>IF(C144=C142,0,IF(D144=D143,0,(HLOOKUP(C144,Ingreso!$AN$10:$AU$260,VLOOKUP(A144,Ingreso!$AL$11:$AM$260,2,FALSE)))/24))</f>
        <v>0</v>
      </c>
      <c r="I144" s="77">
        <f t="shared" si="5"/>
        <v>0.3125</v>
      </c>
    </row>
    <row r="145" spans="1:9">
      <c r="A145" s="85" t="str">
        <f>VLOOKUP('Informe Kelly'!A138,Base!A:B,2,FALSE)</f>
        <v>07.944.613-0</v>
      </c>
      <c r="B145" s="85" t="str">
        <f>VLOOKUP('Informe Kelly'!A138,Base!A:G,7,FALSE)</f>
        <v>DIAZ CASTRO MIGUEL ANGEL</v>
      </c>
      <c r="C145" s="91">
        <f>'Informe Kelly'!E138</f>
        <v>40644</v>
      </c>
      <c r="D145" s="96">
        <f t="shared" si="4"/>
        <v>72</v>
      </c>
      <c r="E145" s="85" t="str">
        <f>VLOOKUP(A145,Ingreso!K:P,6,FALSE)</f>
        <v>Turno A</v>
      </c>
      <c r="F145" s="85" t="str">
        <f>IF('Informe Kelly'!H138=$A$2,'Informe Kelly'!F138,"")</f>
        <v/>
      </c>
      <c r="G145" s="85">
        <f>IF('Informe Kelly'!H138=$A$3,'Informe Kelly'!F138,"")</f>
        <v>0.62804398148148144</v>
      </c>
      <c r="H145" s="85">
        <f>IF(C145=C143,0,IF(D145=D144,0,(HLOOKUP(C145,Ingreso!$AN$10:$AU$260,VLOOKUP(A145,Ingreso!$AL$11:$AM$260,2,FALSE)))/24))</f>
        <v>0</v>
      </c>
      <c r="I145" s="77">
        <f t="shared" si="5"/>
        <v>0</v>
      </c>
    </row>
    <row r="146" spans="1:9">
      <c r="A146" s="85" t="str">
        <f>VLOOKUP('Informe Kelly'!A139,Base!A:B,2,FALSE)</f>
        <v>07.944.613-0</v>
      </c>
      <c r="B146" s="85" t="str">
        <f>VLOOKUP('Informe Kelly'!A139,Base!A:G,7,FALSE)</f>
        <v>DIAZ CASTRO MIGUEL ANGEL</v>
      </c>
      <c r="C146" s="91">
        <f>'Informe Kelly'!E139</f>
        <v>40645</v>
      </c>
      <c r="D146" s="96">
        <f t="shared" si="4"/>
        <v>73</v>
      </c>
      <c r="E146" s="85" t="str">
        <f>VLOOKUP(A146,Ingreso!K:P,6,FALSE)</f>
        <v>Turno A</v>
      </c>
      <c r="F146" s="85">
        <f>IF('Informe Kelly'!H139=$A$2,'Informe Kelly'!F139,"")</f>
        <v>0.29583333333333334</v>
      </c>
      <c r="G146" s="85" t="str">
        <f>IF('Informe Kelly'!H139=$A$3,'Informe Kelly'!F139,"")</f>
        <v/>
      </c>
      <c r="H146" s="85">
        <f>IF(C146=C144,0,IF(D146=D145,0,(HLOOKUP(C146,Ingreso!$AN$10:$AU$260,VLOOKUP(A146,Ingreso!$AL$11:$AM$260,2,FALSE)))/24))</f>
        <v>0</v>
      </c>
      <c r="I146" s="77">
        <f t="shared" si="5"/>
        <v>0.3125</v>
      </c>
    </row>
    <row r="147" spans="1:9">
      <c r="A147" s="85" t="str">
        <f>VLOOKUP('Informe Kelly'!A140,Base!A:B,2,FALSE)</f>
        <v>07.944.613-0</v>
      </c>
      <c r="B147" s="85" t="str">
        <f>VLOOKUP('Informe Kelly'!A140,Base!A:G,7,FALSE)</f>
        <v>DIAZ CASTRO MIGUEL ANGEL</v>
      </c>
      <c r="C147" s="91">
        <f>'Informe Kelly'!E140</f>
        <v>40645</v>
      </c>
      <c r="D147" s="96">
        <f t="shared" si="4"/>
        <v>73</v>
      </c>
      <c r="E147" s="85" t="str">
        <f>VLOOKUP(A147,Ingreso!K:P,6,FALSE)</f>
        <v>Turno A</v>
      </c>
      <c r="F147" s="85" t="str">
        <f>IF('Informe Kelly'!H140=$A$2,'Informe Kelly'!F140,"")</f>
        <v/>
      </c>
      <c r="G147" s="85">
        <f>IF('Informe Kelly'!H140=$A$3,'Informe Kelly'!F140,"")</f>
        <v>0.62975694444444441</v>
      </c>
      <c r="H147" s="85">
        <f>IF(C147=C145,0,IF(D147=D146,0,(HLOOKUP(C147,Ingreso!$AN$10:$AU$260,VLOOKUP(A147,Ingreso!$AL$11:$AM$260,2,FALSE)))/24))</f>
        <v>0</v>
      </c>
      <c r="I147" s="77">
        <f t="shared" si="5"/>
        <v>0</v>
      </c>
    </row>
    <row r="148" spans="1:9">
      <c r="A148" s="85" t="str">
        <f>VLOOKUP('Informe Kelly'!A141,Base!A:B,2,FALSE)</f>
        <v>07.944.613-0</v>
      </c>
      <c r="B148" s="85" t="str">
        <f>VLOOKUP('Informe Kelly'!A141,Base!A:G,7,FALSE)</f>
        <v>DIAZ CASTRO MIGUEL ANGEL</v>
      </c>
      <c r="C148" s="91">
        <f>'Informe Kelly'!E141</f>
        <v>40646</v>
      </c>
      <c r="D148" s="96">
        <f t="shared" si="4"/>
        <v>74</v>
      </c>
      <c r="E148" s="85" t="str">
        <f>VLOOKUP(A148,Ingreso!K:P,6,FALSE)</f>
        <v>Turno A</v>
      </c>
      <c r="F148" s="85">
        <f>IF('Informe Kelly'!H141=$A$2,'Informe Kelly'!F141,"")</f>
        <v>0.29552083333333334</v>
      </c>
      <c r="G148" s="85" t="str">
        <f>IF('Informe Kelly'!H141=$A$3,'Informe Kelly'!F141,"")</f>
        <v/>
      </c>
      <c r="H148" s="85">
        <f>IF(C148=C146,0,IF(D148=D147,0,(HLOOKUP(C148,Ingreso!$AN$10:$AU$260,VLOOKUP(A148,Ingreso!$AL$11:$AM$260,2,FALSE)))/24))</f>
        <v>0</v>
      </c>
      <c r="I148" s="77">
        <f t="shared" si="5"/>
        <v>0.3125</v>
      </c>
    </row>
    <row r="149" spans="1:9">
      <c r="A149" s="85" t="str">
        <f>VLOOKUP('Informe Kelly'!A142,Base!A:B,2,FALSE)</f>
        <v>07.944.613-0</v>
      </c>
      <c r="B149" s="85" t="str">
        <f>VLOOKUP('Informe Kelly'!A142,Base!A:G,7,FALSE)</f>
        <v>DIAZ CASTRO MIGUEL ANGEL</v>
      </c>
      <c r="C149" s="91">
        <f>'Informe Kelly'!E142</f>
        <v>40646</v>
      </c>
      <c r="D149" s="96">
        <f t="shared" si="4"/>
        <v>74</v>
      </c>
      <c r="E149" s="85" t="str">
        <f>VLOOKUP(A149,Ingreso!K:P,6,FALSE)</f>
        <v>Turno A</v>
      </c>
      <c r="F149" s="85" t="str">
        <f>IF('Informe Kelly'!H142=$A$2,'Informe Kelly'!F142,"")</f>
        <v/>
      </c>
      <c r="G149" s="85">
        <f>IF('Informe Kelly'!H142=$A$3,'Informe Kelly'!F142,"")</f>
        <v>0.62912037037037039</v>
      </c>
      <c r="H149" s="85">
        <f>IF(C149=C147,0,IF(D149=D148,0,(HLOOKUP(C149,Ingreso!$AN$10:$AU$260,VLOOKUP(A149,Ingreso!$AL$11:$AM$260,2,FALSE)))/24))</f>
        <v>0</v>
      </c>
      <c r="I149" s="77">
        <f t="shared" si="5"/>
        <v>0</v>
      </c>
    </row>
    <row r="150" spans="1:9">
      <c r="A150" s="85" t="str">
        <f>VLOOKUP('Informe Kelly'!A143,Base!A:B,2,FALSE)</f>
        <v>07.944.613-0</v>
      </c>
      <c r="B150" s="85" t="str">
        <f>VLOOKUP('Informe Kelly'!A143,Base!A:G,7,FALSE)</f>
        <v>DIAZ CASTRO MIGUEL ANGEL</v>
      </c>
      <c r="C150" s="91">
        <f>'Informe Kelly'!E143</f>
        <v>40647</v>
      </c>
      <c r="D150" s="96">
        <f t="shared" si="4"/>
        <v>75</v>
      </c>
      <c r="E150" s="85" t="str">
        <f>VLOOKUP(A150,Ingreso!K:P,6,FALSE)</f>
        <v>Turno A</v>
      </c>
      <c r="F150" s="85">
        <f>IF('Informe Kelly'!H143=$A$2,'Informe Kelly'!F143,"")</f>
        <v>0.29440972222222223</v>
      </c>
      <c r="G150" s="85" t="str">
        <f>IF('Informe Kelly'!H143=$A$3,'Informe Kelly'!F143,"")</f>
        <v/>
      </c>
      <c r="H150" s="85">
        <f>IF(C150=C148,0,IF(D150=D149,0,(HLOOKUP(C150,Ingreso!$AN$10:$AU$260,VLOOKUP(A150,Ingreso!$AL$11:$AM$260,2,FALSE)))/24))</f>
        <v>0</v>
      </c>
      <c r="I150" s="77">
        <f t="shared" si="5"/>
        <v>0.3125</v>
      </c>
    </row>
    <row r="151" spans="1:9">
      <c r="A151" s="85" t="str">
        <f>VLOOKUP('Informe Kelly'!A144,Base!A:B,2,FALSE)</f>
        <v>07.944.613-0</v>
      </c>
      <c r="B151" s="85" t="str">
        <f>VLOOKUP('Informe Kelly'!A144,Base!A:G,7,FALSE)</f>
        <v>DIAZ CASTRO MIGUEL ANGEL</v>
      </c>
      <c r="C151" s="91">
        <f>'Informe Kelly'!E144</f>
        <v>40647</v>
      </c>
      <c r="D151" s="96">
        <f t="shared" si="4"/>
        <v>75</v>
      </c>
      <c r="E151" s="85" t="str">
        <f>VLOOKUP(A151,Ingreso!K:P,6,FALSE)</f>
        <v>Turno A</v>
      </c>
      <c r="F151" s="85" t="str">
        <f>IF('Informe Kelly'!H144=$A$2,'Informe Kelly'!F144,"")</f>
        <v/>
      </c>
      <c r="G151" s="85">
        <f>IF('Informe Kelly'!H144=$A$3,'Informe Kelly'!F144,"")</f>
        <v>0.62755787037037036</v>
      </c>
      <c r="H151" s="85">
        <f>IF(C151=C149,0,IF(D151=D150,0,(HLOOKUP(C151,Ingreso!$AN$10:$AU$260,VLOOKUP(A151,Ingreso!$AL$11:$AM$260,2,FALSE)))/24))</f>
        <v>0</v>
      </c>
      <c r="I151" s="77">
        <f t="shared" si="5"/>
        <v>0</v>
      </c>
    </row>
    <row r="152" spans="1:9">
      <c r="A152" s="85" t="str">
        <f>VLOOKUP('Informe Kelly'!A145,Base!A:B,2,FALSE)</f>
        <v>07.944.613-0</v>
      </c>
      <c r="B152" s="85" t="str">
        <f>VLOOKUP('Informe Kelly'!A145,Base!A:G,7,FALSE)</f>
        <v>DIAZ CASTRO MIGUEL ANGEL</v>
      </c>
      <c r="C152" s="91">
        <f>'Informe Kelly'!E145</f>
        <v>40648</v>
      </c>
      <c r="D152" s="96">
        <f t="shared" si="4"/>
        <v>76</v>
      </c>
      <c r="E152" s="85" t="str">
        <f>VLOOKUP(A152,Ingreso!K:P,6,FALSE)</f>
        <v>Turno A</v>
      </c>
      <c r="F152" s="85" t="str">
        <f>IF('Informe Kelly'!H145=$A$2,'Informe Kelly'!F145,"")</f>
        <v/>
      </c>
      <c r="G152" s="85">
        <f>IF('Informe Kelly'!H145=$A$3,'Informe Kelly'!F145,"")</f>
        <v>0.63104166666666661</v>
      </c>
      <c r="H152" s="85">
        <f>IF(C152=C150,0,IF(D152=D151,0,(HLOOKUP(C152,Ingreso!$AN$10:$AU$260,VLOOKUP(A152,Ingreso!$AL$11:$AM$260,2,FALSE)))/24))</f>
        <v>0</v>
      </c>
      <c r="I152" s="77">
        <f t="shared" si="5"/>
        <v>0.3125</v>
      </c>
    </row>
    <row r="153" spans="1:9">
      <c r="A153" s="85" t="str">
        <f>VLOOKUP('Informe Kelly'!A146,Base!A:B,2,FALSE)</f>
        <v>07.944.613-0</v>
      </c>
      <c r="B153" s="85" t="str">
        <f>VLOOKUP('Informe Kelly'!A146,Base!A:G,7,FALSE)</f>
        <v>DIAZ CASTRO MIGUEL ANGEL</v>
      </c>
      <c r="C153" s="91">
        <f>'Informe Kelly'!E146</f>
        <v>40648</v>
      </c>
      <c r="D153" s="96">
        <f t="shared" si="4"/>
        <v>76</v>
      </c>
      <c r="E153" s="85" t="str">
        <f>VLOOKUP(A153,Ingreso!K:P,6,FALSE)</f>
        <v>Turno A</v>
      </c>
      <c r="F153" s="85">
        <f>IF('Informe Kelly'!H146=$A$2,'Informe Kelly'!F146,"")</f>
        <v>0.29479166666666667</v>
      </c>
      <c r="G153" s="85" t="str">
        <f>IF('Informe Kelly'!H146=$A$3,'Informe Kelly'!F146,"")</f>
        <v/>
      </c>
      <c r="H153" s="85">
        <f>IF(C153=C151,0,IF(D153=D152,0,(HLOOKUP(C153,Ingreso!$AN$10:$AU$260,VLOOKUP(A153,Ingreso!$AL$11:$AM$260,2,FALSE)))/24))</f>
        <v>0</v>
      </c>
      <c r="I153" s="77">
        <f t="shared" si="5"/>
        <v>0</v>
      </c>
    </row>
    <row r="154" spans="1:9">
      <c r="A154" s="85" t="str">
        <f>VLOOKUP('Informe Kelly'!A147,Base!A:B,2,FALSE)</f>
        <v>07.944.613-0</v>
      </c>
      <c r="B154" s="85" t="str">
        <f>VLOOKUP('Informe Kelly'!A147,Base!A:G,7,FALSE)</f>
        <v>DIAZ CASTRO MIGUEL ANGEL</v>
      </c>
      <c r="C154" s="91">
        <f>'Informe Kelly'!E147</f>
        <v>40649</v>
      </c>
      <c r="D154" s="96">
        <f t="shared" si="4"/>
        <v>77</v>
      </c>
      <c r="E154" s="85" t="str">
        <f>VLOOKUP(A154,Ingreso!K:P,6,FALSE)</f>
        <v>Turno A</v>
      </c>
      <c r="F154" s="85">
        <f>IF('Informe Kelly'!H147=$A$2,'Informe Kelly'!F147,"")</f>
        <v>0.29418981481481482</v>
      </c>
      <c r="G154" s="85" t="str">
        <f>IF('Informe Kelly'!H147=$A$3,'Informe Kelly'!F147,"")</f>
        <v/>
      </c>
      <c r="H154" s="85">
        <f>IF(C154=C152,0,IF(D154=D153,0,(HLOOKUP(C154,Ingreso!$AN$10:$AU$260,VLOOKUP(A154,Ingreso!$AL$11:$AM$260,2,FALSE)))/24))</f>
        <v>0</v>
      </c>
      <c r="I154" s="77">
        <f t="shared" si="5"/>
        <v>0.3125</v>
      </c>
    </row>
    <row r="155" spans="1:9">
      <c r="A155" s="85" t="str">
        <f>VLOOKUP('Informe Kelly'!A148,Base!A:B,2,FALSE)</f>
        <v>07.944.613-0</v>
      </c>
      <c r="B155" s="85" t="str">
        <f>VLOOKUP('Informe Kelly'!A148,Base!A:G,7,FALSE)</f>
        <v>DIAZ CASTRO MIGUEL ANGEL</v>
      </c>
      <c r="C155" s="91">
        <f>'Informe Kelly'!E148</f>
        <v>40649</v>
      </c>
      <c r="D155" s="96">
        <f t="shared" si="4"/>
        <v>77</v>
      </c>
      <c r="E155" s="85" t="str">
        <f>VLOOKUP(A155,Ingreso!K:P,6,FALSE)</f>
        <v>Turno A</v>
      </c>
      <c r="F155" s="85" t="str">
        <f>IF('Informe Kelly'!H148=$A$2,'Informe Kelly'!F148,"")</f>
        <v/>
      </c>
      <c r="G155" s="85">
        <f>IF('Informe Kelly'!H148=$A$3,'Informe Kelly'!F148,"")</f>
        <v>0.62605324074074076</v>
      </c>
      <c r="H155" s="85">
        <f>IF(C155=C153,0,IF(D155=D154,0,(HLOOKUP(C155,Ingreso!$AN$10:$AU$260,VLOOKUP(A155,Ingreso!$AL$11:$AM$260,2,FALSE)))/24))</f>
        <v>0</v>
      </c>
      <c r="I155" s="77">
        <f t="shared" si="5"/>
        <v>0</v>
      </c>
    </row>
    <row r="156" spans="1:9">
      <c r="A156" s="85" t="str">
        <f>VLOOKUP('Informe Kelly'!A149,Base!A:B,2,FALSE)</f>
        <v>08.245.727-5</v>
      </c>
      <c r="B156" s="85" t="str">
        <f>VLOOKUP('Informe Kelly'!A149,Base!A:G,7,FALSE)</f>
        <v>SALINAS CUEVAS JUAN</v>
      </c>
      <c r="C156" s="91">
        <f>'Informe Kelly'!E149</f>
        <v>40644</v>
      </c>
      <c r="D156" s="96">
        <f t="shared" si="4"/>
        <v>78</v>
      </c>
      <c r="E156" s="85" t="str">
        <f>VLOOKUP(A156,Ingreso!K:P,6,FALSE)</f>
        <v>Turno A</v>
      </c>
      <c r="F156" s="85">
        <f>IF('Informe Kelly'!H149=$A$2,'Informe Kelly'!F149,"")</f>
        <v>0.29496527777777776</v>
      </c>
      <c r="G156" s="85" t="str">
        <f>IF('Informe Kelly'!H149=$A$3,'Informe Kelly'!F149,"")</f>
        <v/>
      </c>
      <c r="H156" s="85">
        <f>IF(C156=C154,0,IF(D156=D155,0,(HLOOKUP(C156,Ingreso!$AN$10:$AU$260,VLOOKUP(A156,Ingreso!$AL$11:$AM$260,2,FALSE)))/24))</f>
        <v>0</v>
      </c>
      <c r="I156" s="77">
        <f t="shared" si="5"/>
        <v>0.3125</v>
      </c>
    </row>
    <row r="157" spans="1:9">
      <c r="A157" s="85" t="str">
        <f>VLOOKUP('Informe Kelly'!A150,Base!A:B,2,FALSE)</f>
        <v>08.245.727-5</v>
      </c>
      <c r="B157" s="85" t="str">
        <f>VLOOKUP('Informe Kelly'!A150,Base!A:G,7,FALSE)</f>
        <v>SALINAS CUEVAS JUAN</v>
      </c>
      <c r="C157" s="91">
        <f>'Informe Kelly'!E150</f>
        <v>40644</v>
      </c>
      <c r="D157" s="96">
        <f t="shared" si="4"/>
        <v>78</v>
      </c>
      <c r="E157" s="85" t="str">
        <f>VLOOKUP(A157,Ingreso!K:P,6,FALSE)</f>
        <v>Turno A</v>
      </c>
      <c r="F157" s="85" t="str">
        <f>IF('Informe Kelly'!H150=$A$2,'Informe Kelly'!F150,"")</f>
        <v/>
      </c>
      <c r="G157" s="85">
        <f>IF('Informe Kelly'!H150=$A$3,'Informe Kelly'!F150,"")</f>
        <v>0.63892361111111107</v>
      </c>
      <c r="H157" s="85">
        <f>IF(C157=C155,0,IF(D157=D156,0,(HLOOKUP(C157,Ingreso!$AN$10:$AU$260,VLOOKUP(A157,Ingreso!$AL$11:$AM$260,2,FALSE)))/24))</f>
        <v>0</v>
      </c>
      <c r="I157" s="77">
        <f t="shared" si="5"/>
        <v>0</v>
      </c>
    </row>
    <row r="158" spans="1:9">
      <c r="A158" s="85" t="str">
        <f>VLOOKUP('Informe Kelly'!A151,Base!A:B,2,FALSE)</f>
        <v>08.245.727-5</v>
      </c>
      <c r="B158" s="85" t="str">
        <f>VLOOKUP('Informe Kelly'!A151,Base!A:G,7,FALSE)</f>
        <v>SALINAS CUEVAS JUAN</v>
      </c>
      <c r="C158" s="91">
        <f>'Informe Kelly'!E151</f>
        <v>40645</v>
      </c>
      <c r="D158" s="96">
        <f t="shared" si="4"/>
        <v>79</v>
      </c>
      <c r="E158" s="85" t="str">
        <f>VLOOKUP(A158,Ingreso!K:P,6,FALSE)</f>
        <v>Turno A</v>
      </c>
      <c r="F158" s="85">
        <f>IF('Informe Kelly'!H151=$A$2,'Informe Kelly'!F151,"")</f>
        <v>0.29468749999999999</v>
      </c>
      <c r="G158" s="85" t="str">
        <f>IF('Informe Kelly'!H151=$A$3,'Informe Kelly'!F151,"")</f>
        <v/>
      </c>
      <c r="H158" s="85">
        <f>IF(C158=C156,0,IF(D158=D157,0,(HLOOKUP(C158,Ingreso!$AN$10:$AU$260,VLOOKUP(A158,Ingreso!$AL$11:$AM$260,2,FALSE)))/24))</f>
        <v>0</v>
      </c>
      <c r="I158" s="77">
        <f t="shared" si="5"/>
        <v>0.3125</v>
      </c>
    </row>
    <row r="159" spans="1:9">
      <c r="A159" s="85" t="str">
        <f>VLOOKUP('Informe Kelly'!A152,Base!A:B,2,FALSE)</f>
        <v>08.245.727-5</v>
      </c>
      <c r="B159" s="85" t="str">
        <f>VLOOKUP('Informe Kelly'!A152,Base!A:G,7,FALSE)</f>
        <v>SALINAS CUEVAS JUAN</v>
      </c>
      <c r="C159" s="91">
        <f>'Informe Kelly'!E152</f>
        <v>40645</v>
      </c>
      <c r="D159" s="96">
        <f t="shared" si="4"/>
        <v>79</v>
      </c>
      <c r="E159" s="85" t="str">
        <f>VLOOKUP(A159,Ingreso!K:P,6,FALSE)</f>
        <v>Turno A</v>
      </c>
      <c r="F159" s="85" t="str">
        <f>IF('Informe Kelly'!H152=$A$2,'Informe Kelly'!F152,"")</f>
        <v/>
      </c>
      <c r="G159" s="85">
        <f>IF('Informe Kelly'!H152=$A$3,'Informe Kelly'!F152,"")</f>
        <v>0.63606481481481481</v>
      </c>
      <c r="H159" s="85">
        <f>IF(C159=C157,0,IF(D159=D158,0,(HLOOKUP(C159,Ingreso!$AN$10:$AU$260,VLOOKUP(A159,Ingreso!$AL$11:$AM$260,2,FALSE)))/24))</f>
        <v>0</v>
      </c>
      <c r="I159" s="77">
        <f t="shared" si="5"/>
        <v>0</v>
      </c>
    </row>
    <row r="160" spans="1:9">
      <c r="A160" s="85" t="str">
        <f>VLOOKUP('Informe Kelly'!A153,Base!A:B,2,FALSE)</f>
        <v>08.245.727-5</v>
      </c>
      <c r="B160" s="85" t="str">
        <f>VLOOKUP('Informe Kelly'!A153,Base!A:G,7,FALSE)</f>
        <v>SALINAS CUEVAS JUAN</v>
      </c>
      <c r="C160" s="91">
        <f>'Informe Kelly'!E153</f>
        <v>40646</v>
      </c>
      <c r="D160" s="96">
        <f t="shared" si="4"/>
        <v>80</v>
      </c>
      <c r="E160" s="85" t="str">
        <f>VLOOKUP(A160,Ingreso!K:P,6,FALSE)</f>
        <v>Turno A</v>
      </c>
      <c r="F160" s="85">
        <f>IF('Informe Kelly'!H153=$A$2,'Informe Kelly'!F153,"")</f>
        <v>0.29421296296296295</v>
      </c>
      <c r="G160" s="85" t="str">
        <f>IF('Informe Kelly'!H153=$A$3,'Informe Kelly'!F153,"")</f>
        <v/>
      </c>
      <c r="H160" s="85">
        <f>IF(C160=C158,0,IF(D160=D159,0,(HLOOKUP(C160,Ingreso!$AN$10:$AU$260,VLOOKUP(A160,Ingreso!$AL$11:$AM$260,2,FALSE)))/24))</f>
        <v>0</v>
      </c>
      <c r="I160" s="77">
        <f t="shared" si="5"/>
        <v>0.3125</v>
      </c>
    </row>
    <row r="161" spans="1:9">
      <c r="A161" s="85" t="str">
        <f>VLOOKUP('Informe Kelly'!A154,Base!A:B,2,FALSE)</f>
        <v>08.245.727-5</v>
      </c>
      <c r="B161" s="85" t="str">
        <f>VLOOKUP('Informe Kelly'!A154,Base!A:G,7,FALSE)</f>
        <v>SALINAS CUEVAS JUAN</v>
      </c>
      <c r="C161" s="91">
        <f>'Informe Kelly'!E154</f>
        <v>40646</v>
      </c>
      <c r="D161" s="96">
        <f t="shared" si="4"/>
        <v>80</v>
      </c>
      <c r="E161" s="85" t="str">
        <f>VLOOKUP(A161,Ingreso!K:P,6,FALSE)</f>
        <v>Turno A</v>
      </c>
      <c r="F161" s="85" t="str">
        <f>IF('Informe Kelly'!H154=$A$2,'Informe Kelly'!F154,"")</f>
        <v/>
      </c>
      <c r="G161" s="85">
        <f>IF('Informe Kelly'!H154=$A$3,'Informe Kelly'!F154,"")</f>
        <v>0.65966435185185179</v>
      </c>
      <c r="H161" s="85">
        <f>IF(C161=C159,0,IF(D161=D160,0,(HLOOKUP(C161,Ingreso!$AN$10:$AU$260,VLOOKUP(A161,Ingreso!$AL$11:$AM$260,2,FALSE)))/24))</f>
        <v>0</v>
      </c>
      <c r="I161" s="77">
        <f t="shared" si="5"/>
        <v>0</v>
      </c>
    </row>
    <row r="162" spans="1:9">
      <c r="A162" s="85" t="str">
        <f>VLOOKUP('Informe Kelly'!A155,Base!A:B,2,FALSE)</f>
        <v>08.245.727-5</v>
      </c>
      <c r="B162" s="85" t="str">
        <f>VLOOKUP('Informe Kelly'!A155,Base!A:G,7,FALSE)</f>
        <v>SALINAS CUEVAS JUAN</v>
      </c>
      <c r="C162" s="91">
        <f>'Informe Kelly'!E155</f>
        <v>40647</v>
      </c>
      <c r="D162" s="96">
        <f t="shared" si="4"/>
        <v>81</v>
      </c>
      <c r="E162" s="85" t="str">
        <f>VLOOKUP(A162,Ingreso!K:P,6,FALSE)</f>
        <v>Turno A</v>
      </c>
      <c r="F162" s="85">
        <f>IF('Informe Kelly'!H155=$A$2,'Informe Kelly'!F155,"")</f>
        <v>0.29366898148148152</v>
      </c>
      <c r="G162" s="85" t="str">
        <f>IF('Informe Kelly'!H155=$A$3,'Informe Kelly'!F155,"")</f>
        <v/>
      </c>
      <c r="H162" s="85">
        <f>IF(C162=C160,0,IF(D162=D161,0,(HLOOKUP(C162,Ingreso!$AN$10:$AU$260,VLOOKUP(A162,Ingreso!$AL$11:$AM$260,2,FALSE)))/24))</f>
        <v>0</v>
      </c>
      <c r="I162" s="77">
        <f t="shared" si="5"/>
        <v>0.3125</v>
      </c>
    </row>
    <row r="163" spans="1:9">
      <c r="A163" s="85" t="str">
        <f>VLOOKUP('Informe Kelly'!A156,Base!A:B,2,FALSE)</f>
        <v>08.245.727-5</v>
      </c>
      <c r="B163" s="85" t="str">
        <f>VLOOKUP('Informe Kelly'!A156,Base!A:G,7,FALSE)</f>
        <v>SALINAS CUEVAS JUAN</v>
      </c>
      <c r="C163" s="91">
        <f>'Informe Kelly'!E156</f>
        <v>40647</v>
      </c>
      <c r="D163" s="96">
        <f t="shared" si="4"/>
        <v>81</v>
      </c>
      <c r="E163" s="85" t="str">
        <f>VLOOKUP(A163,Ingreso!K:P,6,FALSE)</f>
        <v>Turno A</v>
      </c>
      <c r="F163" s="85" t="str">
        <f>IF('Informe Kelly'!H156=$A$2,'Informe Kelly'!F156,"")</f>
        <v/>
      </c>
      <c r="G163" s="85">
        <f>IF('Informe Kelly'!H156=$A$3,'Informe Kelly'!F156,"")</f>
        <v>0.63605324074074077</v>
      </c>
      <c r="H163" s="85">
        <f>IF(C163=C161,0,IF(D163=D162,0,(HLOOKUP(C163,Ingreso!$AN$10:$AU$260,VLOOKUP(A163,Ingreso!$AL$11:$AM$260,2,FALSE)))/24))</f>
        <v>0</v>
      </c>
      <c r="I163" s="77">
        <f t="shared" si="5"/>
        <v>0</v>
      </c>
    </row>
    <row r="164" spans="1:9">
      <c r="A164" s="85" t="str">
        <f>VLOOKUP('Informe Kelly'!A157,Base!A:B,2,FALSE)</f>
        <v>08.245.727-5</v>
      </c>
      <c r="B164" s="85" t="str">
        <f>VLOOKUP('Informe Kelly'!A157,Base!A:G,7,FALSE)</f>
        <v>SALINAS CUEVAS JUAN</v>
      </c>
      <c r="C164" s="91">
        <f>'Informe Kelly'!E157</f>
        <v>40648</v>
      </c>
      <c r="D164" s="96">
        <f t="shared" si="4"/>
        <v>82</v>
      </c>
      <c r="E164" s="85" t="str">
        <f>VLOOKUP(A164,Ingreso!K:P,6,FALSE)</f>
        <v>Turno A</v>
      </c>
      <c r="F164" s="85" t="str">
        <f>IF('Informe Kelly'!H157=$A$2,'Informe Kelly'!F157,"")</f>
        <v/>
      </c>
      <c r="G164" s="85">
        <f>IF('Informe Kelly'!H157=$A$3,'Informe Kelly'!F157,"")</f>
        <v>0.63863425925925921</v>
      </c>
      <c r="H164" s="85">
        <f>IF(C164=C162,0,IF(D164=D163,0,(HLOOKUP(C164,Ingreso!$AN$10:$AU$260,VLOOKUP(A164,Ingreso!$AL$11:$AM$260,2,FALSE)))/24))</f>
        <v>0</v>
      </c>
      <c r="I164" s="77">
        <f t="shared" si="5"/>
        <v>0.3125</v>
      </c>
    </row>
    <row r="165" spans="1:9">
      <c r="A165" s="85" t="str">
        <f>VLOOKUP('Informe Kelly'!A158,Base!A:B,2,FALSE)</f>
        <v>08.245.727-5</v>
      </c>
      <c r="B165" s="85" t="str">
        <f>VLOOKUP('Informe Kelly'!A158,Base!A:G,7,FALSE)</f>
        <v>SALINAS CUEVAS JUAN</v>
      </c>
      <c r="C165" s="91">
        <f>'Informe Kelly'!E158</f>
        <v>40648</v>
      </c>
      <c r="D165" s="96">
        <f t="shared" si="4"/>
        <v>82</v>
      </c>
      <c r="E165" s="85" t="str">
        <f>VLOOKUP(A165,Ingreso!K:P,6,FALSE)</f>
        <v>Turno A</v>
      </c>
      <c r="F165" s="85">
        <f>IF('Informe Kelly'!H158=$A$2,'Informe Kelly'!F158,"")</f>
        <v>0.29487268518518517</v>
      </c>
      <c r="G165" s="85" t="str">
        <f>IF('Informe Kelly'!H158=$A$3,'Informe Kelly'!F158,"")</f>
        <v/>
      </c>
      <c r="H165" s="85">
        <f>IF(C165=C163,0,IF(D165=D164,0,(HLOOKUP(C165,Ingreso!$AN$10:$AU$260,VLOOKUP(A165,Ingreso!$AL$11:$AM$260,2,FALSE)))/24))</f>
        <v>0</v>
      </c>
      <c r="I165" s="77">
        <f t="shared" si="5"/>
        <v>0</v>
      </c>
    </row>
    <row r="166" spans="1:9">
      <c r="A166" s="85" t="str">
        <f>VLOOKUP('Informe Kelly'!A159,Base!A:B,2,FALSE)</f>
        <v>08.245.727-5</v>
      </c>
      <c r="B166" s="85" t="str">
        <f>VLOOKUP('Informe Kelly'!A159,Base!A:G,7,FALSE)</f>
        <v>SALINAS CUEVAS JUAN</v>
      </c>
      <c r="C166" s="91">
        <f>'Informe Kelly'!E159</f>
        <v>40649</v>
      </c>
      <c r="D166" s="96">
        <f t="shared" si="4"/>
        <v>83</v>
      </c>
      <c r="E166" s="85" t="str">
        <f>VLOOKUP(A166,Ingreso!K:P,6,FALSE)</f>
        <v>Turno A</v>
      </c>
      <c r="F166" s="85">
        <f>IF('Informe Kelly'!H159=$A$2,'Informe Kelly'!F159,"")</f>
        <v>0.29378472222222224</v>
      </c>
      <c r="G166" s="85" t="str">
        <f>IF('Informe Kelly'!H159=$A$3,'Informe Kelly'!F159,"")</f>
        <v/>
      </c>
      <c r="H166" s="85">
        <f>IF(C166=C164,0,IF(D166=D165,0,(HLOOKUP(C166,Ingreso!$AN$10:$AU$260,VLOOKUP(A166,Ingreso!$AL$11:$AM$260,2,FALSE)))/24))</f>
        <v>0</v>
      </c>
      <c r="I166" s="77">
        <f t="shared" si="5"/>
        <v>0.3125</v>
      </c>
    </row>
    <row r="167" spans="1:9">
      <c r="A167" s="85" t="str">
        <f>VLOOKUP('Informe Kelly'!A160,Base!A:B,2,FALSE)</f>
        <v>08.245.727-5</v>
      </c>
      <c r="B167" s="85" t="str">
        <f>VLOOKUP('Informe Kelly'!A160,Base!A:G,7,FALSE)</f>
        <v>SALINAS CUEVAS JUAN</v>
      </c>
      <c r="C167" s="91">
        <f>'Informe Kelly'!E160</f>
        <v>40649</v>
      </c>
      <c r="D167" s="96">
        <f t="shared" si="4"/>
        <v>83</v>
      </c>
      <c r="E167" s="85" t="str">
        <f>VLOOKUP(A167,Ingreso!K:P,6,FALSE)</f>
        <v>Turno A</v>
      </c>
      <c r="F167" s="85" t="str">
        <f>IF('Informe Kelly'!H160=$A$2,'Informe Kelly'!F160,"")</f>
        <v/>
      </c>
      <c r="G167" s="85">
        <f>IF('Informe Kelly'!H160=$A$3,'Informe Kelly'!F160,"")</f>
        <v>0.65144675925925932</v>
      </c>
      <c r="H167" s="85">
        <f>IF(C167=C165,0,IF(D167=D166,0,(HLOOKUP(C167,Ingreso!$AN$10:$AU$260,VLOOKUP(A167,Ingreso!$AL$11:$AM$260,2,FALSE)))/24))</f>
        <v>0</v>
      </c>
      <c r="I167" s="77">
        <f t="shared" si="5"/>
        <v>0</v>
      </c>
    </row>
    <row r="168" spans="1:9">
      <c r="A168" s="85" t="str">
        <f>VLOOKUP('Informe Kelly'!A161,Base!A:B,2,FALSE)</f>
        <v>08.245.727-5</v>
      </c>
      <c r="B168" s="85" t="str">
        <f>VLOOKUP('Informe Kelly'!A161,Base!A:G,7,FALSE)</f>
        <v>SALINAS CUEVAS JUAN</v>
      </c>
      <c r="C168" s="91">
        <f>'Informe Kelly'!E161</f>
        <v>40650</v>
      </c>
      <c r="D168" s="96">
        <f t="shared" si="4"/>
        <v>84</v>
      </c>
      <c r="E168" s="85" t="str">
        <f>VLOOKUP(A168,Ingreso!K:P,6,FALSE)</f>
        <v>Turno A</v>
      </c>
      <c r="F168" s="85">
        <f>IF('Informe Kelly'!H161=$A$2,'Informe Kelly'!F161,"")</f>
        <v>0.99206018518518524</v>
      </c>
      <c r="G168" s="85" t="str">
        <f>IF('Informe Kelly'!H161=$A$3,'Informe Kelly'!F161,"")</f>
        <v/>
      </c>
      <c r="H168" s="85">
        <f>IF(C168=C166,0,IF(D168=D167,0,(HLOOKUP(C168,Ingreso!$AN$10:$AU$260,VLOOKUP(A168,Ingreso!$AL$11:$AM$260,2,FALSE)))/24))</f>
        <v>0</v>
      </c>
      <c r="I168" s="77">
        <f t="shared" si="5"/>
        <v>0.3125</v>
      </c>
    </row>
    <row r="169" spans="1:9">
      <c r="A169" s="85" t="str">
        <f>VLOOKUP('Informe Kelly'!A162,Base!A:B,2,FALSE)</f>
        <v>08.283.277-7</v>
      </c>
      <c r="B169" s="85" t="str">
        <f>VLOOKUP('Informe Kelly'!A162,Base!A:G,7,FALSE)</f>
        <v>ARANCIBIA VILLAROEL LEONALDO ALFREDO</v>
      </c>
      <c r="C169" s="91">
        <f>'Informe Kelly'!E162</f>
        <v>40644</v>
      </c>
      <c r="D169" s="96">
        <f t="shared" si="4"/>
        <v>85</v>
      </c>
      <c r="E169" s="85" t="str">
        <f>VLOOKUP(A169,Ingreso!K:P,6,FALSE)</f>
        <v>Admin</v>
      </c>
      <c r="F169" s="85">
        <f>IF('Informe Kelly'!H162=$A$2,'Informe Kelly'!F162,"")</f>
        <v>0.29282407407407407</v>
      </c>
      <c r="G169" s="85" t="str">
        <f>IF('Informe Kelly'!H162=$A$3,'Informe Kelly'!F162,"")</f>
        <v/>
      </c>
      <c r="H169" s="85">
        <f>IF(C169=C167,0,IF(D169=D168,0,(HLOOKUP(C169,Ingreso!$AN$10:$AU$260,VLOOKUP(A169,Ingreso!$AL$11:$AM$260,2,FALSE)))/24))</f>
        <v>0</v>
      </c>
      <c r="I169" s="77">
        <f t="shared" si="5"/>
        <v>0.41666666666666669</v>
      </c>
    </row>
    <row r="170" spans="1:9">
      <c r="A170" s="85" t="str">
        <f>VLOOKUP('Informe Kelly'!A163,Base!A:B,2,FALSE)</f>
        <v>08.283.277-7</v>
      </c>
      <c r="B170" s="85" t="str">
        <f>VLOOKUP('Informe Kelly'!A163,Base!A:G,7,FALSE)</f>
        <v>ARANCIBIA VILLAROEL LEONALDO ALFREDO</v>
      </c>
      <c r="C170" s="91">
        <f>'Informe Kelly'!E163</f>
        <v>40644</v>
      </c>
      <c r="D170" s="96">
        <f t="shared" si="4"/>
        <v>85</v>
      </c>
      <c r="E170" s="85" t="str">
        <f>VLOOKUP(A170,Ingreso!K:P,6,FALSE)</f>
        <v>Admin</v>
      </c>
      <c r="F170" s="85" t="str">
        <f>IF('Informe Kelly'!H163=$A$2,'Informe Kelly'!F163,"")</f>
        <v/>
      </c>
      <c r="G170" s="85">
        <f>IF('Informe Kelly'!H163=$A$3,'Informe Kelly'!F163,"")</f>
        <v>0.63289351851851849</v>
      </c>
      <c r="H170" s="85">
        <f>IF(C170=C168,0,IF(D170=D169,0,(HLOOKUP(C170,Ingreso!$AN$10:$AU$260,VLOOKUP(A170,Ingreso!$AL$11:$AM$260,2,FALSE)))/24))</f>
        <v>0</v>
      </c>
      <c r="I170" s="77">
        <f t="shared" si="5"/>
        <v>0</v>
      </c>
    </row>
    <row r="171" spans="1:9">
      <c r="A171" s="85" t="str">
        <f>VLOOKUP('Informe Kelly'!A164,Base!A:B,2,FALSE)</f>
        <v>08.283.277-7</v>
      </c>
      <c r="B171" s="85" t="str">
        <f>VLOOKUP('Informe Kelly'!A164,Base!A:G,7,FALSE)</f>
        <v>ARANCIBIA VILLAROEL LEONALDO ALFREDO</v>
      </c>
      <c r="C171" s="91">
        <f>'Informe Kelly'!E164</f>
        <v>40645</v>
      </c>
      <c r="D171" s="96">
        <f t="shared" si="4"/>
        <v>86</v>
      </c>
      <c r="E171" s="85" t="str">
        <f>VLOOKUP(A171,Ingreso!K:P,6,FALSE)</f>
        <v>Admin</v>
      </c>
      <c r="F171" s="85">
        <f>IF('Informe Kelly'!H164=$A$2,'Informe Kelly'!F164,"")</f>
        <v>0.29243055555555558</v>
      </c>
      <c r="G171" s="85" t="str">
        <f>IF('Informe Kelly'!H164=$A$3,'Informe Kelly'!F164,"")</f>
        <v/>
      </c>
      <c r="H171" s="85">
        <f>IF(C171=C169,0,IF(D171=D170,0,(HLOOKUP(C171,Ingreso!$AN$10:$AU$260,VLOOKUP(A171,Ingreso!$AL$11:$AM$260,2,FALSE)))/24))</f>
        <v>8.3333333333333329E-2</v>
      </c>
      <c r="I171" s="77">
        <f t="shared" si="5"/>
        <v>0.41666666666666669</v>
      </c>
    </row>
    <row r="172" spans="1:9">
      <c r="A172" s="85" t="str">
        <f>VLOOKUP('Informe Kelly'!A165,Base!A:B,2,FALSE)</f>
        <v>08.283.277-7</v>
      </c>
      <c r="B172" s="85" t="str">
        <f>VLOOKUP('Informe Kelly'!A165,Base!A:G,7,FALSE)</f>
        <v>ARANCIBIA VILLAROEL LEONALDO ALFREDO</v>
      </c>
      <c r="C172" s="91">
        <f>'Informe Kelly'!E165</f>
        <v>40645</v>
      </c>
      <c r="D172" s="96">
        <f t="shared" si="4"/>
        <v>86</v>
      </c>
      <c r="E172" s="85" t="str">
        <f>VLOOKUP(A172,Ingreso!K:P,6,FALSE)</f>
        <v>Admin</v>
      </c>
      <c r="F172" s="85" t="str">
        <f>IF('Informe Kelly'!H165=$A$2,'Informe Kelly'!F165,"")</f>
        <v/>
      </c>
      <c r="G172" s="85">
        <f>IF('Informe Kelly'!H165=$A$3,'Informe Kelly'!F165,"")</f>
        <v>0.72296296296296303</v>
      </c>
      <c r="H172" s="85">
        <f>IF(C172=C170,0,IF(D172=D171,0,(HLOOKUP(C172,Ingreso!$AN$10:$AU$260,VLOOKUP(A172,Ingreso!$AL$11:$AM$260,2,FALSE)))/24))</f>
        <v>0</v>
      </c>
      <c r="I172" s="77">
        <f t="shared" si="5"/>
        <v>0</v>
      </c>
    </row>
    <row r="173" spans="1:9">
      <c r="A173" s="85" t="str">
        <f>VLOOKUP('Informe Kelly'!A166,Base!A:B,2,FALSE)</f>
        <v>08.283.277-7</v>
      </c>
      <c r="B173" s="85" t="str">
        <f>VLOOKUP('Informe Kelly'!A166,Base!A:G,7,FALSE)</f>
        <v>ARANCIBIA VILLAROEL LEONALDO ALFREDO</v>
      </c>
      <c r="C173" s="91">
        <f>'Informe Kelly'!E166</f>
        <v>40646</v>
      </c>
      <c r="D173" s="96">
        <f t="shared" si="4"/>
        <v>87</v>
      </c>
      <c r="E173" s="85" t="str">
        <f>VLOOKUP(A173,Ingreso!K:P,6,FALSE)</f>
        <v>Admin</v>
      </c>
      <c r="F173" s="85">
        <f>IF('Informe Kelly'!H166=$A$2,'Informe Kelly'!F166,"")</f>
        <v>0.30400462962962965</v>
      </c>
      <c r="G173" s="85" t="str">
        <f>IF('Informe Kelly'!H166=$A$3,'Informe Kelly'!F166,"")</f>
        <v/>
      </c>
      <c r="H173" s="85">
        <f>IF(C173=C171,0,IF(D173=D172,0,(HLOOKUP(C173,Ingreso!$AN$10:$AU$260,VLOOKUP(A173,Ingreso!$AL$11:$AM$260,2,FALSE)))/24))</f>
        <v>8.3333333333333329E-2</v>
      </c>
      <c r="I173" s="77">
        <f t="shared" si="5"/>
        <v>0.41666666666666669</v>
      </c>
    </row>
    <row r="174" spans="1:9">
      <c r="A174" s="85" t="str">
        <f>VLOOKUP('Informe Kelly'!A167,Base!A:B,2,FALSE)</f>
        <v>08.283.277-7</v>
      </c>
      <c r="B174" s="85" t="str">
        <f>VLOOKUP('Informe Kelly'!A167,Base!A:G,7,FALSE)</f>
        <v>ARANCIBIA VILLAROEL LEONALDO ALFREDO</v>
      </c>
      <c r="C174" s="91">
        <f>'Informe Kelly'!E167</f>
        <v>40646</v>
      </c>
      <c r="D174" s="96">
        <f t="shared" si="4"/>
        <v>87</v>
      </c>
      <c r="E174" s="85" t="str">
        <f>VLOOKUP(A174,Ingreso!K:P,6,FALSE)</f>
        <v>Admin</v>
      </c>
      <c r="F174" s="85" t="str">
        <f>IF('Informe Kelly'!H167=$A$2,'Informe Kelly'!F167,"")</f>
        <v/>
      </c>
      <c r="G174" s="85">
        <f>IF('Informe Kelly'!H167=$A$3,'Informe Kelly'!F167,"")</f>
        <v>0.73630787037037038</v>
      </c>
      <c r="H174" s="85">
        <f>IF(C174=C172,0,IF(D174=D173,0,(HLOOKUP(C174,Ingreso!$AN$10:$AU$260,VLOOKUP(A174,Ingreso!$AL$11:$AM$260,2,FALSE)))/24))</f>
        <v>0</v>
      </c>
      <c r="I174" s="77">
        <f t="shared" si="5"/>
        <v>0</v>
      </c>
    </row>
    <row r="175" spans="1:9">
      <c r="A175" s="85" t="str">
        <f>VLOOKUP('Informe Kelly'!A168,Base!A:B,2,FALSE)</f>
        <v>08.283.277-7</v>
      </c>
      <c r="B175" s="85" t="str">
        <f>VLOOKUP('Informe Kelly'!A168,Base!A:G,7,FALSE)</f>
        <v>ARANCIBIA VILLAROEL LEONALDO ALFREDO</v>
      </c>
      <c r="C175" s="91">
        <f>'Informe Kelly'!E168</f>
        <v>40647</v>
      </c>
      <c r="D175" s="96">
        <f t="shared" si="4"/>
        <v>88</v>
      </c>
      <c r="E175" s="85" t="str">
        <f>VLOOKUP(A175,Ingreso!K:P,6,FALSE)</f>
        <v>Admin</v>
      </c>
      <c r="F175" s="85">
        <f>IF('Informe Kelly'!H168=$A$2,'Informe Kelly'!F168,"")</f>
        <v>0.30226851851851849</v>
      </c>
      <c r="G175" s="85" t="str">
        <f>IF('Informe Kelly'!H168=$A$3,'Informe Kelly'!F168,"")</f>
        <v/>
      </c>
      <c r="H175" s="85">
        <f>IF(C175=C173,0,IF(D175=D174,0,(HLOOKUP(C175,Ingreso!$AN$10:$AU$260,VLOOKUP(A175,Ingreso!$AL$11:$AM$260,2,FALSE)))/24))</f>
        <v>8.3333333333333329E-2</v>
      </c>
      <c r="I175" s="77">
        <f t="shared" si="5"/>
        <v>0.41666666666666669</v>
      </c>
    </row>
    <row r="176" spans="1:9">
      <c r="A176" s="85" t="str">
        <f>VLOOKUP('Informe Kelly'!A169,Base!A:B,2,FALSE)</f>
        <v>08.283.277-7</v>
      </c>
      <c r="B176" s="85" t="str">
        <f>VLOOKUP('Informe Kelly'!A169,Base!A:G,7,FALSE)</f>
        <v>ARANCIBIA VILLAROEL LEONALDO ALFREDO</v>
      </c>
      <c r="C176" s="91">
        <f>'Informe Kelly'!E169</f>
        <v>40647</v>
      </c>
      <c r="D176" s="96">
        <f t="shared" si="4"/>
        <v>88</v>
      </c>
      <c r="E176" s="85" t="str">
        <f>VLOOKUP(A176,Ingreso!K:P,6,FALSE)</f>
        <v>Admin</v>
      </c>
      <c r="F176" s="85" t="str">
        <f>IF('Informe Kelly'!H169=$A$2,'Informe Kelly'!F169,"")</f>
        <v/>
      </c>
      <c r="G176" s="85">
        <f>IF('Informe Kelly'!H169=$A$3,'Informe Kelly'!F169,"")</f>
        <v>0.73649305555555555</v>
      </c>
      <c r="H176" s="85">
        <f>IF(C176=C174,0,IF(D176=D175,0,(HLOOKUP(C176,Ingreso!$AN$10:$AU$260,VLOOKUP(A176,Ingreso!$AL$11:$AM$260,2,FALSE)))/24))</f>
        <v>0</v>
      </c>
      <c r="I176" s="77">
        <f t="shared" si="5"/>
        <v>0</v>
      </c>
    </row>
    <row r="177" spans="1:9">
      <c r="A177" s="85" t="str">
        <f>VLOOKUP('Informe Kelly'!A170,Base!A:B,2,FALSE)</f>
        <v>08.283.277-7</v>
      </c>
      <c r="B177" s="85" t="str">
        <f>VLOOKUP('Informe Kelly'!A170,Base!A:G,7,FALSE)</f>
        <v>ARANCIBIA VILLAROEL LEONALDO ALFREDO</v>
      </c>
      <c r="C177" s="91">
        <f>'Informe Kelly'!E170</f>
        <v>40648</v>
      </c>
      <c r="D177" s="96">
        <f t="shared" si="4"/>
        <v>89</v>
      </c>
      <c r="E177" s="85" t="str">
        <f>VLOOKUP(A177,Ingreso!K:P,6,FALSE)</f>
        <v>Admin</v>
      </c>
      <c r="F177" s="85">
        <f>IF('Informe Kelly'!H170=$A$2,'Informe Kelly'!F170,"")</f>
        <v>0.29395833333333332</v>
      </c>
      <c r="G177" s="85" t="str">
        <f>IF('Informe Kelly'!H170=$A$3,'Informe Kelly'!F170,"")</f>
        <v/>
      </c>
      <c r="H177" s="85">
        <f>IF(C177=C175,0,IF(D177=D176,0,(HLOOKUP(C177,Ingreso!$AN$10:$AU$260,VLOOKUP(A177,Ingreso!$AL$11:$AM$260,2,FALSE)))/24))</f>
        <v>8.3333333333333329E-2</v>
      </c>
      <c r="I177" s="77">
        <f t="shared" si="5"/>
        <v>0.41666666666666669</v>
      </c>
    </row>
    <row r="178" spans="1:9">
      <c r="A178" s="85" t="str">
        <f>VLOOKUP('Informe Kelly'!A171,Base!A:B,2,FALSE)</f>
        <v>08.283.277-7</v>
      </c>
      <c r="B178" s="85" t="str">
        <f>VLOOKUP('Informe Kelly'!A171,Base!A:G,7,FALSE)</f>
        <v>ARANCIBIA VILLAROEL LEONALDO ALFREDO</v>
      </c>
      <c r="C178" s="91">
        <f>'Informe Kelly'!E171</f>
        <v>40648</v>
      </c>
      <c r="D178" s="96">
        <f t="shared" si="4"/>
        <v>89</v>
      </c>
      <c r="E178" s="85" t="str">
        <f>VLOOKUP(A178,Ingreso!K:P,6,FALSE)</f>
        <v>Admin</v>
      </c>
      <c r="F178" s="85" t="str">
        <f>IF('Informe Kelly'!H171=$A$2,'Informe Kelly'!F171,"")</f>
        <v/>
      </c>
      <c r="G178" s="85">
        <f>IF('Informe Kelly'!H171=$A$3,'Informe Kelly'!F171,"")</f>
        <v>0.72584490740740737</v>
      </c>
      <c r="H178" s="85">
        <f>IF(C178=C176,0,IF(D178=D177,0,(HLOOKUP(C178,Ingreso!$AN$10:$AU$260,VLOOKUP(A178,Ingreso!$AL$11:$AM$260,2,FALSE)))/24))</f>
        <v>0</v>
      </c>
      <c r="I178" s="77">
        <f t="shared" si="5"/>
        <v>0</v>
      </c>
    </row>
    <row r="179" spans="1:9">
      <c r="A179" s="85" t="str">
        <f>VLOOKUP('Informe Kelly'!A172,Base!A:B,2,FALSE)</f>
        <v>08.283.277-7</v>
      </c>
      <c r="B179" s="85" t="str">
        <f>VLOOKUP('Informe Kelly'!A172,Base!A:G,7,FALSE)</f>
        <v>ARANCIBIA VILLAROEL LEONALDO ALFREDO</v>
      </c>
      <c r="C179" s="91">
        <f>'Informe Kelly'!E172</f>
        <v>40649</v>
      </c>
      <c r="D179" s="96">
        <f t="shared" si="4"/>
        <v>90</v>
      </c>
      <c r="E179" s="85" t="str">
        <f>VLOOKUP(A179,Ingreso!K:P,6,FALSE)</f>
        <v>Admin</v>
      </c>
      <c r="F179" s="85" t="str">
        <f>IF('Informe Kelly'!H172=$A$2,'Informe Kelly'!F172,"")</f>
        <v/>
      </c>
      <c r="G179" s="85">
        <f>IF('Informe Kelly'!H172=$A$3,'Informe Kelly'!F172,"")</f>
        <v>0.63160879629629629</v>
      </c>
      <c r="H179" s="85">
        <f>IF(C179=C177,0,IF(D179=D178,0,(HLOOKUP(C179,Ingreso!$AN$10:$AU$260,VLOOKUP(A179,Ingreso!$AL$11:$AM$260,2,FALSE)))/24))</f>
        <v>0</v>
      </c>
      <c r="I179" s="77">
        <f t="shared" si="5"/>
        <v>0.41666666666666669</v>
      </c>
    </row>
    <row r="180" spans="1:9">
      <c r="A180" s="85" t="str">
        <f>VLOOKUP('Informe Kelly'!A173,Base!A:B,2,FALSE)</f>
        <v>08.283.277-7</v>
      </c>
      <c r="B180" s="85" t="str">
        <f>VLOOKUP('Informe Kelly'!A173,Base!A:G,7,FALSE)</f>
        <v>ARANCIBIA VILLAROEL LEONALDO ALFREDO</v>
      </c>
      <c r="C180" s="91">
        <f>'Informe Kelly'!E173</f>
        <v>40649</v>
      </c>
      <c r="D180" s="96">
        <f t="shared" si="4"/>
        <v>90</v>
      </c>
      <c r="E180" s="85" t="str">
        <f>VLOOKUP(A180,Ingreso!K:P,6,FALSE)</f>
        <v>Admin</v>
      </c>
      <c r="F180" s="85">
        <f>IF('Informe Kelly'!H173=$A$2,'Informe Kelly'!F173,"")</f>
        <v>0.29325231481481479</v>
      </c>
      <c r="G180" s="85" t="str">
        <f>IF('Informe Kelly'!H173=$A$3,'Informe Kelly'!F173,"")</f>
        <v/>
      </c>
      <c r="H180" s="85">
        <f>IF(C180=C178,0,IF(D180=D179,0,(HLOOKUP(C180,Ingreso!$AN$10:$AU$260,VLOOKUP(A180,Ingreso!$AL$11:$AM$260,2,FALSE)))/24))</f>
        <v>0</v>
      </c>
      <c r="I180" s="77">
        <f t="shared" si="5"/>
        <v>0</v>
      </c>
    </row>
    <row r="181" spans="1:9">
      <c r="A181" s="85" t="str">
        <f>VLOOKUP('Informe Kelly'!A174,Base!A:B,2,FALSE)</f>
        <v>08.454.836-7</v>
      </c>
      <c r="B181" s="85" t="str">
        <f>VLOOKUP('Informe Kelly'!A174,Base!A:G,7,FALSE)</f>
        <v>CARES LOPEZ BRIGIDA DEL CARMEN</v>
      </c>
      <c r="C181" s="91">
        <f>'Informe Kelly'!E174</f>
        <v>40644</v>
      </c>
      <c r="D181" s="96">
        <f t="shared" si="4"/>
        <v>91</v>
      </c>
      <c r="E181" s="85" t="str">
        <f>VLOOKUP(A181,Ingreso!K:P,6,FALSE)</f>
        <v>Turno B</v>
      </c>
      <c r="F181" s="85">
        <f>IF('Informe Kelly'!H174=$A$2,'Informe Kelly'!F174,"")</f>
        <v>0.60760416666666661</v>
      </c>
      <c r="G181" s="85" t="str">
        <f>IF('Informe Kelly'!H174=$A$3,'Informe Kelly'!F174,"")</f>
        <v/>
      </c>
      <c r="H181" s="85">
        <f>IF(C181=C179,0,IF(D181=D180,0,(HLOOKUP(C181,Ingreso!$AN$10:$AU$260,VLOOKUP(A181,Ingreso!$AL$11:$AM$260,2,FALSE)))/24))</f>
        <v>0</v>
      </c>
      <c r="I181" s="77">
        <f t="shared" si="5"/>
        <v>0.3125</v>
      </c>
    </row>
    <row r="182" spans="1:9">
      <c r="A182" s="85" t="str">
        <f>VLOOKUP('Informe Kelly'!A175,Base!A:B,2,FALSE)</f>
        <v>08.454.836-7</v>
      </c>
      <c r="B182" s="85" t="str">
        <f>VLOOKUP('Informe Kelly'!A175,Base!A:G,7,FALSE)</f>
        <v>CARES LOPEZ BRIGIDA DEL CARMEN</v>
      </c>
      <c r="C182" s="91">
        <f>'Informe Kelly'!E175</f>
        <v>40644</v>
      </c>
      <c r="D182" s="96">
        <f t="shared" si="4"/>
        <v>91</v>
      </c>
      <c r="E182" s="85" t="str">
        <f>VLOOKUP(A182,Ingreso!K:P,6,FALSE)</f>
        <v>Turno B</v>
      </c>
      <c r="F182" s="85" t="str">
        <f>IF('Informe Kelly'!H175=$A$2,'Informe Kelly'!F175,"")</f>
        <v/>
      </c>
      <c r="G182" s="85">
        <f>IF('Informe Kelly'!H175=$A$3,'Informe Kelly'!F175,"")</f>
        <v>0.94693287037037033</v>
      </c>
      <c r="H182" s="85">
        <f>IF(C182=C180,0,IF(D182=D181,0,(HLOOKUP(C182,Ingreso!$AN$10:$AU$260,VLOOKUP(A182,Ingreso!$AL$11:$AM$260,2,FALSE)))/24))</f>
        <v>0</v>
      </c>
      <c r="I182" s="77">
        <f t="shared" si="5"/>
        <v>0</v>
      </c>
    </row>
    <row r="183" spans="1:9">
      <c r="A183" s="85" t="str">
        <f>VLOOKUP('Informe Kelly'!A176,Base!A:B,2,FALSE)</f>
        <v>08.454.836-7</v>
      </c>
      <c r="B183" s="85" t="str">
        <f>VLOOKUP('Informe Kelly'!A176,Base!A:G,7,FALSE)</f>
        <v>CARES LOPEZ BRIGIDA DEL CARMEN</v>
      </c>
      <c r="C183" s="91">
        <f>'Informe Kelly'!E176</f>
        <v>40645</v>
      </c>
      <c r="D183" s="96">
        <f t="shared" si="4"/>
        <v>92</v>
      </c>
      <c r="E183" s="85" t="str">
        <f>VLOOKUP(A183,Ingreso!K:P,6,FALSE)</f>
        <v>Turno B</v>
      </c>
      <c r="F183" s="85">
        <f>IF('Informe Kelly'!H176=$A$2,'Informe Kelly'!F176,"")</f>
        <v>0.60501157407407413</v>
      </c>
      <c r="G183" s="85" t="str">
        <f>IF('Informe Kelly'!H176=$A$3,'Informe Kelly'!F176,"")</f>
        <v/>
      </c>
      <c r="H183" s="85">
        <f>IF(C183=C181,0,IF(D183=D182,0,(HLOOKUP(C183,Ingreso!$AN$10:$AU$260,VLOOKUP(A183,Ingreso!$AL$11:$AM$260,2,FALSE)))/24))</f>
        <v>0</v>
      </c>
      <c r="I183" s="77">
        <f t="shared" si="5"/>
        <v>0.3125</v>
      </c>
    </row>
    <row r="184" spans="1:9">
      <c r="A184" s="85" t="str">
        <f>VLOOKUP('Informe Kelly'!A177,Base!A:B,2,FALSE)</f>
        <v>08.454.836-7</v>
      </c>
      <c r="B184" s="85" t="str">
        <f>VLOOKUP('Informe Kelly'!A177,Base!A:G,7,FALSE)</f>
        <v>CARES LOPEZ BRIGIDA DEL CARMEN</v>
      </c>
      <c r="C184" s="91">
        <f>'Informe Kelly'!E177</f>
        <v>40645</v>
      </c>
      <c r="D184" s="96">
        <f t="shared" si="4"/>
        <v>92</v>
      </c>
      <c r="E184" s="85" t="str">
        <f>VLOOKUP(A184,Ingreso!K:P,6,FALSE)</f>
        <v>Turno B</v>
      </c>
      <c r="F184" s="85" t="str">
        <f>IF('Informe Kelly'!H177=$A$2,'Informe Kelly'!F177,"")</f>
        <v/>
      </c>
      <c r="G184" s="85">
        <f>IF('Informe Kelly'!H177=$A$3,'Informe Kelly'!F177,"")</f>
        <v>0.94596064814814806</v>
      </c>
      <c r="H184" s="85">
        <f>IF(C184=C182,0,IF(D184=D183,0,(HLOOKUP(C184,Ingreso!$AN$10:$AU$260,VLOOKUP(A184,Ingreso!$AL$11:$AM$260,2,FALSE)))/24))</f>
        <v>0</v>
      </c>
      <c r="I184" s="77">
        <f t="shared" si="5"/>
        <v>0</v>
      </c>
    </row>
    <row r="185" spans="1:9">
      <c r="A185" s="85" t="str">
        <f>VLOOKUP('Informe Kelly'!A178,Base!A:B,2,FALSE)</f>
        <v>08.454.836-7</v>
      </c>
      <c r="B185" s="85" t="str">
        <f>VLOOKUP('Informe Kelly'!A178,Base!A:G,7,FALSE)</f>
        <v>CARES LOPEZ BRIGIDA DEL CARMEN</v>
      </c>
      <c r="C185" s="91">
        <f>'Informe Kelly'!E178</f>
        <v>40646</v>
      </c>
      <c r="D185" s="96">
        <f t="shared" si="4"/>
        <v>93</v>
      </c>
      <c r="E185" s="85" t="str">
        <f>VLOOKUP(A185,Ingreso!K:P,6,FALSE)</f>
        <v>Turno B</v>
      </c>
      <c r="F185" s="85">
        <f>IF('Informe Kelly'!H178=$A$2,'Informe Kelly'!F178,"")</f>
        <v>0.60697916666666674</v>
      </c>
      <c r="G185" s="85" t="str">
        <f>IF('Informe Kelly'!H178=$A$3,'Informe Kelly'!F178,"")</f>
        <v/>
      </c>
      <c r="H185" s="85">
        <f>IF(C185=C183,0,IF(D185=D184,0,(HLOOKUP(C185,Ingreso!$AN$10:$AU$260,VLOOKUP(A185,Ingreso!$AL$11:$AM$260,2,FALSE)))/24))</f>
        <v>0</v>
      </c>
      <c r="I185" s="77">
        <f t="shared" si="5"/>
        <v>0.3125</v>
      </c>
    </row>
    <row r="186" spans="1:9">
      <c r="A186" s="85" t="str">
        <f>VLOOKUP('Informe Kelly'!A179,Base!A:B,2,FALSE)</f>
        <v>08.454.836-7</v>
      </c>
      <c r="B186" s="85" t="str">
        <f>VLOOKUP('Informe Kelly'!A179,Base!A:G,7,FALSE)</f>
        <v>CARES LOPEZ BRIGIDA DEL CARMEN</v>
      </c>
      <c r="C186" s="91">
        <f>'Informe Kelly'!E179</f>
        <v>40646</v>
      </c>
      <c r="D186" s="96">
        <f t="shared" si="4"/>
        <v>93</v>
      </c>
      <c r="E186" s="85" t="str">
        <f>VLOOKUP(A186,Ingreso!K:P,6,FALSE)</f>
        <v>Turno B</v>
      </c>
      <c r="F186" s="85" t="str">
        <f>IF('Informe Kelly'!H179=$A$2,'Informe Kelly'!F179,"")</f>
        <v/>
      </c>
      <c r="G186" s="85">
        <f>IF('Informe Kelly'!H179=$A$3,'Informe Kelly'!F179,"")</f>
        <v>0.94532407407407415</v>
      </c>
      <c r="H186" s="85">
        <f>IF(C186=C184,0,IF(D186=D185,0,(HLOOKUP(C186,Ingreso!$AN$10:$AU$260,VLOOKUP(A186,Ingreso!$AL$11:$AM$260,2,FALSE)))/24))</f>
        <v>0</v>
      </c>
      <c r="I186" s="77">
        <f t="shared" si="5"/>
        <v>0</v>
      </c>
    </row>
    <row r="187" spans="1:9">
      <c r="A187" s="85" t="str">
        <f>VLOOKUP('Informe Kelly'!A180,Base!A:B,2,FALSE)</f>
        <v>08.454.836-7</v>
      </c>
      <c r="B187" s="85" t="str">
        <f>VLOOKUP('Informe Kelly'!A180,Base!A:G,7,FALSE)</f>
        <v>CARES LOPEZ BRIGIDA DEL CARMEN</v>
      </c>
      <c r="C187" s="91">
        <f>'Informe Kelly'!E180</f>
        <v>40647</v>
      </c>
      <c r="D187" s="96">
        <f t="shared" si="4"/>
        <v>94</v>
      </c>
      <c r="E187" s="85" t="str">
        <f>VLOOKUP(A187,Ingreso!K:P,6,FALSE)</f>
        <v>Turno B</v>
      </c>
      <c r="F187" s="85">
        <f>IF('Informe Kelly'!H180=$A$2,'Informe Kelly'!F180,"")</f>
        <v>0.6069444444444444</v>
      </c>
      <c r="G187" s="85" t="str">
        <f>IF('Informe Kelly'!H180=$A$3,'Informe Kelly'!F180,"")</f>
        <v/>
      </c>
      <c r="H187" s="85">
        <f>IF(C187=C185,0,IF(D187=D186,0,(HLOOKUP(C187,Ingreso!$AN$10:$AU$260,VLOOKUP(A187,Ingreso!$AL$11:$AM$260,2,FALSE)))/24))</f>
        <v>0</v>
      </c>
      <c r="I187" s="77">
        <f t="shared" si="5"/>
        <v>0.3125</v>
      </c>
    </row>
    <row r="188" spans="1:9">
      <c r="A188" s="85" t="str">
        <f>VLOOKUP('Informe Kelly'!A181,Base!A:B,2,FALSE)</f>
        <v>08.454.836-7</v>
      </c>
      <c r="B188" s="85" t="str">
        <f>VLOOKUP('Informe Kelly'!A181,Base!A:G,7,FALSE)</f>
        <v>CARES LOPEZ BRIGIDA DEL CARMEN</v>
      </c>
      <c r="C188" s="91">
        <f>'Informe Kelly'!E181</f>
        <v>40647</v>
      </c>
      <c r="D188" s="96">
        <f t="shared" si="4"/>
        <v>94</v>
      </c>
      <c r="E188" s="85" t="str">
        <f>VLOOKUP(A188,Ingreso!K:P,6,FALSE)</f>
        <v>Turno B</v>
      </c>
      <c r="F188" s="85" t="str">
        <f>IF('Informe Kelly'!H181=$A$2,'Informe Kelly'!F181,"")</f>
        <v/>
      </c>
      <c r="G188" s="85">
        <f>IF('Informe Kelly'!H181=$A$3,'Informe Kelly'!F181,"")</f>
        <v>0.94960648148148152</v>
      </c>
      <c r="H188" s="85">
        <f>IF(C188=C186,0,IF(D188=D187,0,(HLOOKUP(C188,Ingreso!$AN$10:$AU$260,VLOOKUP(A188,Ingreso!$AL$11:$AM$260,2,FALSE)))/24))</f>
        <v>0</v>
      </c>
      <c r="I188" s="77">
        <f t="shared" si="5"/>
        <v>0</v>
      </c>
    </row>
    <row r="189" spans="1:9">
      <c r="A189" s="85" t="str">
        <f>VLOOKUP('Informe Kelly'!A182,Base!A:B,2,FALSE)</f>
        <v>08.454.836-7</v>
      </c>
      <c r="B189" s="85" t="str">
        <f>VLOOKUP('Informe Kelly'!A182,Base!A:G,7,FALSE)</f>
        <v>CARES LOPEZ BRIGIDA DEL CARMEN</v>
      </c>
      <c r="C189" s="91">
        <f>'Informe Kelly'!E182</f>
        <v>40648</v>
      </c>
      <c r="D189" s="96">
        <f t="shared" si="4"/>
        <v>95</v>
      </c>
      <c r="E189" s="85" t="str">
        <f>VLOOKUP(A189,Ingreso!K:P,6,FALSE)</f>
        <v>Turno B</v>
      </c>
      <c r="F189" s="85" t="str">
        <f>IF('Informe Kelly'!H182=$A$2,'Informe Kelly'!F182,"")</f>
        <v/>
      </c>
      <c r="G189" s="85">
        <f>IF('Informe Kelly'!H182=$A$3,'Informe Kelly'!F182,"")</f>
        <v>0.94833333333333336</v>
      </c>
      <c r="H189" s="85">
        <f>IF(C189=C187,0,IF(D189=D188,0,(HLOOKUP(C189,Ingreso!$AN$10:$AU$260,VLOOKUP(A189,Ingreso!$AL$11:$AM$260,2,FALSE)))/24))</f>
        <v>0</v>
      </c>
      <c r="I189" s="77">
        <f t="shared" si="5"/>
        <v>0.3125</v>
      </c>
    </row>
    <row r="190" spans="1:9">
      <c r="A190" s="85" t="str">
        <f>VLOOKUP('Informe Kelly'!A183,Base!A:B,2,FALSE)</f>
        <v>08.454.836-7</v>
      </c>
      <c r="B190" s="85" t="str">
        <f>VLOOKUP('Informe Kelly'!A183,Base!A:G,7,FALSE)</f>
        <v>CARES LOPEZ BRIGIDA DEL CARMEN</v>
      </c>
      <c r="C190" s="91">
        <f>'Informe Kelly'!E183</f>
        <v>40648</v>
      </c>
      <c r="D190" s="96">
        <f t="shared" si="4"/>
        <v>95</v>
      </c>
      <c r="E190" s="85" t="str">
        <f>VLOOKUP(A190,Ingreso!K:P,6,FALSE)</f>
        <v>Turno B</v>
      </c>
      <c r="F190" s="85">
        <f>IF('Informe Kelly'!H183=$A$2,'Informe Kelly'!F183,"")</f>
        <v>0.6065625</v>
      </c>
      <c r="G190" s="85" t="str">
        <f>IF('Informe Kelly'!H183=$A$3,'Informe Kelly'!F183,"")</f>
        <v/>
      </c>
      <c r="H190" s="85">
        <f>IF(C190=C188,0,IF(D190=D189,0,(HLOOKUP(C190,Ingreso!$AN$10:$AU$260,VLOOKUP(A190,Ingreso!$AL$11:$AM$260,2,FALSE)))/24))</f>
        <v>0</v>
      </c>
      <c r="I190" s="77">
        <f t="shared" si="5"/>
        <v>0</v>
      </c>
    </row>
    <row r="191" spans="1:9">
      <c r="A191" s="85" t="str">
        <f>VLOOKUP('Informe Kelly'!A184,Base!A:B,2,FALSE)</f>
        <v>08.454.836-7</v>
      </c>
      <c r="B191" s="85" t="str">
        <f>VLOOKUP('Informe Kelly'!A184,Base!A:G,7,FALSE)</f>
        <v>CARES LOPEZ BRIGIDA DEL CARMEN</v>
      </c>
      <c r="C191" s="91">
        <f>'Informe Kelly'!E184</f>
        <v>40649</v>
      </c>
      <c r="D191" s="96">
        <f t="shared" si="4"/>
        <v>96</v>
      </c>
      <c r="E191" s="85" t="str">
        <f>VLOOKUP(A191,Ingreso!K:P,6,FALSE)</f>
        <v>Turno B</v>
      </c>
      <c r="F191" s="85">
        <f>IF('Informe Kelly'!H184=$A$2,'Informe Kelly'!F184,"")</f>
        <v>0.61266203703703703</v>
      </c>
      <c r="G191" s="85" t="str">
        <f>IF('Informe Kelly'!H184=$A$3,'Informe Kelly'!F184,"")</f>
        <v/>
      </c>
      <c r="H191" s="85">
        <f>IF(C191=C189,0,IF(D191=D190,0,(HLOOKUP(C191,Ingreso!$AN$10:$AU$260,VLOOKUP(A191,Ingreso!$AL$11:$AM$260,2,FALSE)))/24))</f>
        <v>0</v>
      </c>
      <c r="I191" s="77">
        <f t="shared" si="5"/>
        <v>0.3125</v>
      </c>
    </row>
    <row r="192" spans="1:9">
      <c r="A192" s="85" t="str">
        <f>VLOOKUP('Informe Kelly'!A185,Base!A:B,2,FALSE)</f>
        <v>08.454.836-7</v>
      </c>
      <c r="B192" s="85" t="str">
        <f>VLOOKUP('Informe Kelly'!A185,Base!A:G,7,FALSE)</f>
        <v>CARES LOPEZ BRIGIDA DEL CARMEN</v>
      </c>
      <c r="C192" s="91">
        <f>'Informe Kelly'!E185</f>
        <v>40649</v>
      </c>
      <c r="D192" s="96">
        <f t="shared" si="4"/>
        <v>96</v>
      </c>
      <c r="E192" s="85" t="str">
        <f>VLOOKUP(A192,Ingreso!K:P,6,FALSE)</f>
        <v>Turno B</v>
      </c>
      <c r="F192" s="85" t="str">
        <f>IF('Informe Kelly'!H185=$A$2,'Informe Kelly'!F185,"")</f>
        <v/>
      </c>
      <c r="G192" s="85">
        <f>IF('Informe Kelly'!H185=$A$3,'Informe Kelly'!F185,"")</f>
        <v>0.95027777777777767</v>
      </c>
      <c r="H192" s="85">
        <f>IF(C192=C190,0,IF(D192=D191,0,(HLOOKUP(C192,Ingreso!$AN$10:$AU$260,VLOOKUP(A192,Ingreso!$AL$11:$AM$260,2,FALSE)))/24))</f>
        <v>0</v>
      </c>
      <c r="I192" s="77">
        <f t="shared" si="5"/>
        <v>0</v>
      </c>
    </row>
    <row r="193" spans="1:9">
      <c r="A193" s="85" t="str">
        <f>VLOOKUP('Informe Kelly'!A186,Base!A:B,2,FALSE)</f>
        <v>08.465.592-9</v>
      </c>
      <c r="B193" s="85" t="str">
        <f>VLOOKUP('Informe Kelly'!A186,Base!A:G,7,FALSE)</f>
        <v>CASTAÑEDA  SANHUEZA,JUAN A</v>
      </c>
      <c r="C193" s="91">
        <f>'Informe Kelly'!E186</f>
        <v>40644</v>
      </c>
      <c r="D193" s="96">
        <f t="shared" si="4"/>
        <v>97</v>
      </c>
      <c r="E193" s="85" t="str">
        <f>VLOOKUP(A193,Ingreso!K:P,6,FALSE)</f>
        <v>Turno C</v>
      </c>
      <c r="F193" s="85" t="str">
        <f>IF('Informe Kelly'!H186=$A$2,'Informe Kelly'!F186,"")</f>
        <v/>
      </c>
      <c r="G193" s="85">
        <f>IF('Informe Kelly'!H186=$A$3,'Informe Kelly'!F186,"")</f>
        <v>0.3216087962962963</v>
      </c>
      <c r="H193" s="85">
        <f>IF(C193=C191,0,IF(D193=D192,0,(HLOOKUP(C193,Ingreso!$AN$10:$AU$260,VLOOKUP(A193,Ingreso!$AL$11:$AM$260,2,FALSE)))/24))</f>
        <v>0.3125</v>
      </c>
      <c r="I193" s="77">
        <f t="shared" si="5"/>
        <v>0.375</v>
      </c>
    </row>
    <row r="194" spans="1:9">
      <c r="A194" s="85" t="str">
        <f>VLOOKUP('Informe Kelly'!A187,Base!A:B,2,FALSE)</f>
        <v>08.465.592-9</v>
      </c>
      <c r="B194" s="85" t="str">
        <f>VLOOKUP('Informe Kelly'!A187,Base!A:G,7,FALSE)</f>
        <v>CASTAÑEDA  SANHUEZA,JUAN A</v>
      </c>
      <c r="C194" s="91">
        <f>'Informe Kelly'!E187</f>
        <v>40644</v>
      </c>
      <c r="D194" s="96">
        <f t="shared" si="4"/>
        <v>97</v>
      </c>
      <c r="E194" s="85" t="str">
        <f>VLOOKUP(A194,Ingreso!K:P,6,FALSE)</f>
        <v>Turno C</v>
      </c>
      <c r="F194" s="85">
        <f>IF('Informe Kelly'!H187=$A$2,'Informe Kelly'!F187,"")</f>
        <v>0.92025462962962967</v>
      </c>
      <c r="G194" s="85" t="str">
        <f>IF('Informe Kelly'!H187=$A$3,'Informe Kelly'!F187,"")</f>
        <v/>
      </c>
      <c r="H194" s="85">
        <f>IF(C194=C192,0,IF(D194=D193,0,(HLOOKUP(C194,Ingreso!$AN$10:$AU$260,VLOOKUP(A194,Ingreso!$AL$11:$AM$260,2,FALSE)))/24))</f>
        <v>0</v>
      </c>
      <c r="I194" s="77">
        <f t="shared" si="5"/>
        <v>0</v>
      </c>
    </row>
    <row r="195" spans="1:9">
      <c r="A195" s="85" t="str">
        <f>VLOOKUP('Informe Kelly'!A188,Base!A:B,2,FALSE)</f>
        <v>08.465.592-9</v>
      </c>
      <c r="B195" s="85" t="str">
        <f>VLOOKUP('Informe Kelly'!A188,Base!A:G,7,FALSE)</f>
        <v>CASTAÑEDA  SANHUEZA,JUAN A</v>
      </c>
      <c r="C195" s="91">
        <f>'Informe Kelly'!E188</f>
        <v>40645</v>
      </c>
      <c r="D195" s="96">
        <f t="shared" si="4"/>
        <v>98</v>
      </c>
      <c r="E195" s="85" t="str">
        <f>VLOOKUP(A195,Ingreso!K:P,6,FALSE)</f>
        <v>Turno C</v>
      </c>
      <c r="F195" s="85" t="str">
        <f>IF('Informe Kelly'!H188=$A$2,'Informe Kelly'!F188,"")</f>
        <v/>
      </c>
      <c r="G195" s="85">
        <f>IF('Informe Kelly'!H188=$A$3,'Informe Kelly'!F188,"")</f>
        <v>0.32262731481481483</v>
      </c>
      <c r="H195" s="85">
        <f>IF(C195=C193,0,IF(D195=D194,0,(HLOOKUP(C195,Ingreso!$AN$10:$AU$260,VLOOKUP(A195,Ingreso!$AL$11:$AM$260,2,FALSE)))/24))</f>
        <v>0</v>
      </c>
      <c r="I195" s="77">
        <f t="shared" si="5"/>
        <v>0.375</v>
      </c>
    </row>
    <row r="196" spans="1:9">
      <c r="A196" s="85" t="str">
        <f>VLOOKUP('Informe Kelly'!A189,Base!A:B,2,FALSE)</f>
        <v>08.465.592-9</v>
      </c>
      <c r="B196" s="85" t="str">
        <f>VLOOKUP('Informe Kelly'!A189,Base!A:G,7,FALSE)</f>
        <v>CASTAÑEDA  SANHUEZA,JUAN A</v>
      </c>
      <c r="C196" s="91">
        <f>'Informe Kelly'!E189</f>
        <v>40645</v>
      </c>
      <c r="D196" s="96">
        <f t="shared" si="4"/>
        <v>98</v>
      </c>
      <c r="E196" s="85" t="str">
        <f>VLOOKUP(A196,Ingreso!K:P,6,FALSE)</f>
        <v>Turno C</v>
      </c>
      <c r="F196" s="85">
        <f>IF('Informe Kelly'!H189=$A$2,'Informe Kelly'!F189,"")</f>
        <v>0.91833333333333333</v>
      </c>
      <c r="G196" s="85" t="str">
        <f>IF('Informe Kelly'!H189=$A$3,'Informe Kelly'!F189,"")</f>
        <v/>
      </c>
      <c r="H196" s="85">
        <f>IF(C196=C194,0,IF(D196=D195,0,(HLOOKUP(C196,Ingreso!$AN$10:$AU$260,VLOOKUP(A196,Ingreso!$AL$11:$AM$260,2,FALSE)))/24))</f>
        <v>0</v>
      </c>
      <c r="I196" s="77">
        <f t="shared" si="5"/>
        <v>0</v>
      </c>
    </row>
    <row r="197" spans="1:9">
      <c r="A197" s="85" t="str">
        <f>VLOOKUP('Informe Kelly'!A190,Base!A:B,2,FALSE)</f>
        <v>08.465.592-9</v>
      </c>
      <c r="B197" s="85" t="str">
        <f>VLOOKUP('Informe Kelly'!A190,Base!A:G,7,FALSE)</f>
        <v>CASTAÑEDA  SANHUEZA,JUAN A</v>
      </c>
      <c r="C197" s="91">
        <f>'Informe Kelly'!E190</f>
        <v>40646</v>
      </c>
      <c r="D197" s="96">
        <f t="shared" si="4"/>
        <v>99</v>
      </c>
      <c r="E197" s="85" t="str">
        <f>VLOOKUP(A197,Ingreso!K:P,6,FALSE)</f>
        <v>Turno C</v>
      </c>
      <c r="F197" s="85" t="str">
        <f>IF('Informe Kelly'!H190=$A$2,'Informe Kelly'!F190,"")</f>
        <v/>
      </c>
      <c r="G197" s="85">
        <f>IF('Informe Kelly'!H190=$A$3,'Informe Kelly'!F190,"")</f>
        <v>0.32026620370370368</v>
      </c>
      <c r="H197" s="85">
        <f>IF(C197=C195,0,IF(D197=D196,0,(HLOOKUP(C197,Ingreso!$AN$10:$AU$260,VLOOKUP(A197,Ingreso!$AL$11:$AM$260,2,FALSE)))/24))</f>
        <v>0</v>
      </c>
      <c r="I197" s="77">
        <f t="shared" si="5"/>
        <v>0.375</v>
      </c>
    </row>
    <row r="198" spans="1:9">
      <c r="A198" s="85" t="str">
        <f>VLOOKUP('Informe Kelly'!A191,Base!A:B,2,FALSE)</f>
        <v>08.465.592-9</v>
      </c>
      <c r="B198" s="85" t="str">
        <f>VLOOKUP('Informe Kelly'!A191,Base!A:G,7,FALSE)</f>
        <v>CASTAÑEDA  SANHUEZA,JUAN A</v>
      </c>
      <c r="C198" s="91">
        <f>'Informe Kelly'!E191</f>
        <v>40646</v>
      </c>
      <c r="D198" s="96">
        <f t="shared" si="4"/>
        <v>99</v>
      </c>
      <c r="E198" s="85" t="str">
        <f>VLOOKUP(A198,Ingreso!K:P,6,FALSE)</f>
        <v>Turno C</v>
      </c>
      <c r="F198" s="85">
        <f>IF('Informe Kelly'!H191=$A$2,'Informe Kelly'!F191,"")</f>
        <v>0.92464120370370362</v>
      </c>
      <c r="G198" s="85" t="str">
        <f>IF('Informe Kelly'!H191=$A$3,'Informe Kelly'!F191,"")</f>
        <v/>
      </c>
      <c r="H198" s="85">
        <f>IF(C198=C196,0,IF(D198=D197,0,(HLOOKUP(C198,Ingreso!$AN$10:$AU$260,VLOOKUP(A198,Ingreso!$AL$11:$AM$260,2,FALSE)))/24))</f>
        <v>0</v>
      </c>
      <c r="I198" s="77">
        <f t="shared" si="5"/>
        <v>0</v>
      </c>
    </row>
    <row r="199" spans="1:9">
      <c r="A199" s="85" t="str">
        <f>VLOOKUP('Informe Kelly'!A192,Base!A:B,2,FALSE)</f>
        <v>08.465.592-9</v>
      </c>
      <c r="B199" s="85" t="str">
        <f>VLOOKUP('Informe Kelly'!A192,Base!A:G,7,FALSE)</f>
        <v>CASTAÑEDA  SANHUEZA,JUAN A</v>
      </c>
      <c r="C199" s="91">
        <f>'Informe Kelly'!E192</f>
        <v>40647</v>
      </c>
      <c r="D199" s="96">
        <f t="shared" si="4"/>
        <v>100</v>
      </c>
      <c r="E199" s="85" t="str">
        <f>VLOOKUP(A199,Ingreso!K:P,6,FALSE)</f>
        <v>Turno C</v>
      </c>
      <c r="F199" s="85" t="str">
        <f>IF('Informe Kelly'!H192=$A$2,'Informe Kelly'!F192,"")</f>
        <v/>
      </c>
      <c r="G199" s="85">
        <f>IF('Informe Kelly'!H192=$A$3,'Informe Kelly'!F192,"")</f>
        <v>0.32255787037037037</v>
      </c>
      <c r="H199" s="85">
        <f>IF(C199=C197,0,IF(D199=D198,0,(HLOOKUP(C199,Ingreso!$AN$10:$AU$260,VLOOKUP(A199,Ingreso!$AL$11:$AM$260,2,FALSE)))/24))</f>
        <v>0</v>
      </c>
      <c r="I199" s="77">
        <f t="shared" si="5"/>
        <v>0.375</v>
      </c>
    </row>
    <row r="200" spans="1:9">
      <c r="A200" s="85" t="str">
        <f>VLOOKUP('Informe Kelly'!A193,Base!A:B,2,FALSE)</f>
        <v>08.465.592-9</v>
      </c>
      <c r="B200" s="85" t="str">
        <f>VLOOKUP('Informe Kelly'!A193,Base!A:G,7,FALSE)</f>
        <v>CASTAÑEDA  SANHUEZA,JUAN A</v>
      </c>
      <c r="C200" s="91">
        <f>'Informe Kelly'!E193</f>
        <v>40647</v>
      </c>
      <c r="D200" s="96">
        <f t="shared" si="4"/>
        <v>100</v>
      </c>
      <c r="E200" s="85" t="str">
        <f>VLOOKUP(A200,Ingreso!K:P,6,FALSE)</f>
        <v>Turno C</v>
      </c>
      <c r="F200" s="85">
        <f>IF('Informe Kelly'!H193=$A$2,'Informe Kelly'!F193,"")</f>
        <v>0.91953703703703704</v>
      </c>
      <c r="G200" s="85" t="str">
        <f>IF('Informe Kelly'!H193=$A$3,'Informe Kelly'!F193,"")</f>
        <v/>
      </c>
      <c r="H200" s="85">
        <f>IF(C200=C198,0,IF(D200=D199,0,(HLOOKUP(C200,Ingreso!$AN$10:$AU$260,VLOOKUP(A200,Ingreso!$AL$11:$AM$260,2,FALSE)))/24))</f>
        <v>0</v>
      </c>
      <c r="I200" s="77">
        <f t="shared" si="5"/>
        <v>0</v>
      </c>
    </row>
    <row r="201" spans="1:9">
      <c r="A201" s="85" t="str">
        <f>VLOOKUP('Informe Kelly'!A194,Base!A:B,2,FALSE)</f>
        <v>08.465.592-9</v>
      </c>
      <c r="B201" s="85" t="str">
        <f>VLOOKUP('Informe Kelly'!A194,Base!A:G,7,FALSE)</f>
        <v>CASTAÑEDA  SANHUEZA,JUAN A</v>
      </c>
      <c r="C201" s="91">
        <f>'Informe Kelly'!E194</f>
        <v>40648</v>
      </c>
      <c r="D201" s="96">
        <f t="shared" ref="D201:D264" si="6">IF(C200=C201,IF(C201=C198,D200,IF(C201=C199,D200+1,D200)),D200+1)</f>
        <v>101</v>
      </c>
      <c r="E201" s="85" t="str">
        <f>VLOOKUP(A201,Ingreso!K:P,6,FALSE)</f>
        <v>Turno C</v>
      </c>
      <c r="F201" s="85">
        <f>IF('Informe Kelly'!H194=$A$2,'Informe Kelly'!F194,"")</f>
        <v>0.919988425925926</v>
      </c>
      <c r="G201" s="85" t="str">
        <f>IF('Informe Kelly'!H194=$A$3,'Informe Kelly'!F194,"")</f>
        <v/>
      </c>
      <c r="H201" s="85">
        <f>IF(C201=C199,0,IF(D201=D200,0,(HLOOKUP(C201,Ingreso!$AN$10:$AU$260,VLOOKUP(A201,Ingreso!$AL$11:$AM$260,2,FALSE)))/24))</f>
        <v>0</v>
      </c>
      <c r="I201" s="77">
        <f t="shared" si="5"/>
        <v>0.375</v>
      </c>
    </row>
    <row r="202" spans="1:9">
      <c r="A202" s="85" t="str">
        <f>VLOOKUP('Informe Kelly'!A195,Base!A:B,2,FALSE)</f>
        <v>08.465.592-9</v>
      </c>
      <c r="B202" s="85" t="str">
        <f>VLOOKUP('Informe Kelly'!A195,Base!A:G,7,FALSE)</f>
        <v>CASTAÑEDA  SANHUEZA,JUAN A</v>
      </c>
      <c r="C202" s="91">
        <f>'Informe Kelly'!E195</f>
        <v>40648</v>
      </c>
      <c r="D202" s="96">
        <f t="shared" si="6"/>
        <v>101</v>
      </c>
      <c r="E202" s="85" t="str">
        <f>VLOOKUP(A202,Ingreso!K:P,6,FALSE)</f>
        <v>Turno C</v>
      </c>
      <c r="F202" s="85" t="str">
        <f>IF('Informe Kelly'!H195=$A$2,'Informe Kelly'!F195,"")</f>
        <v/>
      </c>
      <c r="G202" s="85">
        <f>IF('Informe Kelly'!H195=$A$3,'Informe Kelly'!F195,"")</f>
        <v>0.32449074074074075</v>
      </c>
      <c r="H202" s="85">
        <f>IF(C202=C200,0,IF(D202=D201,0,(HLOOKUP(C202,Ingreso!$AN$10:$AU$260,VLOOKUP(A202,Ingreso!$AL$11:$AM$260,2,FALSE)))/24))</f>
        <v>0</v>
      </c>
      <c r="I202" s="77">
        <f t="shared" ref="I202:I265" si="7">IF(C202=C200,0,IF(D202=D201,0,(VLOOKUP(E202,$C$2:$D$5,2,FALSE))))</f>
        <v>0</v>
      </c>
    </row>
    <row r="203" spans="1:9">
      <c r="A203" s="85" t="str">
        <f>VLOOKUP('Informe Kelly'!A196,Base!A:B,2,FALSE)</f>
        <v>08.465.592-9</v>
      </c>
      <c r="B203" s="85" t="str">
        <f>VLOOKUP('Informe Kelly'!A196,Base!A:G,7,FALSE)</f>
        <v>CASTAÑEDA  SANHUEZA,JUAN A</v>
      </c>
      <c r="C203" s="91">
        <f>'Informe Kelly'!E196</f>
        <v>40649</v>
      </c>
      <c r="D203" s="96">
        <f t="shared" si="6"/>
        <v>102</v>
      </c>
      <c r="E203" s="85" t="str">
        <f>VLOOKUP(A203,Ingreso!K:P,6,FALSE)</f>
        <v>Turno C</v>
      </c>
      <c r="F203" s="85" t="str">
        <f>IF('Informe Kelly'!H196=$A$2,'Informe Kelly'!F196,"")</f>
        <v/>
      </c>
      <c r="G203" s="85">
        <f>IF('Informe Kelly'!H196=$A$3,'Informe Kelly'!F196,"")</f>
        <v>0.32495370370370369</v>
      </c>
      <c r="H203" s="85">
        <f>IF(C203=C201,0,IF(D203=D202,0,(HLOOKUP(C203,Ingreso!$AN$10:$AU$260,VLOOKUP(A203,Ingreso!$AL$11:$AM$260,2,FALSE)))/24))</f>
        <v>0</v>
      </c>
      <c r="I203" s="77">
        <f t="shared" si="7"/>
        <v>0.375</v>
      </c>
    </row>
    <row r="204" spans="1:9">
      <c r="A204" s="85" t="str">
        <f>VLOOKUP('Informe Kelly'!A197,Base!A:B,2,FALSE)</f>
        <v>08.618.882-1</v>
      </c>
      <c r="B204" s="85" t="str">
        <f>VLOOKUP('Informe Kelly'!A197,Base!A:G,7,FALSE)</f>
        <v>SANDOVAL ACUÑA VICTOR H.</v>
      </c>
      <c r="C204" s="91">
        <f>'Informe Kelly'!E197</f>
        <v>40644</v>
      </c>
      <c r="D204" s="96">
        <f t="shared" si="6"/>
        <v>103</v>
      </c>
      <c r="E204" s="85" t="str">
        <f>VLOOKUP(A204,Ingreso!K:P,6,FALSE)</f>
        <v>Turno B</v>
      </c>
      <c r="F204" s="85">
        <f>IF('Informe Kelly'!H197=$A$2,'Informe Kelly'!F197,"")</f>
        <v>0.61591435185185184</v>
      </c>
      <c r="G204" s="85" t="str">
        <f>IF('Informe Kelly'!H197=$A$3,'Informe Kelly'!F197,"")</f>
        <v/>
      </c>
      <c r="H204" s="85">
        <f>IF(C204=C202,0,IF(D204=D203,0,(HLOOKUP(C204,Ingreso!$AN$10:$AU$260,VLOOKUP(A204,Ingreso!$AL$11:$AM$260,2,FALSE)))/24))</f>
        <v>0</v>
      </c>
      <c r="I204" s="77">
        <f t="shared" si="7"/>
        <v>0.3125</v>
      </c>
    </row>
    <row r="205" spans="1:9">
      <c r="A205" s="85" t="str">
        <f>VLOOKUP('Informe Kelly'!A198,Base!A:B,2,FALSE)</f>
        <v>08.618.882-1</v>
      </c>
      <c r="B205" s="85" t="str">
        <f>VLOOKUP('Informe Kelly'!A198,Base!A:G,7,FALSE)</f>
        <v>SANDOVAL ACUÑA VICTOR H.</v>
      </c>
      <c r="C205" s="91">
        <f>'Informe Kelly'!E198</f>
        <v>40644</v>
      </c>
      <c r="D205" s="96">
        <f t="shared" si="6"/>
        <v>103</v>
      </c>
      <c r="E205" s="85" t="str">
        <f>VLOOKUP(A205,Ingreso!K:P,6,FALSE)</f>
        <v>Turno B</v>
      </c>
      <c r="F205" s="85" t="str">
        <f>IF('Informe Kelly'!H198=$A$2,'Informe Kelly'!F198,"")</f>
        <v/>
      </c>
      <c r="G205" s="85">
        <f>IF('Informe Kelly'!H198=$A$3,'Informe Kelly'!F198,"")</f>
        <v>0.94337962962962962</v>
      </c>
      <c r="H205" s="85">
        <f>IF(C205=C203,0,IF(D205=D204,0,(HLOOKUP(C205,Ingreso!$AN$10:$AU$260,VLOOKUP(A205,Ingreso!$AL$11:$AM$260,2,FALSE)))/24))</f>
        <v>0</v>
      </c>
      <c r="I205" s="77">
        <f t="shared" si="7"/>
        <v>0</v>
      </c>
    </row>
    <row r="206" spans="1:9">
      <c r="A206" s="85" t="str">
        <f>VLOOKUP('Informe Kelly'!A199,Base!A:B,2,FALSE)</f>
        <v>08.618.882-1</v>
      </c>
      <c r="B206" s="85" t="str">
        <f>VLOOKUP('Informe Kelly'!A199,Base!A:G,7,FALSE)</f>
        <v>SANDOVAL ACUÑA VICTOR H.</v>
      </c>
      <c r="C206" s="91">
        <f>'Informe Kelly'!E199</f>
        <v>40645</v>
      </c>
      <c r="D206" s="96">
        <f t="shared" si="6"/>
        <v>104</v>
      </c>
      <c r="E206" s="85" t="str">
        <f>VLOOKUP(A206,Ingreso!K:P,6,FALSE)</f>
        <v>Turno B</v>
      </c>
      <c r="F206" s="85">
        <f>IF('Informe Kelly'!H199=$A$2,'Informe Kelly'!F199,"")</f>
        <v>0.61721064814814819</v>
      </c>
      <c r="G206" s="85" t="str">
        <f>IF('Informe Kelly'!H199=$A$3,'Informe Kelly'!F199,"")</f>
        <v/>
      </c>
      <c r="H206" s="85">
        <f>IF(C206=C204,0,IF(D206=D205,0,(HLOOKUP(C206,Ingreso!$AN$10:$AU$260,VLOOKUP(A206,Ingreso!$AL$11:$AM$260,2,FALSE)))/24))</f>
        <v>0</v>
      </c>
      <c r="I206" s="77">
        <f t="shared" si="7"/>
        <v>0.3125</v>
      </c>
    </row>
    <row r="207" spans="1:9">
      <c r="A207" s="85" t="str">
        <f>VLOOKUP('Informe Kelly'!A200,Base!A:B,2,FALSE)</f>
        <v>08.618.882-1</v>
      </c>
      <c r="B207" s="85" t="str">
        <f>VLOOKUP('Informe Kelly'!A200,Base!A:G,7,FALSE)</f>
        <v>SANDOVAL ACUÑA VICTOR H.</v>
      </c>
      <c r="C207" s="91">
        <f>'Informe Kelly'!E200</f>
        <v>40645</v>
      </c>
      <c r="D207" s="96">
        <f t="shared" si="6"/>
        <v>104</v>
      </c>
      <c r="E207" s="85" t="str">
        <f>VLOOKUP(A207,Ingreso!K:P,6,FALSE)</f>
        <v>Turno B</v>
      </c>
      <c r="F207" s="85" t="str">
        <f>IF('Informe Kelly'!H200=$A$2,'Informe Kelly'!F200,"")</f>
        <v/>
      </c>
      <c r="G207" s="85">
        <f>IF('Informe Kelly'!H200=$A$3,'Informe Kelly'!F200,"")</f>
        <v>0.94120370370370365</v>
      </c>
      <c r="H207" s="85">
        <f>IF(C207=C205,0,IF(D207=D206,0,(HLOOKUP(C207,Ingreso!$AN$10:$AU$260,VLOOKUP(A207,Ingreso!$AL$11:$AM$260,2,FALSE)))/24))</f>
        <v>0</v>
      </c>
      <c r="I207" s="77">
        <f t="shared" si="7"/>
        <v>0</v>
      </c>
    </row>
    <row r="208" spans="1:9">
      <c r="A208" s="85" t="str">
        <f>VLOOKUP('Informe Kelly'!A201,Base!A:B,2,FALSE)</f>
        <v>08.618.882-1</v>
      </c>
      <c r="B208" s="85" t="str">
        <f>VLOOKUP('Informe Kelly'!A201,Base!A:G,7,FALSE)</f>
        <v>SANDOVAL ACUÑA VICTOR H.</v>
      </c>
      <c r="C208" s="91">
        <f>'Informe Kelly'!E201</f>
        <v>40646</v>
      </c>
      <c r="D208" s="96">
        <f t="shared" si="6"/>
        <v>105</v>
      </c>
      <c r="E208" s="85" t="str">
        <f>VLOOKUP(A208,Ingreso!K:P,6,FALSE)</f>
        <v>Turno B</v>
      </c>
      <c r="F208" s="85">
        <f>IF('Informe Kelly'!H201=$A$2,'Informe Kelly'!F201,"")</f>
        <v>0.61971064814814814</v>
      </c>
      <c r="G208" s="85" t="str">
        <f>IF('Informe Kelly'!H201=$A$3,'Informe Kelly'!F201,"")</f>
        <v/>
      </c>
      <c r="H208" s="85">
        <f>IF(C208=C206,0,IF(D208=D207,0,(HLOOKUP(C208,Ingreso!$AN$10:$AU$260,VLOOKUP(A208,Ingreso!$AL$11:$AM$260,2,FALSE)))/24))</f>
        <v>0</v>
      </c>
      <c r="I208" s="77">
        <f t="shared" si="7"/>
        <v>0.3125</v>
      </c>
    </row>
    <row r="209" spans="1:9">
      <c r="A209" s="85" t="str">
        <f>VLOOKUP('Informe Kelly'!A202,Base!A:B,2,FALSE)</f>
        <v>08.618.882-1</v>
      </c>
      <c r="B209" s="85" t="str">
        <f>VLOOKUP('Informe Kelly'!A202,Base!A:G,7,FALSE)</f>
        <v>SANDOVAL ACUÑA VICTOR H.</v>
      </c>
      <c r="C209" s="91">
        <f>'Informe Kelly'!E202</f>
        <v>40646</v>
      </c>
      <c r="D209" s="96">
        <f t="shared" si="6"/>
        <v>105</v>
      </c>
      <c r="E209" s="85" t="str">
        <f>VLOOKUP(A209,Ingreso!K:P,6,FALSE)</f>
        <v>Turno B</v>
      </c>
      <c r="F209" s="85" t="str">
        <f>IF('Informe Kelly'!H202=$A$2,'Informe Kelly'!F202,"")</f>
        <v/>
      </c>
      <c r="G209" s="85">
        <f>IF('Informe Kelly'!H202=$A$3,'Informe Kelly'!F202,"")</f>
        <v>0.9325</v>
      </c>
      <c r="H209" s="85">
        <f>IF(C209=C207,0,IF(D209=D208,0,(HLOOKUP(C209,Ingreso!$AN$10:$AU$260,VLOOKUP(A209,Ingreso!$AL$11:$AM$260,2,FALSE)))/24))</f>
        <v>0</v>
      </c>
      <c r="I209" s="77">
        <f t="shared" si="7"/>
        <v>0</v>
      </c>
    </row>
    <row r="210" spans="1:9">
      <c r="A210" s="85" t="str">
        <f>VLOOKUP('Informe Kelly'!A203,Base!A:B,2,FALSE)</f>
        <v>08.618.882-1</v>
      </c>
      <c r="B210" s="85" t="str">
        <f>VLOOKUP('Informe Kelly'!A203,Base!A:G,7,FALSE)</f>
        <v>SANDOVAL ACUÑA VICTOR H.</v>
      </c>
      <c r="C210" s="91">
        <f>'Informe Kelly'!E203</f>
        <v>40647</v>
      </c>
      <c r="D210" s="96">
        <f t="shared" si="6"/>
        <v>106</v>
      </c>
      <c r="E210" s="85" t="str">
        <f>VLOOKUP(A210,Ingreso!K:P,6,FALSE)</f>
        <v>Turno B</v>
      </c>
      <c r="F210" s="85">
        <f>IF('Informe Kelly'!H203=$A$2,'Informe Kelly'!F203,"")</f>
        <v>0.6187731481481481</v>
      </c>
      <c r="G210" s="85" t="str">
        <f>IF('Informe Kelly'!H203=$A$3,'Informe Kelly'!F203,"")</f>
        <v/>
      </c>
      <c r="H210" s="85">
        <f>IF(C210=C208,0,IF(D210=D209,0,(HLOOKUP(C210,Ingreso!$AN$10:$AU$260,VLOOKUP(A210,Ingreso!$AL$11:$AM$260,2,FALSE)))/24))</f>
        <v>0</v>
      </c>
      <c r="I210" s="77">
        <f t="shared" si="7"/>
        <v>0.3125</v>
      </c>
    </row>
    <row r="211" spans="1:9">
      <c r="A211" s="85" t="str">
        <f>VLOOKUP('Informe Kelly'!A204,Base!A:B,2,FALSE)</f>
        <v>08.618.882-1</v>
      </c>
      <c r="B211" s="85" t="str">
        <f>VLOOKUP('Informe Kelly'!A204,Base!A:G,7,FALSE)</f>
        <v>SANDOVAL ACUÑA VICTOR H.</v>
      </c>
      <c r="C211" s="91">
        <f>'Informe Kelly'!E204</f>
        <v>40647</v>
      </c>
      <c r="D211" s="96">
        <f t="shared" si="6"/>
        <v>106</v>
      </c>
      <c r="E211" s="85" t="str">
        <f>VLOOKUP(A211,Ingreso!K:P,6,FALSE)</f>
        <v>Turno B</v>
      </c>
      <c r="F211" s="85" t="str">
        <f>IF('Informe Kelly'!H204=$A$2,'Informe Kelly'!F204,"")</f>
        <v/>
      </c>
      <c r="G211" s="85">
        <f>IF('Informe Kelly'!H204=$A$3,'Informe Kelly'!F204,"")</f>
        <v>0.94478009259259255</v>
      </c>
      <c r="H211" s="85">
        <f>IF(C211=C209,0,IF(D211=D210,0,(HLOOKUP(C211,Ingreso!$AN$10:$AU$260,VLOOKUP(A211,Ingreso!$AL$11:$AM$260,2,FALSE)))/24))</f>
        <v>0</v>
      </c>
      <c r="I211" s="77">
        <f t="shared" si="7"/>
        <v>0</v>
      </c>
    </row>
    <row r="212" spans="1:9">
      <c r="A212" s="85" t="str">
        <f>VLOOKUP('Informe Kelly'!A205,Base!A:B,2,FALSE)</f>
        <v>08.618.882-1</v>
      </c>
      <c r="B212" s="85" t="str">
        <f>VLOOKUP('Informe Kelly'!A205,Base!A:G,7,FALSE)</f>
        <v>SANDOVAL ACUÑA VICTOR H.</v>
      </c>
      <c r="C212" s="91">
        <f>'Informe Kelly'!E205</f>
        <v>40648</v>
      </c>
      <c r="D212" s="96">
        <f t="shared" si="6"/>
        <v>107</v>
      </c>
      <c r="E212" s="85" t="str">
        <f>VLOOKUP(A212,Ingreso!K:P,6,FALSE)</f>
        <v>Turno B</v>
      </c>
      <c r="F212" s="85">
        <f>IF('Informe Kelly'!H205=$A$2,'Informe Kelly'!F205,"")</f>
        <v>0.61697916666666663</v>
      </c>
      <c r="G212" s="85" t="str">
        <f>IF('Informe Kelly'!H205=$A$3,'Informe Kelly'!F205,"")</f>
        <v/>
      </c>
      <c r="H212" s="85">
        <f>IF(C212=C210,0,IF(D212=D211,0,(HLOOKUP(C212,Ingreso!$AN$10:$AU$260,VLOOKUP(A212,Ingreso!$AL$11:$AM$260,2,FALSE)))/24))</f>
        <v>0</v>
      </c>
      <c r="I212" s="77">
        <f t="shared" si="7"/>
        <v>0.3125</v>
      </c>
    </row>
    <row r="213" spans="1:9">
      <c r="A213" s="85" t="str">
        <f>VLOOKUP('Informe Kelly'!A206,Base!A:B,2,FALSE)</f>
        <v>08.618.882-1</v>
      </c>
      <c r="B213" s="85" t="str">
        <f>VLOOKUP('Informe Kelly'!A206,Base!A:G,7,FALSE)</f>
        <v>SANDOVAL ACUÑA VICTOR H.</v>
      </c>
      <c r="C213" s="91">
        <f>'Informe Kelly'!E206</f>
        <v>40648</v>
      </c>
      <c r="D213" s="96">
        <f t="shared" si="6"/>
        <v>107</v>
      </c>
      <c r="E213" s="85" t="str">
        <f>VLOOKUP(A213,Ingreso!K:P,6,FALSE)</f>
        <v>Turno B</v>
      </c>
      <c r="F213" s="85" t="str">
        <f>IF('Informe Kelly'!H206=$A$2,'Informe Kelly'!F206,"")</f>
        <v/>
      </c>
      <c r="G213" s="85">
        <f>IF('Informe Kelly'!H206=$A$3,'Informe Kelly'!F206,"")</f>
        <v>0.94469907407407405</v>
      </c>
      <c r="H213" s="85">
        <f>IF(C213=C211,0,IF(D213=D212,0,(HLOOKUP(C213,Ingreso!$AN$10:$AU$260,VLOOKUP(A213,Ingreso!$AL$11:$AM$260,2,FALSE)))/24))</f>
        <v>0</v>
      </c>
      <c r="I213" s="77">
        <f t="shared" si="7"/>
        <v>0</v>
      </c>
    </row>
    <row r="214" spans="1:9">
      <c r="A214" s="85" t="str">
        <f>VLOOKUP('Informe Kelly'!A207,Base!A:B,2,FALSE)</f>
        <v>08.618.882-1</v>
      </c>
      <c r="B214" s="85" t="str">
        <f>VLOOKUP('Informe Kelly'!A207,Base!A:G,7,FALSE)</f>
        <v>SANDOVAL ACUÑA VICTOR H.</v>
      </c>
      <c r="C214" s="91">
        <f>'Informe Kelly'!E207</f>
        <v>40649</v>
      </c>
      <c r="D214" s="96">
        <f t="shared" si="6"/>
        <v>108</v>
      </c>
      <c r="E214" s="85" t="str">
        <f>VLOOKUP(A214,Ingreso!K:P,6,FALSE)</f>
        <v>Turno B</v>
      </c>
      <c r="F214" s="85" t="str">
        <f>IF('Informe Kelly'!H207=$A$2,'Informe Kelly'!F207,"")</f>
        <v/>
      </c>
      <c r="G214" s="85">
        <f>IF('Informe Kelly'!H207=$A$3,'Informe Kelly'!F207,"")</f>
        <v>0.93184027777777778</v>
      </c>
      <c r="H214" s="85">
        <f>IF(C214=C212,0,IF(D214=D213,0,(HLOOKUP(C214,Ingreso!$AN$10:$AU$260,VLOOKUP(A214,Ingreso!$AL$11:$AM$260,2,FALSE)))/24))</f>
        <v>0</v>
      </c>
      <c r="I214" s="77">
        <f t="shared" si="7"/>
        <v>0.3125</v>
      </c>
    </row>
    <row r="215" spans="1:9">
      <c r="A215" s="85" t="str">
        <f>VLOOKUP('Informe Kelly'!A208,Base!A:B,2,FALSE)</f>
        <v>08.618.882-1</v>
      </c>
      <c r="B215" s="85" t="str">
        <f>VLOOKUP('Informe Kelly'!A208,Base!A:G,7,FALSE)</f>
        <v>SANDOVAL ACUÑA VICTOR H.</v>
      </c>
      <c r="C215" s="91">
        <f>'Informe Kelly'!E208</f>
        <v>40649</v>
      </c>
      <c r="D215" s="96">
        <f t="shared" si="6"/>
        <v>108</v>
      </c>
      <c r="E215" s="85" t="str">
        <f>VLOOKUP(A215,Ingreso!K:P,6,FALSE)</f>
        <v>Turno B</v>
      </c>
      <c r="F215" s="85">
        <f>IF('Informe Kelly'!H208=$A$2,'Informe Kelly'!F208,"")</f>
        <v>0.61782407407407403</v>
      </c>
      <c r="G215" s="85" t="str">
        <f>IF('Informe Kelly'!H208=$A$3,'Informe Kelly'!F208,"")</f>
        <v/>
      </c>
      <c r="H215" s="85">
        <f>IF(C215=C213,0,IF(D215=D214,0,(HLOOKUP(C215,Ingreso!$AN$10:$AU$260,VLOOKUP(A215,Ingreso!$AL$11:$AM$260,2,FALSE)))/24))</f>
        <v>0</v>
      </c>
      <c r="I215" s="77">
        <f t="shared" si="7"/>
        <v>0</v>
      </c>
    </row>
    <row r="216" spans="1:9">
      <c r="A216" s="85" t="str">
        <f>VLOOKUP('Informe Kelly'!A209,Base!A:B,2,FALSE)</f>
        <v>08.809.784-K</v>
      </c>
      <c r="B216" s="85" t="str">
        <f>VLOOKUP('Informe Kelly'!A209,Base!A:G,7,FALSE)</f>
        <v>AGUILERA  LABRIN,CARLOS ANTONIO</v>
      </c>
      <c r="C216" s="91">
        <f>'Informe Kelly'!E209</f>
        <v>40644</v>
      </c>
      <c r="D216" s="96">
        <f t="shared" si="6"/>
        <v>109</v>
      </c>
      <c r="E216" s="85" t="e">
        <f>VLOOKUP(A216,Ingreso!K:P,6,FALSE)</f>
        <v>#N/A</v>
      </c>
      <c r="F216" s="85">
        <f>IF('Informe Kelly'!H209=$A$2,'Informe Kelly'!F209,"")</f>
        <v>0.60596064814814821</v>
      </c>
      <c r="G216" s="85" t="str">
        <f>IF('Informe Kelly'!H209=$A$3,'Informe Kelly'!F209,"")</f>
        <v/>
      </c>
      <c r="H216" s="85" t="e">
        <f>IF(C216=C214,0,IF(D216=D215,0,(HLOOKUP(C216,Ingreso!$AN$10:$AU$260,VLOOKUP(A216,Ingreso!$AL$11:$AM$260,2,FALSE)))/24))</f>
        <v>#N/A</v>
      </c>
      <c r="I216" s="77" t="e">
        <f t="shared" si="7"/>
        <v>#N/A</v>
      </c>
    </row>
    <row r="217" spans="1:9">
      <c r="A217" s="85" t="str">
        <f>VLOOKUP('Informe Kelly'!A210,Base!A:B,2,FALSE)</f>
        <v>08.809.784-K</v>
      </c>
      <c r="B217" s="85" t="str">
        <f>VLOOKUP('Informe Kelly'!A210,Base!A:G,7,FALSE)</f>
        <v>AGUILERA  LABRIN,CARLOS ANTONIO</v>
      </c>
      <c r="C217" s="91">
        <f>'Informe Kelly'!E210</f>
        <v>40644</v>
      </c>
      <c r="D217" s="96">
        <f t="shared" si="6"/>
        <v>109</v>
      </c>
      <c r="E217" s="85" t="e">
        <f>VLOOKUP(A217,Ingreso!K:P,6,FALSE)</f>
        <v>#N/A</v>
      </c>
      <c r="F217" s="85" t="str">
        <f>IF('Informe Kelly'!H210=$A$2,'Informe Kelly'!F210,"")</f>
        <v/>
      </c>
      <c r="G217" s="85">
        <f>IF('Informe Kelly'!H210=$A$3,'Informe Kelly'!F210,"")</f>
        <v>0.94728009259259249</v>
      </c>
      <c r="H217" s="85">
        <f>IF(C217=C215,0,IF(D217=D216,0,(HLOOKUP(C217,Ingreso!$AN$10:$AU$260,VLOOKUP(A217,Ingreso!$AL$11:$AM$260,2,FALSE)))/24))</f>
        <v>0</v>
      </c>
      <c r="I217" s="77">
        <f t="shared" si="7"/>
        <v>0</v>
      </c>
    </row>
    <row r="218" spans="1:9">
      <c r="A218" s="85" t="str">
        <f>VLOOKUP('Informe Kelly'!A211,Base!A:B,2,FALSE)</f>
        <v>08.809.784-K</v>
      </c>
      <c r="B218" s="85" t="str">
        <f>VLOOKUP('Informe Kelly'!A211,Base!A:G,7,FALSE)</f>
        <v>AGUILERA  LABRIN,CARLOS ANTONIO</v>
      </c>
      <c r="C218" s="91">
        <f>'Informe Kelly'!E211</f>
        <v>40645</v>
      </c>
      <c r="D218" s="96">
        <f t="shared" si="6"/>
        <v>110</v>
      </c>
      <c r="E218" s="85" t="e">
        <f>VLOOKUP(A218,Ingreso!K:P,6,FALSE)</f>
        <v>#N/A</v>
      </c>
      <c r="F218" s="85">
        <f>IF('Informe Kelly'!H211=$A$2,'Informe Kelly'!F211,"")</f>
        <v>0.60394675925925922</v>
      </c>
      <c r="G218" s="85" t="str">
        <f>IF('Informe Kelly'!H211=$A$3,'Informe Kelly'!F211,"")</f>
        <v/>
      </c>
      <c r="H218" s="85" t="e">
        <f>IF(C218=C216,0,IF(D218=D217,0,(HLOOKUP(C218,Ingreso!$AN$10:$AU$260,VLOOKUP(A218,Ingreso!$AL$11:$AM$260,2,FALSE)))/24))</f>
        <v>#N/A</v>
      </c>
      <c r="I218" s="77" t="e">
        <f t="shared" si="7"/>
        <v>#N/A</v>
      </c>
    </row>
    <row r="219" spans="1:9">
      <c r="A219" s="85" t="str">
        <f>VLOOKUP('Informe Kelly'!A212,Base!A:B,2,FALSE)</f>
        <v>08.809.784-K</v>
      </c>
      <c r="B219" s="85" t="str">
        <f>VLOOKUP('Informe Kelly'!A212,Base!A:G,7,FALSE)</f>
        <v>AGUILERA  LABRIN,CARLOS ANTONIO</v>
      </c>
      <c r="C219" s="91">
        <f>'Informe Kelly'!E212</f>
        <v>40645</v>
      </c>
      <c r="D219" s="96">
        <f t="shared" si="6"/>
        <v>110</v>
      </c>
      <c r="E219" s="85" t="e">
        <f>VLOOKUP(A219,Ingreso!K:P,6,FALSE)</f>
        <v>#N/A</v>
      </c>
      <c r="F219" s="85" t="str">
        <f>IF('Informe Kelly'!H212=$A$2,'Informe Kelly'!F212,"")</f>
        <v/>
      </c>
      <c r="G219" s="85">
        <f>IF('Informe Kelly'!H212=$A$3,'Informe Kelly'!F212,"")</f>
        <v>0.94634259259259268</v>
      </c>
      <c r="H219" s="85">
        <f>IF(C219=C217,0,IF(D219=D218,0,(HLOOKUP(C219,Ingreso!$AN$10:$AU$260,VLOOKUP(A219,Ingreso!$AL$11:$AM$260,2,FALSE)))/24))</f>
        <v>0</v>
      </c>
      <c r="I219" s="77">
        <f t="shared" si="7"/>
        <v>0</v>
      </c>
    </row>
    <row r="220" spans="1:9">
      <c r="A220" s="85" t="str">
        <f>VLOOKUP('Informe Kelly'!A213,Base!A:B,2,FALSE)</f>
        <v>08.809.784-K</v>
      </c>
      <c r="B220" s="85" t="str">
        <f>VLOOKUP('Informe Kelly'!A213,Base!A:G,7,FALSE)</f>
        <v>AGUILERA  LABRIN,CARLOS ANTONIO</v>
      </c>
      <c r="C220" s="91">
        <f>'Informe Kelly'!E213</f>
        <v>40646</v>
      </c>
      <c r="D220" s="96">
        <f t="shared" si="6"/>
        <v>111</v>
      </c>
      <c r="E220" s="85" t="e">
        <f>VLOOKUP(A220,Ingreso!K:P,6,FALSE)</f>
        <v>#N/A</v>
      </c>
      <c r="F220" s="85">
        <f>IF('Informe Kelly'!H213=$A$2,'Informe Kelly'!F213,"")</f>
        <v>0.60642361111111109</v>
      </c>
      <c r="G220" s="85" t="str">
        <f>IF('Informe Kelly'!H213=$A$3,'Informe Kelly'!F213,"")</f>
        <v/>
      </c>
      <c r="H220" s="85" t="e">
        <f>IF(C220=C218,0,IF(D220=D219,0,(HLOOKUP(C220,Ingreso!$AN$10:$AU$260,VLOOKUP(A220,Ingreso!$AL$11:$AM$260,2,FALSE)))/24))</f>
        <v>#N/A</v>
      </c>
      <c r="I220" s="77" t="e">
        <f t="shared" si="7"/>
        <v>#N/A</v>
      </c>
    </row>
    <row r="221" spans="1:9">
      <c r="A221" s="85" t="str">
        <f>VLOOKUP('Informe Kelly'!A214,Base!A:B,2,FALSE)</f>
        <v>08.809.784-K</v>
      </c>
      <c r="B221" s="85" t="str">
        <f>VLOOKUP('Informe Kelly'!A214,Base!A:G,7,FALSE)</f>
        <v>AGUILERA  LABRIN,CARLOS ANTONIO</v>
      </c>
      <c r="C221" s="91">
        <f>'Informe Kelly'!E214</f>
        <v>40646</v>
      </c>
      <c r="D221" s="96">
        <f t="shared" si="6"/>
        <v>111</v>
      </c>
      <c r="E221" s="85" t="e">
        <f>VLOOKUP(A221,Ingreso!K:P,6,FALSE)</f>
        <v>#N/A</v>
      </c>
      <c r="F221" s="85" t="str">
        <f>IF('Informe Kelly'!H214=$A$2,'Informe Kelly'!F214,"")</f>
        <v/>
      </c>
      <c r="G221" s="85">
        <f>IF('Informe Kelly'!H214=$A$3,'Informe Kelly'!F214,"")</f>
        <v>0.94893518518518516</v>
      </c>
      <c r="H221" s="85">
        <f>IF(C221=C219,0,IF(D221=D220,0,(HLOOKUP(C221,Ingreso!$AN$10:$AU$260,VLOOKUP(A221,Ingreso!$AL$11:$AM$260,2,FALSE)))/24))</f>
        <v>0</v>
      </c>
      <c r="I221" s="77">
        <f t="shared" si="7"/>
        <v>0</v>
      </c>
    </row>
    <row r="222" spans="1:9">
      <c r="A222" s="85" t="str">
        <f>VLOOKUP('Informe Kelly'!A215,Base!A:B,2,FALSE)</f>
        <v>08.809.784-K</v>
      </c>
      <c r="B222" s="85" t="str">
        <f>VLOOKUP('Informe Kelly'!A215,Base!A:G,7,FALSE)</f>
        <v>AGUILERA  LABRIN,CARLOS ANTONIO</v>
      </c>
      <c r="C222" s="91">
        <f>'Informe Kelly'!E215</f>
        <v>40647</v>
      </c>
      <c r="D222" s="96">
        <f t="shared" si="6"/>
        <v>112</v>
      </c>
      <c r="E222" s="85" t="e">
        <f>VLOOKUP(A222,Ingreso!K:P,6,FALSE)</f>
        <v>#N/A</v>
      </c>
      <c r="F222" s="85">
        <f>IF('Informe Kelly'!H215=$A$2,'Informe Kelly'!F215,"")</f>
        <v>0.60425925925925927</v>
      </c>
      <c r="G222" s="85" t="str">
        <f>IF('Informe Kelly'!H215=$A$3,'Informe Kelly'!F215,"")</f>
        <v/>
      </c>
      <c r="H222" s="85" t="e">
        <f>IF(C222=C220,0,IF(D222=D221,0,(HLOOKUP(C222,Ingreso!$AN$10:$AU$260,VLOOKUP(A222,Ingreso!$AL$11:$AM$260,2,FALSE)))/24))</f>
        <v>#N/A</v>
      </c>
      <c r="I222" s="77" t="e">
        <f t="shared" si="7"/>
        <v>#N/A</v>
      </c>
    </row>
    <row r="223" spans="1:9">
      <c r="A223" s="85" t="str">
        <f>VLOOKUP('Informe Kelly'!A216,Base!A:B,2,FALSE)</f>
        <v>08.809.784-K</v>
      </c>
      <c r="B223" s="85" t="str">
        <f>VLOOKUP('Informe Kelly'!A216,Base!A:G,7,FALSE)</f>
        <v>AGUILERA  LABRIN,CARLOS ANTONIO</v>
      </c>
      <c r="C223" s="91">
        <f>'Informe Kelly'!E216</f>
        <v>40647</v>
      </c>
      <c r="D223" s="96">
        <f t="shared" si="6"/>
        <v>112</v>
      </c>
      <c r="E223" s="85" t="e">
        <f>VLOOKUP(A223,Ingreso!K:P,6,FALSE)</f>
        <v>#N/A</v>
      </c>
      <c r="F223" s="85" t="str">
        <f>IF('Informe Kelly'!H216=$A$2,'Informe Kelly'!F216,"")</f>
        <v/>
      </c>
      <c r="G223" s="85">
        <f>IF('Informe Kelly'!H216=$A$3,'Informe Kelly'!F216,"")</f>
        <v>0.94881944444444455</v>
      </c>
      <c r="H223" s="85">
        <f>IF(C223=C221,0,IF(D223=D222,0,(HLOOKUP(C223,Ingreso!$AN$10:$AU$260,VLOOKUP(A223,Ingreso!$AL$11:$AM$260,2,FALSE)))/24))</f>
        <v>0</v>
      </c>
      <c r="I223" s="77">
        <f t="shared" si="7"/>
        <v>0</v>
      </c>
    </row>
    <row r="224" spans="1:9">
      <c r="A224" s="85" t="str">
        <f>VLOOKUP('Informe Kelly'!A217,Base!A:B,2,FALSE)</f>
        <v>08.809.784-K</v>
      </c>
      <c r="B224" s="85" t="str">
        <f>VLOOKUP('Informe Kelly'!A217,Base!A:G,7,FALSE)</f>
        <v>AGUILERA  LABRIN,CARLOS ANTONIO</v>
      </c>
      <c r="C224" s="91">
        <f>'Informe Kelly'!E217</f>
        <v>40648</v>
      </c>
      <c r="D224" s="96">
        <f t="shared" si="6"/>
        <v>113</v>
      </c>
      <c r="E224" s="85" t="e">
        <f>VLOOKUP(A224,Ingreso!K:P,6,FALSE)</f>
        <v>#N/A</v>
      </c>
      <c r="F224" s="85">
        <f>IF('Informe Kelly'!H217=$A$2,'Informe Kelly'!F217,"")</f>
        <v>0.60730324074074071</v>
      </c>
      <c r="G224" s="85" t="str">
        <f>IF('Informe Kelly'!H217=$A$3,'Informe Kelly'!F217,"")</f>
        <v/>
      </c>
      <c r="H224" s="85" t="e">
        <f>IF(C224=C222,0,IF(D224=D223,0,(HLOOKUP(C224,Ingreso!$AN$10:$AU$260,VLOOKUP(A224,Ingreso!$AL$11:$AM$260,2,FALSE)))/24))</f>
        <v>#N/A</v>
      </c>
      <c r="I224" s="77" t="e">
        <f t="shared" si="7"/>
        <v>#N/A</v>
      </c>
    </row>
    <row r="225" spans="1:9">
      <c r="A225" s="85" t="str">
        <f>VLOOKUP('Informe Kelly'!A218,Base!A:B,2,FALSE)</f>
        <v>08.809.784-K</v>
      </c>
      <c r="B225" s="85" t="str">
        <f>VLOOKUP('Informe Kelly'!A218,Base!A:G,7,FALSE)</f>
        <v>AGUILERA  LABRIN,CARLOS ANTONIO</v>
      </c>
      <c r="C225" s="91">
        <f>'Informe Kelly'!E218</f>
        <v>40648</v>
      </c>
      <c r="D225" s="96">
        <f t="shared" si="6"/>
        <v>113</v>
      </c>
      <c r="E225" s="85" t="e">
        <f>VLOOKUP(A225,Ingreso!K:P,6,FALSE)</f>
        <v>#N/A</v>
      </c>
      <c r="F225" s="85" t="str">
        <f>IF('Informe Kelly'!H218=$A$2,'Informe Kelly'!F218,"")</f>
        <v/>
      </c>
      <c r="G225" s="85">
        <f>IF('Informe Kelly'!H218=$A$3,'Informe Kelly'!F218,"")</f>
        <v>0.9477430555555556</v>
      </c>
      <c r="H225" s="85">
        <f>IF(C225=C223,0,IF(D225=D224,0,(HLOOKUP(C225,Ingreso!$AN$10:$AU$260,VLOOKUP(A225,Ingreso!$AL$11:$AM$260,2,FALSE)))/24))</f>
        <v>0</v>
      </c>
      <c r="I225" s="77">
        <f t="shared" si="7"/>
        <v>0</v>
      </c>
    </row>
    <row r="226" spans="1:9">
      <c r="A226" s="85" t="str">
        <f>VLOOKUP('Informe Kelly'!A219,Base!A:B,2,FALSE)</f>
        <v>08.809.784-K</v>
      </c>
      <c r="B226" s="85" t="str">
        <f>VLOOKUP('Informe Kelly'!A219,Base!A:G,7,FALSE)</f>
        <v>AGUILERA  LABRIN,CARLOS ANTONIO</v>
      </c>
      <c r="C226" s="91">
        <f>'Informe Kelly'!E219</f>
        <v>40649</v>
      </c>
      <c r="D226" s="96">
        <f t="shared" si="6"/>
        <v>114</v>
      </c>
      <c r="E226" s="85" t="e">
        <f>VLOOKUP(A226,Ingreso!K:P,6,FALSE)</f>
        <v>#N/A</v>
      </c>
      <c r="F226" s="85" t="str">
        <f>IF('Informe Kelly'!H219=$A$2,'Informe Kelly'!F219,"")</f>
        <v/>
      </c>
      <c r="G226" s="85">
        <f>IF('Informe Kelly'!H219=$A$3,'Informe Kelly'!F219,"")</f>
        <v>0.95038194444444446</v>
      </c>
      <c r="H226" s="85" t="e">
        <f>IF(C226=C224,0,IF(D226=D225,0,(HLOOKUP(C226,Ingreso!$AN$10:$AU$260,VLOOKUP(A226,Ingreso!$AL$11:$AM$260,2,FALSE)))/24))</f>
        <v>#N/A</v>
      </c>
      <c r="I226" s="77" t="e">
        <f t="shared" si="7"/>
        <v>#N/A</v>
      </c>
    </row>
    <row r="227" spans="1:9">
      <c r="A227" s="85" t="str">
        <f>VLOOKUP('Informe Kelly'!A220,Base!A:B,2,FALSE)</f>
        <v>08.809.784-K</v>
      </c>
      <c r="B227" s="85" t="str">
        <f>VLOOKUP('Informe Kelly'!A220,Base!A:G,7,FALSE)</f>
        <v>AGUILERA  LABRIN,CARLOS ANTONIO</v>
      </c>
      <c r="C227" s="91">
        <f>'Informe Kelly'!E220</f>
        <v>40649</v>
      </c>
      <c r="D227" s="96">
        <f t="shared" si="6"/>
        <v>114</v>
      </c>
      <c r="E227" s="85" t="e">
        <f>VLOOKUP(A227,Ingreso!K:P,6,FALSE)</f>
        <v>#N/A</v>
      </c>
      <c r="F227" s="85">
        <f>IF('Informe Kelly'!H220=$A$2,'Informe Kelly'!F220,"")</f>
        <v>0.60342592592592592</v>
      </c>
      <c r="G227" s="85" t="str">
        <f>IF('Informe Kelly'!H220=$A$3,'Informe Kelly'!F220,"")</f>
        <v/>
      </c>
      <c r="H227" s="85">
        <f>IF(C227=C225,0,IF(D227=D226,0,(HLOOKUP(C227,Ingreso!$AN$10:$AU$260,VLOOKUP(A227,Ingreso!$AL$11:$AM$260,2,FALSE)))/24))</f>
        <v>0</v>
      </c>
      <c r="I227" s="77">
        <f t="shared" si="7"/>
        <v>0</v>
      </c>
    </row>
    <row r="228" spans="1:9">
      <c r="A228" s="85" t="str">
        <f>VLOOKUP('Informe Kelly'!A221,Base!A:B,2,FALSE)</f>
        <v>09.068.490-6</v>
      </c>
      <c r="B228" s="85" t="str">
        <f>VLOOKUP('Informe Kelly'!A221,Base!A:G,7,FALSE)</f>
        <v>GONZALEZ DEL VALLE DARIO RODOLFO</v>
      </c>
      <c r="C228" s="91">
        <f>'Informe Kelly'!E221</f>
        <v>40644</v>
      </c>
      <c r="D228" s="96">
        <f t="shared" si="6"/>
        <v>115</v>
      </c>
      <c r="E228" s="85" t="str">
        <f>VLOOKUP(A228,Ingreso!K:P,6,FALSE)</f>
        <v>Turno A</v>
      </c>
      <c r="F228" s="85">
        <f>IF('Informe Kelly'!H221=$A$2,'Informe Kelly'!F221,"")</f>
        <v>0.29636574074074074</v>
      </c>
      <c r="G228" s="85" t="str">
        <f>IF('Informe Kelly'!H221=$A$3,'Informe Kelly'!F221,"")</f>
        <v/>
      </c>
      <c r="H228" s="85">
        <f>IF(C228=C226,0,IF(D228=D227,0,(HLOOKUP(C228,Ingreso!$AN$10:$AU$260,VLOOKUP(A228,Ingreso!$AL$11:$AM$260,2,FALSE)))/24))</f>
        <v>0</v>
      </c>
      <c r="I228" s="77">
        <f t="shared" si="7"/>
        <v>0.3125</v>
      </c>
    </row>
    <row r="229" spans="1:9">
      <c r="A229" s="85" t="str">
        <f>VLOOKUP('Informe Kelly'!A222,Base!A:B,2,FALSE)</f>
        <v>09.068.490-6</v>
      </c>
      <c r="B229" s="85" t="str">
        <f>VLOOKUP('Informe Kelly'!A222,Base!A:G,7,FALSE)</f>
        <v>GONZALEZ DEL VALLE DARIO RODOLFO</v>
      </c>
      <c r="C229" s="91">
        <f>'Informe Kelly'!E222</f>
        <v>40644</v>
      </c>
      <c r="D229" s="96">
        <f t="shared" si="6"/>
        <v>115</v>
      </c>
      <c r="E229" s="85" t="str">
        <f>VLOOKUP(A229,Ingreso!K:P,6,FALSE)</f>
        <v>Turno A</v>
      </c>
      <c r="F229" s="85" t="str">
        <f>IF('Informe Kelly'!H222=$A$2,'Informe Kelly'!F222,"")</f>
        <v/>
      </c>
      <c r="G229" s="85">
        <f>IF('Informe Kelly'!H222=$A$3,'Informe Kelly'!F222,"")</f>
        <v>0.62843749999999998</v>
      </c>
      <c r="H229" s="85">
        <f>IF(C229=C227,0,IF(D229=D228,0,(HLOOKUP(C229,Ingreso!$AN$10:$AU$260,VLOOKUP(A229,Ingreso!$AL$11:$AM$260,2,FALSE)))/24))</f>
        <v>0</v>
      </c>
      <c r="I229" s="77">
        <f t="shared" si="7"/>
        <v>0</v>
      </c>
    </row>
    <row r="230" spans="1:9">
      <c r="A230" s="85" t="str">
        <f>VLOOKUP('Informe Kelly'!A223,Base!A:B,2,FALSE)</f>
        <v>09.068.490-6</v>
      </c>
      <c r="B230" s="85" t="str">
        <f>VLOOKUP('Informe Kelly'!A223,Base!A:G,7,FALSE)</f>
        <v>GONZALEZ DEL VALLE DARIO RODOLFO</v>
      </c>
      <c r="C230" s="91">
        <f>'Informe Kelly'!E223</f>
        <v>40645</v>
      </c>
      <c r="D230" s="96">
        <f t="shared" si="6"/>
        <v>116</v>
      </c>
      <c r="E230" s="85" t="str">
        <f>VLOOKUP(A230,Ingreso!K:P,6,FALSE)</f>
        <v>Turno A</v>
      </c>
      <c r="F230" s="85">
        <f>IF('Informe Kelly'!H223=$A$2,'Informe Kelly'!F223,"")</f>
        <v>0.29531250000000003</v>
      </c>
      <c r="G230" s="85" t="str">
        <f>IF('Informe Kelly'!H223=$A$3,'Informe Kelly'!F223,"")</f>
        <v/>
      </c>
      <c r="H230" s="85">
        <f>IF(C230=C228,0,IF(D230=D229,0,(HLOOKUP(C230,Ingreso!$AN$10:$AU$260,VLOOKUP(A230,Ingreso!$AL$11:$AM$260,2,FALSE)))/24))</f>
        <v>0</v>
      </c>
      <c r="I230" s="77">
        <f t="shared" si="7"/>
        <v>0.3125</v>
      </c>
    </row>
    <row r="231" spans="1:9">
      <c r="A231" s="85" t="str">
        <f>VLOOKUP('Informe Kelly'!A224,Base!A:B,2,FALSE)</f>
        <v>09.068.490-6</v>
      </c>
      <c r="B231" s="85" t="str">
        <f>VLOOKUP('Informe Kelly'!A224,Base!A:G,7,FALSE)</f>
        <v>GONZALEZ DEL VALLE DARIO RODOLFO</v>
      </c>
      <c r="C231" s="91">
        <f>'Informe Kelly'!E224</f>
        <v>40645</v>
      </c>
      <c r="D231" s="96">
        <f t="shared" si="6"/>
        <v>116</v>
      </c>
      <c r="E231" s="85" t="str">
        <f>VLOOKUP(A231,Ingreso!K:P,6,FALSE)</f>
        <v>Turno A</v>
      </c>
      <c r="F231" s="85" t="str">
        <f>IF('Informe Kelly'!H224=$A$2,'Informe Kelly'!F224,"")</f>
        <v/>
      </c>
      <c r="G231" s="85">
        <f>IF('Informe Kelly'!H224=$A$3,'Informe Kelly'!F224,"")</f>
        <v>0.62665509259259256</v>
      </c>
      <c r="H231" s="85">
        <f>IF(C231=C229,0,IF(D231=D230,0,(HLOOKUP(C231,Ingreso!$AN$10:$AU$260,VLOOKUP(A231,Ingreso!$AL$11:$AM$260,2,FALSE)))/24))</f>
        <v>0</v>
      </c>
      <c r="I231" s="77">
        <f t="shared" si="7"/>
        <v>0</v>
      </c>
    </row>
    <row r="232" spans="1:9">
      <c r="A232" s="85" t="str">
        <f>VLOOKUP('Informe Kelly'!A225,Base!A:B,2,FALSE)</f>
        <v>09.068.490-6</v>
      </c>
      <c r="B232" s="85" t="str">
        <f>VLOOKUP('Informe Kelly'!A225,Base!A:G,7,FALSE)</f>
        <v>GONZALEZ DEL VALLE DARIO RODOLFO</v>
      </c>
      <c r="C232" s="91">
        <f>'Informe Kelly'!E225</f>
        <v>40646</v>
      </c>
      <c r="D232" s="96">
        <f t="shared" si="6"/>
        <v>117</v>
      </c>
      <c r="E232" s="85" t="str">
        <f>VLOOKUP(A232,Ingreso!K:P,6,FALSE)</f>
        <v>Turno A</v>
      </c>
      <c r="F232" s="85">
        <f>IF('Informe Kelly'!H225=$A$2,'Informe Kelly'!F225,"")</f>
        <v>0.29517361111111112</v>
      </c>
      <c r="G232" s="85" t="str">
        <f>IF('Informe Kelly'!H225=$A$3,'Informe Kelly'!F225,"")</f>
        <v/>
      </c>
      <c r="H232" s="85">
        <f>IF(C232=C230,0,IF(D232=D231,0,(HLOOKUP(C232,Ingreso!$AN$10:$AU$260,VLOOKUP(A232,Ingreso!$AL$11:$AM$260,2,FALSE)))/24))</f>
        <v>0</v>
      </c>
      <c r="I232" s="77">
        <f t="shared" si="7"/>
        <v>0.3125</v>
      </c>
    </row>
    <row r="233" spans="1:9">
      <c r="A233" s="85" t="str">
        <f>VLOOKUP('Informe Kelly'!A226,Base!A:B,2,FALSE)</f>
        <v>09.068.490-6</v>
      </c>
      <c r="B233" s="85" t="str">
        <f>VLOOKUP('Informe Kelly'!A226,Base!A:G,7,FALSE)</f>
        <v>GONZALEZ DEL VALLE DARIO RODOLFO</v>
      </c>
      <c r="C233" s="91">
        <f>'Informe Kelly'!E226</f>
        <v>40646</v>
      </c>
      <c r="D233" s="96">
        <f t="shared" si="6"/>
        <v>117</v>
      </c>
      <c r="E233" s="85" t="str">
        <f>VLOOKUP(A233,Ingreso!K:P,6,FALSE)</f>
        <v>Turno A</v>
      </c>
      <c r="F233" s="85" t="str">
        <f>IF('Informe Kelly'!H226=$A$2,'Informe Kelly'!F226,"")</f>
        <v/>
      </c>
      <c r="G233" s="85">
        <f>IF('Informe Kelly'!H226=$A$3,'Informe Kelly'!F226,"")</f>
        <v>0.63958333333333328</v>
      </c>
      <c r="H233" s="85">
        <f>IF(C233=C231,0,IF(D233=D232,0,(HLOOKUP(C233,Ingreso!$AN$10:$AU$260,VLOOKUP(A233,Ingreso!$AL$11:$AM$260,2,FALSE)))/24))</f>
        <v>0</v>
      </c>
      <c r="I233" s="77">
        <f t="shared" si="7"/>
        <v>0</v>
      </c>
    </row>
    <row r="234" spans="1:9">
      <c r="A234" s="85" t="str">
        <f>VLOOKUP('Informe Kelly'!A227,Base!A:B,2,FALSE)</f>
        <v>09.068.490-6</v>
      </c>
      <c r="B234" s="85" t="str">
        <f>VLOOKUP('Informe Kelly'!A227,Base!A:G,7,FALSE)</f>
        <v>GONZALEZ DEL VALLE DARIO RODOLFO</v>
      </c>
      <c r="C234" s="91">
        <f>'Informe Kelly'!E227</f>
        <v>40647</v>
      </c>
      <c r="D234" s="96">
        <f t="shared" si="6"/>
        <v>118</v>
      </c>
      <c r="E234" s="85" t="str">
        <f>VLOOKUP(A234,Ingreso!K:P,6,FALSE)</f>
        <v>Turno A</v>
      </c>
      <c r="F234" s="85">
        <f>IF('Informe Kelly'!H227=$A$2,'Informe Kelly'!F227,"")</f>
        <v>0.29456018518518517</v>
      </c>
      <c r="G234" s="85" t="str">
        <f>IF('Informe Kelly'!H227=$A$3,'Informe Kelly'!F227,"")</f>
        <v/>
      </c>
      <c r="H234" s="85">
        <f>IF(C234=C232,0,IF(D234=D233,0,(HLOOKUP(C234,Ingreso!$AN$10:$AU$260,VLOOKUP(A234,Ingreso!$AL$11:$AM$260,2,FALSE)))/24))</f>
        <v>0</v>
      </c>
      <c r="I234" s="77">
        <f t="shared" si="7"/>
        <v>0.3125</v>
      </c>
    </row>
    <row r="235" spans="1:9">
      <c r="A235" s="85" t="str">
        <f>VLOOKUP('Informe Kelly'!A228,Base!A:B,2,FALSE)</f>
        <v>09.068.490-6</v>
      </c>
      <c r="B235" s="85" t="str">
        <f>VLOOKUP('Informe Kelly'!A228,Base!A:G,7,FALSE)</f>
        <v>GONZALEZ DEL VALLE DARIO RODOLFO</v>
      </c>
      <c r="C235" s="91">
        <f>'Informe Kelly'!E228</f>
        <v>40647</v>
      </c>
      <c r="D235" s="96">
        <f t="shared" si="6"/>
        <v>118</v>
      </c>
      <c r="E235" s="85" t="str">
        <f>VLOOKUP(A235,Ingreso!K:P,6,FALSE)</f>
        <v>Turno A</v>
      </c>
      <c r="F235" s="85" t="str">
        <f>IF('Informe Kelly'!H228=$A$2,'Informe Kelly'!F228,"")</f>
        <v/>
      </c>
      <c r="G235" s="85">
        <f>IF('Informe Kelly'!H228=$A$3,'Informe Kelly'!F228,"")</f>
        <v>0.63179398148148147</v>
      </c>
      <c r="H235" s="85">
        <f>IF(C235=C233,0,IF(D235=D234,0,(HLOOKUP(C235,Ingreso!$AN$10:$AU$260,VLOOKUP(A235,Ingreso!$AL$11:$AM$260,2,FALSE)))/24))</f>
        <v>0</v>
      </c>
      <c r="I235" s="77">
        <f t="shared" si="7"/>
        <v>0</v>
      </c>
    </row>
    <row r="236" spans="1:9">
      <c r="A236" s="85" t="str">
        <f>VLOOKUP('Informe Kelly'!A229,Base!A:B,2,FALSE)</f>
        <v>09.068.490-6</v>
      </c>
      <c r="B236" s="85" t="str">
        <f>VLOOKUP('Informe Kelly'!A229,Base!A:G,7,FALSE)</f>
        <v>GONZALEZ DEL VALLE DARIO RODOLFO</v>
      </c>
      <c r="C236" s="91">
        <f>'Informe Kelly'!E229</f>
        <v>40648</v>
      </c>
      <c r="D236" s="96">
        <f t="shared" si="6"/>
        <v>119</v>
      </c>
      <c r="E236" s="85" t="str">
        <f>VLOOKUP(A236,Ingreso!K:P,6,FALSE)</f>
        <v>Turno A</v>
      </c>
      <c r="F236" s="85" t="str">
        <f>IF('Informe Kelly'!H229=$A$2,'Informe Kelly'!F229,"")</f>
        <v/>
      </c>
      <c r="G236" s="85">
        <f>IF('Informe Kelly'!H229=$A$3,'Informe Kelly'!F229,"")</f>
        <v>0.63097222222222216</v>
      </c>
      <c r="H236" s="85">
        <f>IF(C236=C234,0,IF(D236=D235,0,(HLOOKUP(C236,Ingreso!$AN$10:$AU$260,VLOOKUP(A236,Ingreso!$AL$11:$AM$260,2,FALSE)))/24))</f>
        <v>0</v>
      </c>
      <c r="I236" s="77">
        <f t="shared" si="7"/>
        <v>0.3125</v>
      </c>
    </row>
    <row r="237" spans="1:9">
      <c r="A237" s="85" t="str">
        <f>VLOOKUP('Informe Kelly'!A230,Base!A:B,2,FALSE)</f>
        <v>09.068.490-6</v>
      </c>
      <c r="B237" s="85" t="str">
        <f>VLOOKUP('Informe Kelly'!A230,Base!A:G,7,FALSE)</f>
        <v>GONZALEZ DEL VALLE DARIO RODOLFO</v>
      </c>
      <c r="C237" s="91">
        <f>'Informe Kelly'!E230</f>
        <v>40648</v>
      </c>
      <c r="D237" s="96">
        <f t="shared" si="6"/>
        <v>119</v>
      </c>
      <c r="E237" s="85" t="str">
        <f>VLOOKUP(A237,Ingreso!K:P,6,FALSE)</f>
        <v>Turno A</v>
      </c>
      <c r="F237" s="85">
        <f>IF('Informe Kelly'!H230=$A$2,'Informe Kelly'!F230,"")</f>
        <v>0.29552083333333334</v>
      </c>
      <c r="G237" s="85" t="str">
        <f>IF('Informe Kelly'!H230=$A$3,'Informe Kelly'!F230,"")</f>
        <v/>
      </c>
      <c r="H237" s="85">
        <f>IF(C237=C235,0,IF(D237=D236,0,(HLOOKUP(C237,Ingreso!$AN$10:$AU$260,VLOOKUP(A237,Ingreso!$AL$11:$AM$260,2,FALSE)))/24))</f>
        <v>0</v>
      </c>
      <c r="I237" s="77">
        <f t="shared" si="7"/>
        <v>0</v>
      </c>
    </row>
    <row r="238" spans="1:9">
      <c r="A238" s="85" t="str">
        <f>VLOOKUP('Informe Kelly'!A231,Base!A:B,2,FALSE)</f>
        <v>09.068.490-6</v>
      </c>
      <c r="B238" s="85" t="str">
        <f>VLOOKUP('Informe Kelly'!A231,Base!A:G,7,FALSE)</f>
        <v>GONZALEZ DEL VALLE DARIO RODOLFO</v>
      </c>
      <c r="C238" s="91">
        <f>'Informe Kelly'!E231</f>
        <v>40649</v>
      </c>
      <c r="D238" s="96">
        <f t="shared" si="6"/>
        <v>120</v>
      </c>
      <c r="E238" s="85" t="str">
        <f>VLOOKUP(A238,Ingreso!K:P,6,FALSE)</f>
        <v>Turno A</v>
      </c>
      <c r="F238" s="85">
        <f>IF('Informe Kelly'!H231=$A$2,'Informe Kelly'!F231,"")</f>
        <v>0.29408564814814814</v>
      </c>
      <c r="G238" s="85" t="str">
        <f>IF('Informe Kelly'!H231=$A$3,'Informe Kelly'!F231,"")</f>
        <v/>
      </c>
      <c r="H238" s="85">
        <f>IF(C238=C236,0,IF(D238=D237,0,(HLOOKUP(C238,Ingreso!$AN$10:$AU$260,VLOOKUP(A238,Ingreso!$AL$11:$AM$260,2,FALSE)))/24))</f>
        <v>0</v>
      </c>
      <c r="I238" s="77">
        <f t="shared" si="7"/>
        <v>0.3125</v>
      </c>
    </row>
    <row r="239" spans="1:9">
      <c r="A239" s="85" t="str">
        <f>VLOOKUP('Informe Kelly'!A232,Base!A:B,2,FALSE)</f>
        <v>09.068.490-6</v>
      </c>
      <c r="B239" s="85" t="str">
        <f>VLOOKUP('Informe Kelly'!A232,Base!A:G,7,FALSE)</f>
        <v>GONZALEZ DEL VALLE DARIO RODOLFO</v>
      </c>
      <c r="C239" s="91">
        <f>'Informe Kelly'!E232</f>
        <v>40649</v>
      </c>
      <c r="D239" s="96">
        <f t="shared" si="6"/>
        <v>120</v>
      </c>
      <c r="E239" s="85" t="str">
        <f>VLOOKUP(A239,Ingreso!K:P,6,FALSE)</f>
        <v>Turno A</v>
      </c>
      <c r="F239" s="85" t="str">
        <f>IF('Informe Kelly'!H232=$A$2,'Informe Kelly'!F232,"")</f>
        <v/>
      </c>
      <c r="G239" s="85">
        <f>IF('Informe Kelly'!H232=$A$3,'Informe Kelly'!F232,"")</f>
        <v>0.6263657407407407</v>
      </c>
      <c r="H239" s="85">
        <f>IF(C239=C237,0,IF(D239=D238,0,(HLOOKUP(C239,Ingreso!$AN$10:$AU$260,VLOOKUP(A239,Ingreso!$AL$11:$AM$260,2,FALSE)))/24))</f>
        <v>0</v>
      </c>
      <c r="I239" s="77">
        <f t="shared" si="7"/>
        <v>0</v>
      </c>
    </row>
    <row r="240" spans="1:9">
      <c r="A240" s="85" t="str">
        <f>VLOOKUP('Informe Kelly'!A233,Base!A:B,2,FALSE)</f>
        <v>09.148.214-2</v>
      </c>
      <c r="B240" s="85" t="str">
        <f>VLOOKUP('Informe Kelly'!A233,Base!A:G,7,FALSE)</f>
        <v>BAEZA REYES JORGE</v>
      </c>
      <c r="C240" s="91">
        <f>'Informe Kelly'!E233</f>
        <v>40644</v>
      </c>
      <c r="D240" s="96">
        <f t="shared" si="6"/>
        <v>121</v>
      </c>
      <c r="E240" s="85" t="str">
        <f>VLOOKUP(A240,Ingreso!K:P,6,FALSE)</f>
        <v>Turno B</v>
      </c>
      <c r="F240" s="85">
        <f>IF('Informe Kelly'!H233=$A$2,'Informe Kelly'!F233,"")</f>
        <v>0.608912037037037</v>
      </c>
      <c r="G240" s="85" t="str">
        <f>IF('Informe Kelly'!H233=$A$3,'Informe Kelly'!F233,"")</f>
        <v/>
      </c>
      <c r="H240" s="85">
        <f>IF(C240=C238,0,IF(D240=D239,0,(HLOOKUP(C240,Ingreso!$AN$10:$AU$260,VLOOKUP(A240,Ingreso!$AL$11:$AM$260,2,FALSE)))/24))</f>
        <v>0</v>
      </c>
      <c r="I240" s="77">
        <f t="shared" si="7"/>
        <v>0.3125</v>
      </c>
    </row>
    <row r="241" spans="1:9">
      <c r="A241" s="85" t="str">
        <f>VLOOKUP('Informe Kelly'!A234,Base!A:B,2,FALSE)</f>
        <v>09.148.214-2</v>
      </c>
      <c r="B241" s="85" t="str">
        <f>VLOOKUP('Informe Kelly'!A234,Base!A:G,7,FALSE)</f>
        <v>BAEZA REYES JORGE</v>
      </c>
      <c r="C241" s="91">
        <f>'Informe Kelly'!E234</f>
        <v>40644</v>
      </c>
      <c r="D241" s="96">
        <f t="shared" si="6"/>
        <v>121</v>
      </c>
      <c r="E241" s="85" t="str">
        <f>VLOOKUP(A241,Ingreso!K:P,6,FALSE)</f>
        <v>Turno B</v>
      </c>
      <c r="F241" s="85" t="str">
        <f>IF('Informe Kelly'!H234=$A$2,'Informe Kelly'!F234,"")</f>
        <v/>
      </c>
      <c r="G241" s="85">
        <f>IF('Informe Kelly'!H234=$A$3,'Informe Kelly'!F234,"")</f>
        <v>0.94082175925925926</v>
      </c>
      <c r="H241" s="85">
        <f>IF(C241=C239,0,IF(D241=D240,0,(HLOOKUP(C241,Ingreso!$AN$10:$AU$260,VLOOKUP(A241,Ingreso!$AL$11:$AM$260,2,FALSE)))/24))</f>
        <v>0</v>
      </c>
      <c r="I241" s="77">
        <f t="shared" si="7"/>
        <v>0</v>
      </c>
    </row>
    <row r="242" spans="1:9">
      <c r="A242" s="85" t="str">
        <f>VLOOKUP('Informe Kelly'!A235,Base!A:B,2,FALSE)</f>
        <v>09.148.214-2</v>
      </c>
      <c r="B242" s="85" t="str">
        <f>VLOOKUP('Informe Kelly'!A235,Base!A:G,7,FALSE)</f>
        <v>BAEZA REYES JORGE</v>
      </c>
      <c r="C242" s="91">
        <f>'Informe Kelly'!E235</f>
        <v>40645</v>
      </c>
      <c r="D242" s="96">
        <f t="shared" si="6"/>
        <v>122</v>
      </c>
      <c r="E242" s="85" t="str">
        <f>VLOOKUP(A242,Ingreso!K:P,6,FALSE)</f>
        <v>Turno B</v>
      </c>
      <c r="F242" s="85">
        <f>IF('Informe Kelly'!H235=$A$2,'Informe Kelly'!F235,"")</f>
        <v>0.60494212962962968</v>
      </c>
      <c r="G242" s="85" t="str">
        <f>IF('Informe Kelly'!H235=$A$3,'Informe Kelly'!F235,"")</f>
        <v/>
      </c>
      <c r="H242" s="85">
        <f>IF(C242=C240,0,IF(D242=D241,0,(HLOOKUP(C242,Ingreso!$AN$10:$AU$260,VLOOKUP(A242,Ingreso!$AL$11:$AM$260,2,FALSE)))/24))</f>
        <v>0</v>
      </c>
      <c r="I242" s="77">
        <f t="shared" si="7"/>
        <v>0.3125</v>
      </c>
    </row>
    <row r="243" spans="1:9">
      <c r="A243" s="85" t="str">
        <f>VLOOKUP('Informe Kelly'!A236,Base!A:B,2,FALSE)</f>
        <v>09.148.214-2</v>
      </c>
      <c r="B243" s="85" t="str">
        <f>VLOOKUP('Informe Kelly'!A236,Base!A:G,7,FALSE)</f>
        <v>BAEZA REYES JORGE</v>
      </c>
      <c r="C243" s="91">
        <f>'Informe Kelly'!E236</f>
        <v>40645</v>
      </c>
      <c r="D243" s="96">
        <f t="shared" si="6"/>
        <v>122</v>
      </c>
      <c r="E243" s="85" t="str">
        <f>VLOOKUP(A243,Ingreso!K:P,6,FALSE)</f>
        <v>Turno B</v>
      </c>
      <c r="F243" s="85" t="str">
        <f>IF('Informe Kelly'!H236=$A$2,'Informe Kelly'!F236,"")</f>
        <v/>
      </c>
      <c r="G243" s="85">
        <f>IF('Informe Kelly'!H236=$A$3,'Informe Kelly'!F236,"")</f>
        <v>0.93564814814814812</v>
      </c>
      <c r="H243" s="85">
        <f>IF(C243=C241,0,IF(D243=D242,0,(HLOOKUP(C243,Ingreso!$AN$10:$AU$260,VLOOKUP(A243,Ingreso!$AL$11:$AM$260,2,FALSE)))/24))</f>
        <v>0</v>
      </c>
      <c r="I243" s="77">
        <f t="shared" si="7"/>
        <v>0</v>
      </c>
    </row>
    <row r="244" spans="1:9">
      <c r="A244" s="85" t="str">
        <f>VLOOKUP('Informe Kelly'!A237,Base!A:B,2,FALSE)</f>
        <v>09.148.214-2</v>
      </c>
      <c r="B244" s="85" t="str">
        <f>VLOOKUP('Informe Kelly'!A237,Base!A:G,7,FALSE)</f>
        <v>BAEZA REYES JORGE</v>
      </c>
      <c r="C244" s="91">
        <f>'Informe Kelly'!E237</f>
        <v>40646</v>
      </c>
      <c r="D244" s="96">
        <f t="shared" si="6"/>
        <v>123</v>
      </c>
      <c r="E244" s="85" t="str">
        <f>VLOOKUP(A244,Ingreso!K:P,6,FALSE)</f>
        <v>Turno B</v>
      </c>
      <c r="F244" s="85">
        <f>IF('Informe Kelly'!H237=$A$2,'Informe Kelly'!F237,"")</f>
        <v>0.60703703703703704</v>
      </c>
      <c r="G244" s="85" t="str">
        <f>IF('Informe Kelly'!H237=$A$3,'Informe Kelly'!F237,"")</f>
        <v/>
      </c>
      <c r="H244" s="85">
        <f>IF(C244=C242,0,IF(D244=D243,0,(HLOOKUP(C244,Ingreso!$AN$10:$AU$260,VLOOKUP(A244,Ingreso!$AL$11:$AM$260,2,FALSE)))/24))</f>
        <v>0</v>
      </c>
      <c r="I244" s="77">
        <f t="shared" si="7"/>
        <v>0.3125</v>
      </c>
    </row>
    <row r="245" spans="1:9">
      <c r="A245" s="85" t="str">
        <f>VLOOKUP('Informe Kelly'!A238,Base!A:B,2,FALSE)</f>
        <v>09.148.214-2</v>
      </c>
      <c r="B245" s="85" t="str">
        <f>VLOOKUP('Informe Kelly'!A238,Base!A:G,7,FALSE)</f>
        <v>BAEZA REYES JORGE</v>
      </c>
      <c r="C245" s="91">
        <f>'Informe Kelly'!E238</f>
        <v>40646</v>
      </c>
      <c r="D245" s="96">
        <f t="shared" si="6"/>
        <v>123</v>
      </c>
      <c r="E245" s="85" t="str">
        <f>VLOOKUP(A245,Ingreso!K:P,6,FALSE)</f>
        <v>Turno B</v>
      </c>
      <c r="F245" s="85" t="str">
        <f>IF('Informe Kelly'!H238=$A$2,'Informe Kelly'!F238,"")</f>
        <v/>
      </c>
      <c r="G245" s="85">
        <f>IF('Informe Kelly'!H238=$A$3,'Informe Kelly'!F238,"")</f>
        <v>0.93839120370370377</v>
      </c>
      <c r="H245" s="85">
        <f>IF(C245=C243,0,IF(D245=D244,0,(HLOOKUP(C245,Ingreso!$AN$10:$AU$260,VLOOKUP(A245,Ingreso!$AL$11:$AM$260,2,FALSE)))/24))</f>
        <v>0</v>
      </c>
      <c r="I245" s="77">
        <f t="shared" si="7"/>
        <v>0</v>
      </c>
    </row>
    <row r="246" spans="1:9">
      <c r="A246" s="85" t="str">
        <f>VLOOKUP('Informe Kelly'!A239,Base!A:B,2,FALSE)</f>
        <v>09.148.214-2</v>
      </c>
      <c r="B246" s="85" t="str">
        <f>VLOOKUP('Informe Kelly'!A239,Base!A:G,7,FALSE)</f>
        <v>BAEZA REYES JORGE</v>
      </c>
      <c r="C246" s="91">
        <f>'Informe Kelly'!E239</f>
        <v>40647</v>
      </c>
      <c r="D246" s="96">
        <f t="shared" si="6"/>
        <v>124</v>
      </c>
      <c r="E246" s="85" t="str">
        <f>VLOOKUP(A246,Ingreso!K:P,6,FALSE)</f>
        <v>Turno B</v>
      </c>
      <c r="F246" s="85">
        <f>IF('Informe Kelly'!H239=$A$2,'Informe Kelly'!F239,"")</f>
        <v>0.60685185185185186</v>
      </c>
      <c r="G246" s="85" t="str">
        <f>IF('Informe Kelly'!H239=$A$3,'Informe Kelly'!F239,"")</f>
        <v/>
      </c>
      <c r="H246" s="85">
        <f>IF(C246=C244,0,IF(D246=D245,0,(HLOOKUP(C246,Ingreso!$AN$10:$AU$260,VLOOKUP(A246,Ingreso!$AL$11:$AM$260,2,FALSE)))/24))</f>
        <v>0</v>
      </c>
      <c r="I246" s="77">
        <f t="shared" si="7"/>
        <v>0.3125</v>
      </c>
    </row>
    <row r="247" spans="1:9">
      <c r="A247" s="85" t="str">
        <f>VLOOKUP('Informe Kelly'!A240,Base!A:B,2,FALSE)</f>
        <v>09.148.214-2</v>
      </c>
      <c r="B247" s="85" t="str">
        <f>VLOOKUP('Informe Kelly'!A240,Base!A:G,7,FALSE)</f>
        <v>BAEZA REYES JORGE</v>
      </c>
      <c r="C247" s="91">
        <f>'Informe Kelly'!E240</f>
        <v>40647</v>
      </c>
      <c r="D247" s="96">
        <f t="shared" si="6"/>
        <v>124</v>
      </c>
      <c r="E247" s="85" t="str">
        <f>VLOOKUP(A247,Ingreso!K:P,6,FALSE)</f>
        <v>Turno B</v>
      </c>
      <c r="F247" s="85" t="str">
        <f>IF('Informe Kelly'!H240=$A$2,'Informe Kelly'!F240,"")</f>
        <v/>
      </c>
      <c r="G247" s="85">
        <f>IF('Informe Kelly'!H240=$A$3,'Informe Kelly'!F240,"")</f>
        <v>0.94194444444444436</v>
      </c>
      <c r="H247" s="85">
        <f>IF(C247=C245,0,IF(D247=D246,0,(HLOOKUP(C247,Ingreso!$AN$10:$AU$260,VLOOKUP(A247,Ingreso!$AL$11:$AM$260,2,FALSE)))/24))</f>
        <v>0</v>
      </c>
      <c r="I247" s="77">
        <f t="shared" si="7"/>
        <v>0</v>
      </c>
    </row>
    <row r="248" spans="1:9">
      <c r="A248" s="85" t="str">
        <f>VLOOKUP('Informe Kelly'!A241,Base!A:B,2,FALSE)</f>
        <v>09.148.214-2</v>
      </c>
      <c r="B248" s="85" t="str">
        <f>VLOOKUP('Informe Kelly'!A241,Base!A:G,7,FALSE)</f>
        <v>BAEZA REYES JORGE</v>
      </c>
      <c r="C248" s="91">
        <f>'Informe Kelly'!E241</f>
        <v>40648</v>
      </c>
      <c r="D248" s="96">
        <f t="shared" si="6"/>
        <v>125</v>
      </c>
      <c r="E248" s="85" t="str">
        <f>VLOOKUP(A248,Ingreso!K:P,6,FALSE)</f>
        <v>Turno B</v>
      </c>
      <c r="F248" s="85" t="str">
        <f>IF('Informe Kelly'!H241=$A$2,'Informe Kelly'!F241,"")</f>
        <v/>
      </c>
      <c r="G248" s="85">
        <f>IF('Informe Kelly'!H241=$A$3,'Informe Kelly'!F241,"")</f>
        <v>0.94081018518518522</v>
      </c>
      <c r="H248" s="85">
        <f>IF(C248=C246,0,IF(D248=D247,0,(HLOOKUP(C248,Ingreso!$AN$10:$AU$260,VLOOKUP(A248,Ingreso!$AL$11:$AM$260,2,FALSE)))/24))</f>
        <v>0</v>
      </c>
      <c r="I248" s="77">
        <f t="shared" si="7"/>
        <v>0.3125</v>
      </c>
    </row>
    <row r="249" spans="1:9">
      <c r="A249" s="85" t="str">
        <f>VLOOKUP('Informe Kelly'!A242,Base!A:B,2,FALSE)</f>
        <v>09.148.214-2</v>
      </c>
      <c r="B249" s="85" t="str">
        <f>VLOOKUP('Informe Kelly'!A242,Base!A:G,7,FALSE)</f>
        <v>BAEZA REYES JORGE</v>
      </c>
      <c r="C249" s="91">
        <f>'Informe Kelly'!E242</f>
        <v>40648</v>
      </c>
      <c r="D249" s="96">
        <f t="shared" si="6"/>
        <v>125</v>
      </c>
      <c r="E249" s="85" t="str">
        <f>VLOOKUP(A249,Ingreso!K:P,6,FALSE)</f>
        <v>Turno B</v>
      </c>
      <c r="F249" s="85">
        <f>IF('Informe Kelly'!H242=$A$2,'Informe Kelly'!F242,"")</f>
        <v>0.60576388888888888</v>
      </c>
      <c r="G249" s="85" t="str">
        <f>IF('Informe Kelly'!H242=$A$3,'Informe Kelly'!F242,"")</f>
        <v/>
      </c>
      <c r="H249" s="85">
        <f>IF(C249=C247,0,IF(D249=D248,0,(HLOOKUP(C249,Ingreso!$AN$10:$AU$260,VLOOKUP(A249,Ingreso!$AL$11:$AM$260,2,FALSE)))/24))</f>
        <v>0</v>
      </c>
      <c r="I249" s="77">
        <f t="shared" si="7"/>
        <v>0</v>
      </c>
    </row>
    <row r="250" spans="1:9">
      <c r="A250" s="85" t="str">
        <f>VLOOKUP('Informe Kelly'!A243,Base!A:B,2,FALSE)</f>
        <v>09.148.214-2</v>
      </c>
      <c r="B250" s="85" t="str">
        <f>VLOOKUP('Informe Kelly'!A243,Base!A:G,7,FALSE)</f>
        <v>BAEZA REYES JORGE</v>
      </c>
      <c r="C250" s="91">
        <f>'Informe Kelly'!E243</f>
        <v>40649</v>
      </c>
      <c r="D250" s="96">
        <f t="shared" si="6"/>
        <v>126</v>
      </c>
      <c r="E250" s="85" t="str">
        <f>VLOOKUP(A250,Ingreso!K:P,6,FALSE)</f>
        <v>Turno B</v>
      </c>
      <c r="F250" s="85">
        <f>IF('Informe Kelly'!H243=$A$2,'Informe Kelly'!F243,"")</f>
        <v>0.6127083333333333</v>
      </c>
      <c r="G250" s="85" t="str">
        <f>IF('Informe Kelly'!H243=$A$3,'Informe Kelly'!F243,"")</f>
        <v/>
      </c>
      <c r="H250" s="85">
        <f>IF(C250=C248,0,IF(D250=D249,0,(HLOOKUP(C250,Ingreso!$AN$10:$AU$260,VLOOKUP(A250,Ingreso!$AL$11:$AM$260,2,FALSE)))/24))</f>
        <v>0</v>
      </c>
      <c r="I250" s="77">
        <f t="shared" si="7"/>
        <v>0.3125</v>
      </c>
    </row>
    <row r="251" spans="1:9">
      <c r="A251" s="85" t="str">
        <f>VLOOKUP('Informe Kelly'!A244,Base!A:B,2,FALSE)</f>
        <v>09.148.214-2</v>
      </c>
      <c r="B251" s="85" t="str">
        <f>VLOOKUP('Informe Kelly'!A244,Base!A:G,7,FALSE)</f>
        <v>BAEZA REYES JORGE</v>
      </c>
      <c r="C251" s="91">
        <f>'Informe Kelly'!E244</f>
        <v>40649</v>
      </c>
      <c r="D251" s="96">
        <f t="shared" si="6"/>
        <v>126</v>
      </c>
      <c r="E251" s="85" t="str">
        <f>VLOOKUP(A251,Ingreso!K:P,6,FALSE)</f>
        <v>Turno B</v>
      </c>
      <c r="F251" s="85" t="str">
        <f>IF('Informe Kelly'!H244=$A$2,'Informe Kelly'!F244,"")</f>
        <v/>
      </c>
      <c r="G251" s="85">
        <f>IF('Informe Kelly'!H244=$A$3,'Informe Kelly'!F244,"")</f>
        <v>0.94087962962962957</v>
      </c>
      <c r="H251" s="85">
        <f>IF(C251=C249,0,IF(D251=D250,0,(HLOOKUP(C251,Ingreso!$AN$10:$AU$260,VLOOKUP(A251,Ingreso!$AL$11:$AM$260,2,FALSE)))/24))</f>
        <v>0</v>
      </c>
      <c r="I251" s="77">
        <f t="shared" si="7"/>
        <v>0</v>
      </c>
    </row>
    <row r="252" spans="1:9">
      <c r="A252" s="85" t="str">
        <f>VLOOKUP('Informe Kelly'!A245,Base!A:B,2,FALSE)</f>
        <v>09.571.017-4</v>
      </c>
      <c r="B252" s="85" t="str">
        <f>VLOOKUP('Informe Kelly'!A245,Base!A:G,7,FALSE)</f>
        <v>GALLARDO CASTRO MIGUEL FRANCISCO</v>
      </c>
      <c r="C252" s="91">
        <f>'Informe Kelly'!E245</f>
        <v>40644</v>
      </c>
      <c r="D252" s="96">
        <f t="shared" si="6"/>
        <v>127</v>
      </c>
      <c r="E252" s="85" t="str">
        <f>VLOOKUP(A252,Ingreso!K:P,6,FALSE)</f>
        <v>Turno A</v>
      </c>
      <c r="F252" s="85">
        <f>IF('Informe Kelly'!H245=$A$2,'Informe Kelly'!F245,"")</f>
        <v>0.30920138888888887</v>
      </c>
      <c r="G252" s="85" t="str">
        <f>IF('Informe Kelly'!H245=$A$3,'Informe Kelly'!F245,"")</f>
        <v/>
      </c>
      <c r="H252" s="85">
        <f>IF(C252=C250,0,IF(D252=D251,0,(HLOOKUP(C252,Ingreso!$AN$10:$AU$260,VLOOKUP(A252,Ingreso!$AL$11:$AM$260,2,FALSE)))/24))</f>
        <v>0</v>
      </c>
      <c r="I252" s="77">
        <f t="shared" si="7"/>
        <v>0.3125</v>
      </c>
    </row>
    <row r="253" spans="1:9">
      <c r="A253" s="85" t="str">
        <f>VLOOKUP('Informe Kelly'!A246,Base!A:B,2,FALSE)</f>
        <v>09.571.017-4</v>
      </c>
      <c r="B253" s="85" t="str">
        <f>VLOOKUP('Informe Kelly'!A246,Base!A:G,7,FALSE)</f>
        <v>GALLARDO CASTRO MIGUEL FRANCISCO</v>
      </c>
      <c r="C253" s="91">
        <f>'Informe Kelly'!E246</f>
        <v>40644</v>
      </c>
      <c r="D253" s="96">
        <f t="shared" si="6"/>
        <v>127</v>
      </c>
      <c r="E253" s="85" t="str">
        <f>VLOOKUP(A253,Ingreso!K:P,6,FALSE)</f>
        <v>Turno A</v>
      </c>
      <c r="F253" s="85" t="str">
        <f>IF('Informe Kelly'!H246=$A$2,'Informe Kelly'!F246,"")</f>
        <v/>
      </c>
      <c r="G253" s="85">
        <f>IF('Informe Kelly'!H246=$A$3,'Informe Kelly'!F246,"")</f>
        <v>0.64166666666666672</v>
      </c>
      <c r="H253" s="85">
        <f>IF(C253=C251,0,IF(D253=D252,0,(HLOOKUP(C253,Ingreso!$AN$10:$AU$260,VLOOKUP(A253,Ingreso!$AL$11:$AM$260,2,FALSE)))/24))</f>
        <v>0</v>
      </c>
      <c r="I253" s="77">
        <f t="shared" si="7"/>
        <v>0</v>
      </c>
    </row>
    <row r="254" spans="1:9">
      <c r="A254" s="85" t="str">
        <f>VLOOKUP('Informe Kelly'!A247,Base!A:B,2,FALSE)</f>
        <v>09.571.017-4</v>
      </c>
      <c r="B254" s="85" t="str">
        <f>VLOOKUP('Informe Kelly'!A247,Base!A:G,7,FALSE)</f>
        <v>GALLARDO CASTRO MIGUEL FRANCISCO</v>
      </c>
      <c r="C254" s="91">
        <f>'Informe Kelly'!E247</f>
        <v>40645</v>
      </c>
      <c r="D254" s="96">
        <f t="shared" si="6"/>
        <v>128</v>
      </c>
      <c r="E254" s="85" t="str">
        <f>VLOOKUP(A254,Ingreso!K:P,6,FALSE)</f>
        <v>Turno A</v>
      </c>
      <c r="F254" s="85">
        <f>IF('Informe Kelly'!H247=$A$2,'Informe Kelly'!F247,"")</f>
        <v>0.29864583333333333</v>
      </c>
      <c r="G254" s="85" t="str">
        <f>IF('Informe Kelly'!H247=$A$3,'Informe Kelly'!F247,"")</f>
        <v/>
      </c>
      <c r="H254" s="85">
        <f>IF(C254=C252,0,IF(D254=D253,0,(HLOOKUP(C254,Ingreso!$AN$10:$AU$260,VLOOKUP(A254,Ingreso!$AL$11:$AM$260,2,FALSE)))/24))</f>
        <v>0</v>
      </c>
      <c r="I254" s="77">
        <f t="shared" si="7"/>
        <v>0.3125</v>
      </c>
    </row>
    <row r="255" spans="1:9">
      <c r="A255" s="85" t="str">
        <f>VLOOKUP('Informe Kelly'!A248,Base!A:B,2,FALSE)</f>
        <v>09.571.017-4</v>
      </c>
      <c r="B255" s="85" t="str">
        <f>VLOOKUP('Informe Kelly'!A248,Base!A:G,7,FALSE)</f>
        <v>GALLARDO CASTRO MIGUEL FRANCISCO</v>
      </c>
      <c r="C255" s="91">
        <f>'Informe Kelly'!E248</f>
        <v>40645</v>
      </c>
      <c r="D255" s="96">
        <f t="shared" si="6"/>
        <v>128</v>
      </c>
      <c r="E255" s="85" t="str">
        <f>VLOOKUP(A255,Ingreso!K:P,6,FALSE)</f>
        <v>Turno A</v>
      </c>
      <c r="F255" s="85" t="str">
        <f>IF('Informe Kelly'!H248=$A$2,'Informe Kelly'!F248,"")</f>
        <v/>
      </c>
      <c r="G255" s="85">
        <f>IF('Informe Kelly'!H248=$A$3,'Informe Kelly'!F248,"")</f>
        <v>0.64071759259259264</v>
      </c>
      <c r="H255" s="85">
        <f>IF(C255=C253,0,IF(D255=D254,0,(HLOOKUP(C255,Ingreso!$AN$10:$AU$260,VLOOKUP(A255,Ingreso!$AL$11:$AM$260,2,FALSE)))/24))</f>
        <v>0</v>
      </c>
      <c r="I255" s="77">
        <f t="shared" si="7"/>
        <v>0</v>
      </c>
    </row>
    <row r="256" spans="1:9">
      <c r="A256" s="85" t="str">
        <f>VLOOKUP('Informe Kelly'!A249,Base!A:B,2,FALSE)</f>
        <v>09.571.017-4</v>
      </c>
      <c r="B256" s="85" t="str">
        <f>VLOOKUP('Informe Kelly'!A249,Base!A:G,7,FALSE)</f>
        <v>GALLARDO CASTRO MIGUEL FRANCISCO</v>
      </c>
      <c r="C256" s="91">
        <f>'Informe Kelly'!E249</f>
        <v>40646</v>
      </c>
      <c r="D256" s="96">
        <f t="shared" si="6"/>
        <v>129</v>
      </c>
      <c r="E256" s="85" t="str">
        <f>VLOOKUP(A256,Ingreso!K:P,6,FALSE)</f>
        <v>Turno A</v>
      </c>
      <c r="F256" s="85">
        <f>IF('Informe Kelly'!H249=$A$2,'Informe Kelly'!F249,"")</f>
        <v>0.30380787037037038</v>
      </c>
      <c r="G256" s="85" t="str">
        <f>IF('Informe Kelly'!H249=$A$3,'Informe Kelly'!F249,"")</f>
        <v/>
      </c>
      <c r="H256" s="85">
        <f>IF(C256=C254,0,IF(D256=D255,0,(HLOOKUP(C256,Ingreso!$AN$10:$AU$260,VLOOKUP(A256,Ingreso!$AL$11:$AM$260,2,FALSE)))/24))</f>
        <v>0</v>
      </c>
      <c r="I256" s="77">
        <f t="shared" si="7"/>
        <v>0.3125</v>
      </c>
    </row>
    <row r="257" spans="1:9">
      <c r="A257" s="85" t="str">
        <f>VLOOKUP('Informe Kelly'!A250,Base!A:B,2,FALSE)</f>
        <v>09.571.017-4</v>
      </c>
      <c r="B257" s="85" t="str">
        <f>VLOOKUP('Informe Kelly'!A250,Base!A:G,7,FALSE)</f>
        <v>GALLARDO CASTRO MIGUEL FRANCISCO</v>
      </c>
      <c r="C257" s="91">
        <f>'Informe Kelly'!E250</f>
        <v>40646</v>
      </c>
      <c r="D257" s="96">
        <f t="shared" si="6"/>
        <v>129</v>
      </c>
      <c r="E257" s="85" t="str">
        <f>VLOOKUP(A257,Ingreso!K:P,6,FALSE)</f>
        <v>Turno A</v>
      </c>
      <c r="F257" s="85" t="str">
        <f>IF('Informe Kelly'!H250=$A$2,'Informe Kelly'!F250,"")</f>
        <v/>
      </c>
      <c r="G257" s="85">
        <f>IF('Informe Kelly'!H250=$A$3,'Informe Kelly'!F250,"")</f>
        <v>0.64167824074074076</v>
      </c>
      <c r="H257" s="85">
        <f>IF(C257=C255,0,IF(D257=D256,0,(HLOOKUP(C257,Ingreso!$AN$10:$AU$260,VLOOKUP(A257,Ingreso!$AL$11:$AM$260,2,FALSE)))/24))</f>
        <v>0</v>
      </c>
      <c r="I257" s="77">
        <f t="shared" si="7"/>
        <v>0</v>
      </c>
    </row>
    <row r="258" spans="1:9">
      <c r="A258" s="85" t="str">
        <f>VLOOKUP('Informe Kelly'!A251,Base!A:B,2,FALSE)</f>
        <v>09.571.017-4</v>
      </c>
      <c r="B258" s="85" t="str">
        <f>VLOOKUP('Informe Kelly'!A251,Base!A:G,7,FALSE)</f>
        <v>GALLARDO CASTRO MIGUEL FRANCISCO</v>
      </c>
      <c r="C258" s="91">
        <f>'Informe Kelly'!E251</f>
        <v>40647</v>
      </c>
      <c r="D258" s="96">
        <f t="shared" si="6"/>
        <v>130</v>
      </c>
      <c r="E258" s="85" t="str">
        <f>VLOOKUP(A258,Ingreso!K:P,6,FALSE)</f>
        <v>Turno A</v>
      </c>
      <c r="F258" s="85">
        <f>IF('Informe Kelly'!H251=$A$2,'Informe Kelly'!F251,"")</f>
        <v>0.31605324074074076</v>
      </c>
      <c r="G258" s="85" t="str">
        <f>IF('Informe Kelly'!H251=$A$3,'Informe Kelly'!F251,"")</f>
        <v/>
      </c>
      <c r="H258" s="85">
        <f>IF(C258=C256,0,IF(D258=D257,0,(HLOOKUP(C258,Ingreso!$AN$10:$AU$260,VLOOKUP(A258,Ingreso!$AL$11:$AM$260,2,FALSE)))/24))</f>
        <v>0</v>
      </c>
      <c r="I258" s="77">
        <f t="shared" si="7"/>
        <v>0.3125</v>
      </c>
    </row>
    <row r="259" spans="1:9">
      <c r="A259" s="85" t="str">
        <f>VLOOKUP('Informe Kelly'!A252,Base!A:B,2,FALSE)</f>
        <v>09.571.017-4</v>
      </c>
      <c r="B259" s="85" t="str">
        <f>VLOOKUP('Informe Kelly'!A252,Base!A:G,7,FALSE)</f>
        <v>GALLARDO CASTRO MIGUEL FRANCISCO</v>
      </c>
      <c r="C259" s="91">
        <f>'Informe Kelly'!E252</f>
        <v>40647</v>
      </c>
      <c r="D259" s="96">
        <f t="shared" si="6"/>
        <v>130</v>
      </c>
      <c r="E259" s="85" t="str">
        <f>VLOOKUP(A259,Ingreso!K:P,6,FALSE)</f>
        <v>Turno A</v>
      </c>
      <c r="F259" s="85" t="str">
        <f>IF('Informe Kelly'!H252=$A$2,'Informe Kelly'!F252,"")</f>
        <v/>
      </c>
      <c r="G259" s="85">
        <f>IF('Informe Kelly'!H252=$A$3,'Informe Kelly'!F252,"")</f>
        <v>0.63834490740740735</v>
      </c>
      <c r="H259" s="85">
        <f>IF(C259=C257,0,IF(D259=D258,0,(HLOOKUP(C259,Ingreso!$AN$10:$AU$260,VLOOKUP(A259,Ingreso!$AL$11:$AM$260,2,FALSE)))/24))</f>
        <v>0</v>
      </c>
      <c r="I259" s="77">
        <f t="shared" si="7"/>
        <v>0</v>
      </c>
    </row>
    <row r="260" spans="1:9">
      <c r="A260" s="85" t="str">
        <f>VLOOKUP('Informe Kelly'!A253,Base!A:B,2,FALSE)</f>
        <v>09.571.017-4</v>
      </c>
      <c r="B260" s="85" t="str">
        <f>VLOOKUP('Informe Kelly'!A253,Base!A:G,7,FALSE)</f>
        <v>GALLARDO CASTRO MIGUEL FRANCISCO</v>
      </c>
      <c r="C260" s="91">
        <f>'Informe Kelly'!E253</f>
        <v>40648</v>
      </c>
      <c r="D260" s="96">
        <f t="shared" si="6"/>
        <v>131</v>
      </c>
      <c r="E260" s="85" t="str">
        <f>VLOOKUP(A260,Ingreso!K:P,6,FALSE)</f>
        <v>Turno A</v>
      </c>
      <c r="F260" s="85" t="str">
        <f>IF('Informe Kelly'!H253=$A$2,'Informe Kelly'!F253,"")</f>
        <v/>
      </c>
      <c r="G260" s="85">
        <f>IF('Informe Kelly'!H253=$A$3,'Informe Kelly'!F253,"")</f>
        <v>0.64248842592592592</v>
      </c>
      <c r="H260" s="85">
        <f>IF(C260=C258,0,IF(D260=D259,0,(HLOOKUP(C260,Ingreso!$AN$10:$AU$260,VLOOKUP(A260,Ingreso!$AL$11:$AM$260,2,FALSE)))/24))</f>
        <v>0</v>
      </c>
      <c r="I260" s="77">
        <f t="shared" si="7"/>
        <v>0.3125</v>
      </c>
    </row>
    <row r="261" spans="1:9">
      <c r="A261" s="85" t="str">
        <f>VLOOKUP('Informe Kelly'!A254,Base!A:B,2,FALSE)</f>
        <v>09.571.017-4</v>
      </c>
      <c r="B261" s="85" t="str">
        <f>VLOOKUP('Informe Kelly'!A254,Base!A:G,7,FALSE)</f>
        <v>GALLARDO CASTRO MIGUEL FRANCISCO</v>
      </c>
      <c r="C261" s="91">
        <f>'Informe Kelly'!E254</f>
        <v>40648</v>
      </c>
      <c r="D261" s="96">
        <f t="shared" si="6"/>
        <v>131</v>
      </c>
      <c r="E261" s="85" t="str">
        <f>VLOOKUP(A261,Ingreso!K:P,6,FALSE)</f>
        <v>Turno A</v>
      </c>
      <c r="F261" s="85">
        <f>IF('Informe Kelly'!H254=$A$2,'Informe Kelly'!F254,"")</f>
        <v>0.30523148148148149</v>
      </c>
      <c r="G261" s="85" t="str">
        <f>IF('Informe Kelly'!H254=$A$3,'Informe Kelly'!F254,"")</f>
        <v/>
      </c>
      <c r="H261" s="85">
        <f>IF(C261=C259,0,IF(D261=D260,0,(HLOOKUP(C261,Ingreso!$AN$10:$AU$260,VLOOKUP(A261,Ingreso!$AL$11:$AM$260,2,FALSE)))/24))</f>
        <v>0</v>
      </c>
      <c r="I261" s="77">
        <f t="shared" si="7"/>
        <v>0</v>
      </c>
    </row>
    <row r="262" spans="1:9">
      <c r="A262" s="85" t="str">
        <f>VLOOKUP('Informe Kelly'!A255,Base!A:B,2,FALSE)</f>
        <v>09.571.017-4</v>
      </c>
      <c r="B262" s="85" t="str">
        <f>VLOOKUP('Informe Kelly'!A255,Base!A:G,7,FALSE)</f>
        <v>GALLARDO CASTRO MIGUEL FRANCISCO</v>
      </c>
      <c r="C262" s="91">
        <f>'Informe Kelly'!E255</f>
        <v>40649</v>
      </c>
      <c r="D262" s="96">
        <f t="shared" si="6"/>
        <v>132</v>
      </c>
      <c r="E262" s="85" t="str">
        <f>VLOOKUP(A262,Ingreso!K:P,6,FALSE)</f>
        <v>Turno A</v>
      </c>
      <c r="F262" s="85">
        <f>IF('Informe Kelly'!H255=$A$2,'Informe Kelly'!F255,"")</f>
        <v>0.35094907407407411</v>
      </c>
      <c r="G262" s="85" t="str">
        <f>IF('Informe Kelly'!H255=$A$3,'Informe Kelly'!F255,"")</f>
        <v/>
      </c>
      <c r="H262" s="85">
        <f>IF(C262=C260,0,IF(D262=D261,0,(HLOOKUP(C262,Ingreso!$AN$10:$AU$260,VLOOKUP(A262,Ingreso!$AL$11:$AM$260,2,FALSE)))/24))</f>
        <v>0</v>
      </c>
      <c r="I262" s="77">
        <f t="shared" si="7"/>
        <v>0.3125</v>
      </c>
    </row>
    <row r="263" spans="1:9">
      <c r="A263" s="85" t="str">
        <f>VLOOKUP('Informe Kelly'!A256,Base!A:B,2,FALSE)</f>
        <v>09.571.017-4</v>
      </c>
      <c r="B263" s="85" t="str">
        <f>VLOOKUP('Informe Kelly'!A256,Base!A:G,7,FALSE)</f>
        <v>GALLARDO CASTRO MIGUEL FRANCISCO</v>
      </c>
      <c r="C263" s="91">
        <f>'Informe Kelly'!E256</f>
        <v>40649</v>
      </c>
      <c r="D263" s="96">
        <f t="shared" si="6"/>
        <v>132</v>
      </c>
      <c r="E263" s="85" t="str">
        <f>VLOOKUP(A263,Ingreso!K:P,6,FALSE)</f>
        <v>Turno A</v>
      </c>
      <c r="F263" s="85" t="str">
        <f>IF('Informe Kelly'!H256=$A$2,'Informe Kelly'!F256,"")</f>
        <v/>
      </c>
      <c r="G263" s="85">
        <f>IF('Informe Kelly'!H256=$A$3,'Informe Kelly'!F256,"")</f>
        <v>0.64826388888888886</v>
      </c>
      <c r="H263" s="85">
        <f>IF(C263=C261,0,IF(D263=D262,0,(HLOOKUP(C263,Ingreso!$AN$10:$AU$260,VLOOKUP(A263,Ingreso!$AL$11:$AM$260,2,FALSE)))/24))</f>
        <v>0</v>
      </c>
      <c r="I263" s="77">
        <f t="shared" si="7"/>
        <v>0</v>
      </c>
    </row>
    <row r="264" spans="1:9">
      <c r="A264" s="85" t="str">
        <f>VLOOKUP('Informe Kelly'!A257,Base!A:B,2,FALSE)</f>
        <v>09.741.880-2</v>
      </c>
      <c r="B264" s="85" t="str">
        <f>VLOOKUP('Informe Kelly'!A257,Base!A:G,7,FALSE)</f>
        <v>REINOSO SALAS LAURA CECILIA</v>
      </c>
      <c r="C264" s="91">
        <f>'Informe Kelly'!E257</f>
        <v>40644</v>
      </c>
      <c r="D264" s="96">
        <f t="shared" si="6"/>
        <v>133</v>
      </c>
      <c r="E264" s="85" t="str">
        <f>VLOOKUP(A264,Ingreso!K:P,6,FALSE)</f>
        <v>Turno A</v>
      </c>
      <c r="F264" s="85">
        <f>IF('Informe Kelly'!H257=$A$2,'Informe Kelly'!F257,"")</f>
        <v>0.31662037037037033</v>
      </c>
      <c r="G264" s="85" t="str">
        <f>IF('Informe Kelly'!H257=$A$3,'Informe Kelly'!F257,"")</f>
        <v/>
      </c>
      <c r="H264" s="85">
        <f>IF(C264=C262,0,IF(D264=D263,0,(HLOOKUP(C264,Ingreso!$AN$10:$AU$260,VLOOKUP(A264,Ingreso!$AL$11:$AM$260,2,FALSE)))/24))</f>
        <v>0</v>
      </c>
      <c r="I264" s="77">
        <f t="shared" si="7"/>
        <v>0.3125</v>
      </c>
    </row>
    <row r="265" spans="1:9">
      <c r="A265" s="85" t="str">
        <f>VLOOKUP('Informe Kelly'!A258,Base!A:B,2,FALSE)</f>
        <v>09.741.880-2</v>
      </c>
      <c r="B265" s="85" t="str">
        <f>VLOOKUP('Informe Kelly'!A258,Base!A:G,7,FALSE)</f>
        <v>REINOSO SALAS LAURA CECILIA</v>
      </c>
      <c r="C265" s="91">
        <f>'Informe Kelly'!E258</f>
        <v>40644</v>
      </c>
      <c r="D265" s="96">
        <f t="shared" ref="D265:D328" si="8">IF(C264=C265,IF(C265=C262,D264,IF(C265=C263,D264+1,D264)),D264+1)</f>
        <v>133</v>
      </c>
      <c r="E265" s="85" t="str">
        <f>VLOOKUP(A265,Ingreso!K:P,6,FALSE)</f>
        <v>Turno A</v>
      </c>
      <c r="F265" s="85" t="str">
        <f>IF('Informe Kelly'!H258=$A$2,'Informe Kelly'!F258,"")</f>
        <v/>
      </c>
      <c r="G265" s="85">
        <f>IF('Informe Kelly'!H258=$A$3,'Informe Kelly'!F258,"")</f>
        <v>0.63622685185185179</v>
      </c>
      <c r="H265" s="85">
        <f>IF(C265=C263,0,IF(D265=D264,0,(HLOOKUP(C265,Ingreso!$AN$10:$AU$260,VLOOKUP(A265,Ingreso!$AL$11:$AM$260,2,FALSE)))/24))</f>
        <v>0</v>
      </c>
      <c r="I265" s="77">
        <f t="shared" si="7"/>
        <v>0</v>
      </c>
    </row>
    <row r="266" spans="1:9">
      <c r="A266" s="85" t="str">
        <f>VLOOKUP('Informe Kelly'!A259,Base!A:B,2,FALSE)</f>
        <v>09.741.880-2</v>
      </c>
      <c r="B266" s="85" t="str">
        <f>VLOOKUP('Informe Kelly'!A259,Base!A:G,7,FALSE)</f>
        <v>REINOSO SALAS LAURA CECILIA</v>
      </c>
      <c r="C266" s="91">
        <f>'Informe Kelly'!E259</f>
        <v>40645</v>
      </c>
      <c r="D266" s="96">
        <f t="shared" si="8"/>
        <v>134</v>
      </c>
      <c r="E266" s="85" t="str">
        <f>VLOOKUP(A266,Ingreso!K:P,6,FALSE)</f>
        <v>Turno A</v>
      </c>
      <c r="F266" s="85">
        <f>IF('Informe Kelly'!H259=$A$2,'Informe Kelly'!F259,"")</f>
        <v>0.30831018518518521</v>
      </c>
      <c r="G266" s="85" t="str">
        <f>IF('Informe Kelly'!H259=$A$3,'Informe Kelly'!F259,"")</f>
        <v/>
      </c>
      <c r="H266" s="85">
        <f>IF(C266=C264,0,IF(D266=D265,0,(HLOOKUP(C266,Ingreso!$AN$10:$AU$260,VLOOKUP(A266,Ingreso!$AL$11:$AM$260,2,FALSE)))/24))</f>
        <v>0</v>
      </c>
      <c r="I266" s="77">
        <f t="shared" ref="I266:I329" si="9">IF(C266=C264,0,IF(D266=D265,0,(VLOOKUP(E266,$C$2:$D$5,2,FALSE))))</f>
        <v>0.3125</v>
      </c>
    </row>
    <row r="267" spans="1:9">
      <c r="A267" s="85" t="str">
        <f>VLOOKUP('Informe Kelly'!A260,Base!A:B,2,FALSE)</f>
        <v>09.741.880-2</v>
      </c>
      <c r="B267" s="85" t="str">
        <f>VLOOKUP('Informe Kelly'!A260,Base!A:G,7,FALSE)</f>
        <v>REINOSO SALAS LAURA CECILIA</v>
      </c>
      <c r="C267" s="91">
        <f>'Informe Kelly'!E260</f>
        <v>40645</v>
      </c>
      <c r="D267" s="96">
        <f t="shared" si="8"/>
        <v>134</v>
      </c>
      <c r="E267" s="85" t="str">
        <f>VLOOKUP(A267,Ingreso!K:P,6,FALSE)</f>
        <v>Turno A</v>
      </c>
      <c r="F267" s="85" t="str">
        <f>IF('Informe Kelly'!H260=$A$2,'Informe Kelly'!F260,"")</f>
        <v/>
      </c>
      <c r="G267" s="85">
        <f>IF('Informe Kelly'!H260=$A$3,'Informe Kelly'!F260,"")</f>
        <v>0.63436342592592598</v>
      </c>
      <c r="H267" s="85">
        <f>IF(C267=C265,0,IF(D267=D266,0,(HLOOKUP(C267,Ingreso!$AN$10:$AU$260,VLOOKUP(A267,Ingreso!$AL$11:$AM$260,2,FALSE)))/24))</f>
        <v>0</v>
      </c>
      <c r="I267" s="77">
        <f t="shared" si="9"/>
        <v>0</v>
      </c>
    </row>
    <row r="268" spans="1:9">
      <c r="A268" s="85" t="str">
        <f>VLOOKUP('Informe Kelly'!A261,Base!A:B,2,FALSE)</f>
        <v>09.741.880-2</v>
      </c>
      <c r="B268" s="85" t="str">
        <f>VLOOKUP('Informe Kelly'!A261,Base!A:G,7,FALSE)</f>
        <v>REINOSO SALAS LAURA CECILIA</v>
      </c>
      <c r="C268" s="91">
        <f>'Informe Kelly'!E261</f>
        <v>40646</v>
      </c>
      <c r="D268" s="96">
        <f t="shared" si="8"/>
        <v>135</v>
      </c>
      <c r="E268" s="85" t="str">
        <f>VLOOKUP(A268,Ingreso!K:P,6,FALSE)</f>
        <v>Turno A</v>
      </c>
      <c r="F268" s="85">
        <f>IF('Informe Kelly'!H261=$A$2,'Informe Kelly'!F261,"")</f>
        <v>0.29449074074074072</v>
      </c>
      <c r="G268" s="85" t="str">
        <f>IF('Informe Kelly'!H261=$A$3,'Informe Kelly'!F261,"")</f>
        <v/>
      </c>
      <c r="H268" s="85">
        <f>IF(C268=C266,0,IF(D268=D267,0,(HLOOKUP(C268,Ingreso!$AN$10:$AU$260,VLOOKUP(A268,Ingreso!$AL$11:$AM$260,2,FALSE)))/24))</f>
        <v>0</v>
      </c>
      <c r="I268" s="77">
        <f t="shared" si="9"/>
        <v>0.3125</v>
      </c>
    </row>
    <row r="269" spans="1:9">
      <c r="A269" s="85" t="str">
        <f>VLOOKUP('Informe Kelly'!A262,Base!A:B,2,FALSE)</f>
        <v>09.741.880-2</v>
      </c>
      <c r="B269" s="85" t="str">
        <f>VLOOKUP('Informe Kelly'!A262,Base!A:G,7,FALSE)</f>
        <v>REINOSO SALAS LAURA CECILIA</v>
      </c>
      <c r="C269" s="91">
        <f>'Informe Kelly'!E262</f>
        <v>40646</v>
      </c>
      <c r="D269" s="96">
        <f t="shared" si="8"/>
        <v>135</v>
      </c>
      <c r="E269" s="85" t="str">
        <f>VLOOKUP(A269,Ingreso!K:P,6,FALSE)</f>
        <v>Turno A</v>
      </c>
      <c r="F269" s="85" t="str">
        <f>IF('Informe Kelly'!H262=$A$2,'Informe Kelly'!F262,"")</f>
        <v/>
      </c>
      <c r="G269" s="85">
        <f>IF('Informe Kelly'!H262=$A$3,'Informe Kelly'!F262,"")</f>
        <v>0.63489583333333333</v>
      </c>
      <c r="H269" s="85">
        <f>IF(C269=C267,0,IF(D269=D268,0,(HLOOKUP(C269,Ingreso!$AN$10:$AU$260,VLOOKUP(A269,Ingreso!$AL$11:$AM$260,2,FALSE)))/24))</f>
        <v>0</v>
      </c>
      <c r="I269" s="77">
        <f t="shared" si="9"/>
        <v>0</v>
      </c>
    </row>
    <row r="270" spans="1:9">
      <c r="A270" s="85" t="str">
        <f>VLOOKUP('Informe Kelly'!A263,Base!A:B,2,FALSE)</f>
        <v>09.741.880-2</v>
      </c>
      <c r="B270" s="85" t="str">
        <f>VLOOKUP('Informe Kelly'!A263,Base!A:G,7,FALSE)</f>
        <v>REINOSO SALAS LAURA CECILIA</v>
      </c>
      <c r="C270" s="91">
        <f>'Informe Kelly'!E263</f>
        <v>40647</v>
      </c>
      <c r="D270" s="96">
        <f t="shared" si="8"/>
        <v>136</v>
      </c>
      <c r="E270" s="85" t="str">
        <f>VLOOKUP(A270,Ingreso!K:P,6,FALSE)</f>
        <v>Turno A</v>
      </c>
      <c r="F270" s="85">
        <f>IF('Informe Kelly'!H263=$A$2,'Informe Kelly'!F263,"")</f>
        <v>0.61239583333333336</v>
      </c>
      <c r="G270" s="85" t="str">
        <f>IF('Informe Kelly'!H263=$A$3,'Informe Kelly'!F263,"")</f>
        <v/>
      </c>
      <c r="H270" s="85">
        <f>IF(C270=C268,0,IF(D270=D269,0,(HLOOKUP(C270,Ingreso!$AN$10:$AU$260,VLOOKUP(A270,Ingreso!$AL$11:$AM$260,2,FALSE)))/24))</f>
        <v>0</v>
      </c>
      <c r="I270" s="77">
        <f t="shared" si="9"/>
        <v>0.3125</v>
      </c>
    </row>
    <row r="271" spans="1:9">
      <c r="A271" s="85" t="str">
        <f>VLOOKUP('Informe Kelly'!A264,Base!A:B,2,FALSE)</f>
        <v>09.741.880-2</v>
      </c>
      <c r="B271" s="85" t="str">
        <f>VLOOKUP('Informe Kelly'!A264,Base!A:G,7,FALSE)</f>
        <v>REINOSO SALAS LAURA CECILIA</v>
      </c>
      <c r="C271" s="91">
        <f>'Informe Kelly'!E264</f>
        <v>40647</v>
      </c>
      <c r="D271" s="96">
        <f t="shared" si="8"/>
        <v>136</v>
      </c>
      <c r="E271" s="85" t="str">
        <f>VLOOKUP(A271,Ingreso!K:P,6,FALSE)</f>
        <v>Turno A</v>
      </c>
      <c r="F271" s="85" t="str">
        <f>IF('Informe Kelly'!H264=$A$2,'Informe Kelly'!F264,"")</f>
        <v/>
      </c>
      <c r="G271" s="85">
        <f>IF('Informe Kelly'!H264=$A$3,'Informe Kelly'!F264,"")</f>
        <v>0.9431018518518518</v>
      </c>
      <c r="H271" s="85">
        <f>IF(C271=C269,0,IF(D271=D270,0,(HLOOKUP(C271,Ingreso!$AN$10:$AU$260,VLOOKUP(A271,Ingreso!$AL$11:$AM$260,2,FALSE)))/24))</f>
        <v>0</v>
      </c>
      <c r="I271" s="77">
        <f t="shared" si="9"/>
        <v>0</v>
      </c>
    </row>
    <row r="272" spans="1:9">
      <c r="A272" s="85" t="str">
        <f>VLOOKUP('Informe Kelly'!A265,Base!A:B,2,FALSE)</f>
        <v>09.741.880-2</v>
      </c>
      <c r="B272" s="85" t="str">
        <f>VLOOKUP('Informe Kelly'!A265,Base!A:G,7,FALSE)</f>
        <v>REINOSO SALAS LAURA CECILIA</v>
      </c>
      <c r="C272" s="91">
        <f>'Informe Kelly'!E265</f>
        <v>40648</v>
      </c>
      <c r="D272" s="96">
        <f t="shared" si="8"/>
        <v>137</v>
      </c>
      <c r="E272" s="85" t="str">
        <f>VLOOKUP(A272,Ingreso!K:P,6,FALSE)</f>
        <v>Turno A</v>
      </c>
      <c r="F272" s="85" t="str">
        <f>IF('Informe Kelly'!H265=$A$2,'Informe Kelly'!F265,"")</f>
        <v/>
      </c>
      <c r="G272" s="85">
        <f>IF('Informe Kelly'!H265=$A$3,'Informe Kelly'!F265,"")</f>
        <v>0.62958333333333327</v>
      </c>
      <c r="H272" s="85">
        <f>IF(C272=C270,0,IF(D272=D271,0,(HLOOKUP(C272,Ingreso!$AN$10:$AU$260,VLOOKUP(A272,Ingreso!$AL$11:$AM$260,2,FALSE)))/24))</f>
        <v>0</v>
      </c>
      <c r="I272" s="77">
        <f t="shared" si="9"/>
        <v>0.3125</v>
      </c>
    </row>
    <row r="273" spans="1:21">
      <c r="A273" s="85" t="str">
        <f>VLOOKUP('Informe Kelly'!A266,Base!A:B,2,FALSE)</f>
        <v>09.741.880-2</v>
      </c>
      <c r="B273" s="85" t="str">
        <f>VLOOKUP('Informe Kelly'!A266,Base!A:G,7,FALSE)</f>
        <v>REINOSO SALAS LAURA CECILIA</v>
      </c>
      <c r="C273" s="91">
        <f>'Informe Kelly'!E266</f>
        <v>40648</v>
      </c>
      <c r="D273" s="96">
        <f t="shared" si="8"/>
        <v>137</v>
      </c>
      <c r="E273" s="85" t="str">
        <f>VLOOKUP(A273,Ingreso!K:P,6,FALSE)</f>
        <v>Turno A</v>
      </c>
      <c r="F273" s="85">
        <f>IF('Informe Kelly'!H266=$A$2,'Informe Kelly'!F266,"")</f>
        <v>0.29501157407407408</v>
      </c>
      <c r="G273" s="85" t="str">
        <f>IF('Informe Kelly'!H266=$A$3,'Informe Kelly'!F266,"")</f>
        <v/>
      </c>
      <c r="H273" s="85">
        <f>IF(C273=C271,0,IF(D273=D272,0,(HLOOKUP(C273,Ingreso!$AN$10:$AU$260,VLOOKUP(A273,Ingreso!$AL$11:$AM$260,2,FALSE)))/24))</f>
        <v>0</v>
      </c>
      <c r="I273" s="77">
        <f t="shared" si="9"/>
        <v>0</v>
      </c>
    </row>
    <row r="274" spans="1:21">
      <c r="A274" s="85" t="str">
        <f>VLOOKUP('Informe Kelly'!A267,Base!A:B,2,FALSE)</f>
        <v>09.748.915-7</v>
      </c>
      <c r="B274" s="85" t="str">
        <f>VLOOKUP('Informe Kelly'!A267,Base!A:G,7,FALSE)</f>
        <v>HERNANDEZ FLORES VICTOR MANUEL</v>
      </c>
      <c r="C274" s="91">
        <f>'Informe Kelly'!E267</f>
        <v>40644</v>
      </c>
      <c r="D274" s="96">
        <f t="shared" si="8"/>
        <v>138</v>
      </c>
      <c r="E274" s="85" t="str">
        <f>VLOOKUP(A274,Ingreso!K:P,6,FALSE)</f>
        <v>Turno B</v>
      </c>
      <c r="F274" s="85">
        <f>IF('Informe Kelly'!H267=$A$2,'Informe Kelly'!F267,"")</f>
        <v>0.61104166666666659</v>
      </c>
      <c r="G274" s="85" t="str">
        <f>IF('Informe Kelly'!H267=$A$3,'Informe Kelly'!F267,"")</f>
        <v/>
      </c>
      <c r="H274" s="85">
        <f>IF(C274=C272,0,IF(D274=D273,0,(HLOOKUP(C274,Ingreso!$AN$10:$AU$260,VLOOKUP(A274,Ingreso!$AL$11:$AM$260,2,FALSE)))/24))</f>
        <v>0</v>
      </c>
      <c r="I274" s="77">
        <f t="shared" si="9"/>
        <v>0.3125</v>
      </c>
    </row>
    <row r="275" spans="1:21">
      <c r="A275" s="85" t="str">
        <f>VLOOKUP('Informe Kelly'!A268,Base!A:B,2,FALSE)</f>
        <v>09.748.915-7</v>
      </c>
      <c r="B275" s="85" t="str">
        <f>VLOOKUP('Informe Kelly'!A268,Base!A:G,7,FALSE)</f>
        <v>HERNANDEZ FLORES VICTOR MANUEL</v>
      </c>
      <c r="C275" s="91">
        <f>'Informe Kelly'!E268</f>
        <v>40644</v>
      </c>
      <c r="D275" s="96">
        <f t="shared" si="8"/>
        <v>138</v>
      </c>
      <c r="E275" s="85" t="str">
        <f>VLOOKUP(A275,Ingreso!K:P,6,FALSE)</f>
        <v>Turno B</v>
      </c>
      <c r="F275" s="85" t="str">
        <f>IF('Informe Kelly'!H268=$A$2,'Informe Kelly'!F268,"")</f>
        <v/>
      </c>
      <c r="G275" s="85">
        <f>IF('Informe Kelly'!H268=$A$3,'Informe Kelly'!F268,"")</f>
        <v>0.94395833333333334</v>
      </c>
      <c r="H275" s="85">
        <f>IF(C275=C273,0,IF(D275=D274,0,(HLOOKUP(C275,Ingreso!$AN$10:$AU$260,VLOOKUP(A275,Ingreso!$AL$11:$AM$260,2,FALSE)))/24))</f>
        <v>0</v>
      </c>
      <c r="I275" s="77">
        <f t="shared" si="9"/>
        <v>0</v>
      </c>
    </row>
    <row r="276" spans="1:21">
      <c r="A276" s="85" t="str">
        <f>VLOOKUP('Informe Kelly'!A269,Base!A:B,2,FALSE)</f>
        <v>09.748.915-7</v>
      </c>
      <c r="B276" s="85" t="str">
        <f>VLOOKUP('Informe Kelly'!A269,Base!A:G,7,FALSE)</f>
        <v>HERNANDEZ FLORES VICTOR MANUEL</v>
      </c>
      <c r="C276" s="91">
        <f>'Informe Kelly'!E269</f>
        <v>40645</v>
      </c>
      <c r="D276" s="96">
        <f t="shared" si="8"/>
        <v>139</v>
      </c>
      <c r="E276" s="85" t="str">
        <f>VLOOKUP(A276,Ingreso!K:P,6,FALSE)</f>
        <v>Turno B</v>
      </c>
      <c r="F276" s="85">
        <f>IF('Informe Kelly'!H269=$A$2,'Informe Kelly'!F269,"")</f>
        <v>0.32155092592592593</v>
      </c>
      <c r="G276" s="85" t="str">
        <f>IF('Informe Kelly'!H269=$A$3,'Informe Kelly'!F269,"")</f>
        <v/>
      </c>
      <c r="H276" s="85">
        <f>IF(C276=C274,0,IF(D276=D275,0,(HLOOKUP(C276,Ingreso!$AN$10:$AU$260,VLOOKUP(A276,Ingreso!$AL$11:$AM$260,2,FALSE)))/24))</f>
        <v>0</v>
      </c>
      <c r="I276" s="77">
        <f t="shared" si="9"/>
        <v>0.3125</v>
      </c>
    </row>
    <row r="277" spans="1:21">
      <c r="A277" s="85" t="str">
        <f>VLOOKUP('Informe Kelly'!A270,Base!A:B,2,FALSE)</f>
        <v>09.748.915-7</v>
      </c>
      <c r="B277" s="85" t="str">
        <f>VLOOKUP('Informe Kelly'!A270,Base!A:G,7,FALSE)</f>
        <v>HERNANDEZ FLORES VICTOR MANUEL</v>
      </c>
      <c r="C277" s="91">
        <f>'Informe Kelly'!E270</f>
        <v>40645</v>
      </c>
      <c r="D277" s="96">
        <f t="shared" si="8"/>
        <v>139</v>
      </c>
      <c r="E277" s="85" t="str">
        <f>VLOOKUP(A277,Ingreso!K:P,6,FALSE)</f>
        <v>Turno B</v>
      </c>
      <c r="F277" s="85" t="str">
        <f>IF('Informe Kelly'!H270=$A$2,'Informe Kelly'!F270,"")</f>
        <v/>
      </c>
      <c r="G277" s="85">
        <f>IF('Informe Kelly'!H270=$A$3,'Informe Kelly'!F270,"")</f>
        <v>0.63393518518518521</v>
      </c>
      <c r="H277" s="85">
        <f>IF(C277=C275,0,IF(D277=D276,0,(HLOOKUP(C277,Ingreso!$AN$10:$AU$260,VLOOKUP(A277,Ingreso!$AL$11:$AM$260,2,FALSE)))/24))</f>
        <v>0</v>
      </c>
      <c r="I277" s="77">
        <f t="shared" si="9"/>
        <v>0</v>
      </c>
    </row>
    <row r="278" spans="1:21">
      <c r="A278" s="85" t="str">
        <f>VLOOKUP('Informe Kelly'!A271,Base!A:B,2,FALSE)</f>
        <v>09.748.915-7</v>
      </c>
      <c r="B278" s="85" t="str">
        <f>VLOOKUP('Informe Kelly'!A271,Base!A:G,7,FALSE)</f>
        <v>HERNANDEZ FLORES VICTOR MANUEL</v>
      </c>
      <c r="C278" s="91">
        <f>'Informe Kelly'!E271</f>
        <v>40646</v>
      </c>
      <c r="D278" s="96">
        <f t="shared" si="8"/>
        <v>140</v>
      </c>
      <c r="E278" s="85" t="str">
        <f>VLOOKUP(A278,Ingreso!K:P,6,FALSE)</f>
        <v>Turno B</v>
      </c>
      <c r="F278" s="85">
        <f>IF('Informe Kelly'!H271=$A$2,'Informe Kelly'!F271,"")</f>
        <v>0.62535879629629632</v>
      </c>
      <c r="G278" s="85" t="str">
        <f>IF('Informe Kelly'!H271=$A$3,'Informe Kelly'!F271,"")</f>
        <v/>
      </c>
      <c r="H278" s="85">
        <f>IF(C278=C276,0,IF(D278=D277,0,(HLOOKUP(C278,Ingreso!$AN$10:$AU$260,VLOOKUP(A278,Ingreso!$AL$11:$AM$260,2,FALSE)))/24))</f>
        <v>0</v>
      </c>
      <c r="I278" s="77">
        <f t="shared" si="9"/>
        <v>0.3125</v>
      </c>
    </row>
    <row r="279" spans="1:21">
      <c r="A279" s="85" t="str">
        <f>VLOOKUP('Informe Kelly'!A272,Base!A:B,2,FALSE)</f>
        <v>09.748.915-7</v>
      </c>
      <c r="B279" s="85" t="str">
        <f>VLOOKUP('Informe Kelly'!A272,Base!A:G,7,FALSE)</f>
        <v>HERNANDEZ FLORES VICTOR MANUEL</v>
      </c>
      <c r="C279" s="91">
        <f>'Informe Kelly'!E272</f>
        <v>40646</v>
      </c>
      <c r="D279" s="96">
        <f t="shared" si="8"/>
        <v>140</v>
      </c>
      <c r="E279" s="85" t="str">
        <f>VLOOKUP(A279,Ingreso!K:P,6,FALSE)</f>
        <v>Turno B</v>
      </c>
      <c r="F279" s="85" t="str">
        <f>IF('Informe Kelly'!H272=$A$2,'Informe Kelly'!F272,"")</f>
        <v/>
      </c>
      <c r="G279" s="85">
        <f>IF('Informe Kelly'!H272=$A$3,'Informe Kelly'!F272,"")</f>
        <v>0.9421180555555555</v>
      </c>
      <c r="H279" s="85">
        <f>IF(C279=C277,0,IF(D279=D278,0,(HLOOKUP(C279,Ingreso!$AN$10:$AU$260,VLOOKUP(A279,Ingreso!$AL$11:$AM$260,2,FALSE)))/24))</f>
        <v>0</v>
      </c>
      <c r="I279" s="77">
        <f t="shared" si="9"/>
        <v>0</v>
      </c>
    </row>
    <row r="280" spans="1:21">
      <c r="A280" s="85" t="str">
        <f>VLOOKUP('Informe Kelly'!A273,Base!A:B,2,FALSE)</f>
        <v>09.748.915-7</v>
      </c>
      <c r="B280" s="85" t="str">
        <f>VLOOKUP('Informe Kelly'!A273,Base!A:G,7,FALSE)</f>
        <v>HERNANDEZ FLORES VICTOR MANUEL</v>
      </c>
      <c r="C280" s="91">
        <f>'Informe Kelly'!E273</f>
        <v>40647</v>
      </c>
      <c r="D280" s="96">
        <f t="shared" si="8"/>
        <v>141</v>
      </c>
      <c r="E280" s="85" t="str">
        <f>VLOOKUP(A280,Ingreso!K:P,6,FALSE)</f>
        <v>Turno B</v>
      </c>
      <c r="F280" s="85">
        <f>IF('Informe Kelly'!H273=$A$2,'Informe Kelly'!F273,"")</f>
        <v>0.60252314814814811</v>
      </c>
      <c r="G280" s="85" t="str">
        <f>IF('Informe Kelly'!H273=$A$3,'Informe Kelly'!F273,"")</f>
        <v/>
      </c>
      <c r="H280" s="85">
        <f>IF(C280=C278,0,IF(D280=D279,0,(HLOOKUP(C280,Ingreso!$AN$10:$AU$260,VLOOKUP(A280,Ingreso!$AL$11:$AM$260,2,FALSE)))/24))</f>
        <v>0</v>
      </c>
      <c r="I280" s="77">
        <f t="shared" si="9"/>
        <v>0.3125</v>
      </c>
    </row>
    <row r="281" spans="1:21">
      <c r="A281" s="85" t="str">
        <f>VLOOKUP('Informe Kelly'!A274,Base!A:B,2,FALSE)</f>
        <v>09.748.915-7</v>
      </c>
      <c r="B281" s="85" t="str">
        <f>VLOOKUP('Informe Kelly'!A274,Base!A:G,7,FALSE)</f>
        <v>HERNANDEZ FLORES VICTOR MANUEL</v>
      </c>
      <c r="C281" s="91">
        <f>'Informe Kelly'!E274</f>
        <v>40647</v>
      </c>
      <c r="D281" s="96">
        <f t="shared" si="8"/>
        <v>141</v>
      </c>
      <c r="E281" s="85" t="str">
        <f>VLOOKUP(A281,Ingreso!K:P,6,FALSE)</f>
        <v>Turno B</v>
      </c>
      <c r="F281" s="85" t="str">
        <f>IF('Informe Kelly'!H274=$A$2,'Informe Kelly'!F274,"")</f>
        <v/>
      </c>
      <c r="G281" s="85">
        <f>IF('Informe Kelly'!H274=$A$3,'Informe Kelly'!F274,"")</f>
        <v>0.94524305555555566</v>
      </c>
      <c r="H281" s="85">
        <f>IF(C281=C279,0,IF(D281=D280,0,(HLOOKUP(C281,Ingreso!$AN$10:$AU$260,VLOOKUP(A281,Ingreso!$AL$11:$AM$260,2,FALSE)))/24))</f>
        <v>0</v>
      </c>
      <c r="I281" s="77">
        <f t="shared" si="9"/>
        <v>0</v>
      </c>
    </row>
    <row r="282" spans="1:21">
      <c r="A282" s="85" t="str">
        <f>VLOOKUP('Informe Kelly'!A275,Base!A:B,2,FALSE)</f>
        <v>09.748.915-7</v>
      </c>
      <c r="B282" s="85" t="str">
        <f>VLOOKUP('Informe Kelly'!A275,Base!A:G,7,FALSE)</f>
        <v>HERNANDEZ FLORES VICTOR MANUEL</v>
      </c>
      <c r="C282" s="91">
        <f>'Informe Kelly'!E275</f>
        <v>40648</v>
      </c>
      <c r="D282" s="96">
        <f t="shared" si="8"/>
        <v>142</v>
      </c>
      <c r="E282" s="85" t="str">
        <f>VLOOKUP(A282,Ingreso!K:P,6,FALSE)</f>
        <v>Turno B</v>
      </c>
      <c r="F282" s="85" t="str">
        <f>IF('Informe Kelly'!H275=$A$2,'Informe Kelly'!F275,"")</f>
        <v/>
      </c>
      <c r="G282" s="85">
        <f>IF('Informe Kelly'!H275=$A$3,'Informe Kelly'!F275,"")</f>
        <v>0.63962962962962966</v>
      </c>
      <c r="H282" s="85">
        <f>IF(C282=C280,0,IF(D282=D281,0,(HLOOKUP(C282,Ingreso!$AN$10:$AU$260,VLOOKUP(A282,Ingreso!$AL$11:$AM$260,2,FALSE)))/24))</f>
        <v>0</v>
      </c>
      <c r="I282" s="77">
        <f t="shared" si="9"/>
        <v>0.3125</v>
      </c>
    </row>
    <row r="283" spans="1:21">
      <c r="A283" s="85" t="str">
        <f>VLOOKUP('Informe Kelly'!A276,Base!A:B,2,FALSE)</f>
        <v>09.748.915-7</v>
      </c>
      <c r="B283" s="85" t="str">
        <f>VLOOKUP('Informe Kelly'!A276,Base!A:G,7,FALSE)</f>
        <v>HERNANDEZ FLORES VICTOR MANUEL</v>
      </c>
      <c r="C283" s="91">
        <f>'Informe Kelly'!E276</f>
        <v>40648</v>
      </c>
      <c r="D283" s="96">
        <f t="shared" si="8"/>
        <v>142</v>
      </c>
      <c r="E283" s="85" t="str">
        <f>VLOOKUP(A283,Ingreso!K:P,6,FALSE)</f>
        <v>Turno B</v>
      </c>
      <c r="F283" s="85">
        <f>IF('Informe Kelly'!H276=$A$2,'Informe Kelly'!F276,"")</f>
        <v>0.32216435185185183</v>
      </c>
      <c r="G283" s="85" t="str">
        <f>IF('Informe Kelly'!H276=$A$3,'Informe Kelly'!F276,"")</f>
        <v/>
      </c>
      <c r="H283" s="85">
        <f>IF(C283=C281,0,IF(D283=D282,0,(HLOOKUP(C283,Ingreso!$AN$10:$AU$260,VLOOKUP(A283,Ingreso!$AL$11:$AM$260,2,FALSE)))/24))</f>
        <v>0</v>
      </c>
      <c r="I283" s="77">
        <f t="shared" si="9"/>
        <v>0</v>
      </c>
    </row>
    <row r="284" spans="1:21">
      <c r="A284" s="85" t="str">
        <f>VLOOKUP('Informe Kelly'!A277,Base!A:B,2,FALSE)</f>
        <v>09.748.915-7</v>
      </c>
      <c r="B284" s="85" t="str">
        <f>VLOOKUP('Informe Kelly'!A277,Base!A:G,7,FALSE)</f>
        <v>HERNANDEZ FLORES VICTOR MANUEL</v>
      </c>
      <c r="C284" s="91">
        <f>'Informe Kelly'!E277</f>
        <v>40649</v>
      </c>
      <c r="D284" s="96">
        <f t="shared" si="8"/>
        <v>143</v>
      </c>
      <c r="E284" s="85" t="str">
        <f>VLOOKUP(A284,Ingreso!K:P,6,FALSE)</f>
        <v>Turno B</v>
      </c>
      <c r="F284" s="85">
        <f>IF('Informe Kelly'!H277=$A$2,'Informe Kelly'!F277,"")</f>
        <v>0.64457175925925925</v>
      </c>
      <c r="G284" s="85" t="str">
        <f>IF('Informe Kelly'!H277=$A$3,'Informe Kelly'!F277,"")</f>
        <v/>
      </c>
      <c r="H284" s="85">
        <f>IF(C284=C282,0,IF(D284=D283,0,(HLOOKUP(C284,Ingreso!$AN$10:$AU$260,VLOOKUP(A284,Ingreso!$AL$11:$AM$260,2,FALSE)))/24))</f>
        <v>0</v>
      </c>
      <c r="I284" s="77">
        <f t="shared" si="9"/>
        <v>0.3125</v>
      </c>
    </row>
    <row r="285" spans="1:21">
      <c r="A285" s="85" t="str">
        <f>VLOOKUP('Informe Kelly'!A278,Base!A:B,2,FALSE)</f>
        <v>09.748.915-7</v>
      </c>
      <c r="B285" s="85" t="str">
        <f>VLOOKUP('Informe Kelly'!A278,Base!A:G,7,FALSE)</f>
        <v>HERNANDEZ FLORES VICTOR MANUEL</v>
      </c>
      <c r="C285" s="91">
        <f>'Informe Kelly'!E278</f>
        <v>40649</v>
      </c>
      <c r="D285" s="96">
        <f t="shared" si="8"/>
        <v>143</v>
      </c>
      <c r="E285" s="85" t="str">
        <f>VLOOKUP(A285,Ingreso!K:P,6,FALSE)</f>
        <v>Turno B</v>
      </c>
      <c r="F285" s="85" t="str">
        <f>IF('Informe Kelly'!H278=$A$2,'Informe Kelly'!F278,"")</f>
        <v/>
      </c>
      <c r="G285" s="85">
        <f>IF('Informe Kelly'!H278=$A$3,'Informe Kelly'!F278,"")</f>
        <v>0.93753472222222223</v>
      </c>
      <c r="H285" s="85">
        <f>IF(C285=C283,0,IF(D285=D284,0,(HLOOKUP(C285,Ingreso!$AN$10:$AU$260,VLOOKUP(A285,Ingreso!$AL$11:$AM$260,2,FALSE)))/24))</f>
        <v>0</v>
      </c>
      <c r="I285" s="77">
        <f t="shared" si="9"/>
        <v>0</v>
      </c>
    </row>
    <row r="286" spans="1:21" s="66" customFormat="1">
      <c r="A286" s="93" t="str">
        <f>VLOOKUP('Informe Kelly'!A279,Base!A:B,2,FALSE)</f>
        <v>09.774.031-3</v>
      </c>
      <c r="B286" s="93" t="str">
        <f>VLOOKUP('Informe Kelly'!A279,Base!A:G,7,FALSE)</f>
        <v>CACERES VASQUEZ VICTOR</v>
      </c>
      <c r="C286" s="94">
        <f>'Informe Kelly'!E279</f>
        <v>40644</v>
      </c>
      <c r="D286" s="96">
        <f t="shared" si="8"/>
        <v>144</v>
      </c>
      <c r="E286" s="93" t="str">
        <f>VLOOKUP(A286,Ingreso!K:P,6,FALSE)</f>
        <v>Turno B</v>
      </c>
      <c r="F286" s="93">
        <f>IF('Informe Kelly'!H279=$A$2,'Informe Kelly'!F279,"")</f>
        <v>9.1203703703703707E-3</v>
      </c>
      <c r="G286" s="93" t="str">
        <f>IF('Informe Kelly'!H279=$A$3,'Informe Kelly'!F279,"")</f>
        <v/>
      </c>
      <c r="H286" s="85">
        <f>IF(C286=C284,0,IF(D286=D285,0,(HLOOKUP(C286,Ingreso!$AN$10:$AU$260,VLOOKUP(A286,Ingreso!$AL$11:$AM$260,2,FALSE)))/24))</f>
        <v>0.3125</v>
      </c>
      <c r="I286" s="77">
        <f t="shared" si="9"/>
        <v>0.3125</v>
      </c>
      <c r="P286" s="95"/>
      <c r="Q286" s="102"/>
      <c r="R286" s="103"/>
      <c r="S286" s="104"/>
      <c r="T286" s="104"/>
      <c r="U286" s="104"/>
    </row>
    <row r="287" spans="1:21" s="66" customFormat="1">
      <c r="A287" s="93" t="str">
        <f>VLOOKUP('Informe Kelly'!A280,Base!A:B,2,FALSE)</f>
        <v>09.774.031-3</v>
      </c>
      <c r="B287" s="93" t="str">
        <f>VLOOKUP('Informe Kelly'!A280,Base!A:G,7,FALSE)</f>
        <v>CACERES VASQUEZ VICTOR</v>
      </c>
      <c r="C287" s="94">
        <f>'Informe Kelly'!E280</f>
        <v>40644</v>
      </c>
      <c r="D287" s="96">
        <f t="shared" si="8"/>
        <v>144</v>
      </c>
      <c r="E287" s="93" t="str">
        <f>VLOOKUP(A287,Ingreso!K:P,6,FALSE)</f>
        <v>Turno B</v>
      </c>
      <c r="F287" s="93" t="str">
        <f>IF('Informe Kelly'!H280=$A$2,'Informe Kelly'!F280,"")</f>
        <v/>
      </c>
      <c r="G287" s="93">
        <f>IF('Informe Kelly'!H280=$A$3,'Informe Kelly'!F280,"")</f>
        <v>0.33141203703703703</v>
      </c>
      <c r="H287" s="85">
        <f>IF(C287=C285,0,IF(D287=D286,0,(HLOOKUP(C287,Ingreso!$AN$10:$AU$260,VLOOKUP(A287,Ingreso!$AL$11:$AM$260,2,FALSE)))/24))</f>
        <v>0</v>
      </c>
      <c r="I287" s="77">
        <f t="shared" si="9"/>
        <v>0</v>
      </c>
      <c r="P287" s="95"/>
      <c r="Q287" s="102"/>
      <c r="R287" s="103"/>
      <c r="S287" s="104"/>
      <c r="T287" s="104"/>
      <c r="U287" s="104"/>
    </row>
    <row r="288" spans="1:21" s="66" customFormat="1">
      <c r="A288" s="93" t="str">
        <f>VLOOKUP('Informe Kelly'!A281,Base!A:B,2,FALSE)</f>
        <v>09.774.031-3</v>
      </c>
      <c r="B288" s="93" t="str">
        <f>VLOOKUP('Informe Kelly'!A281,Base!A:G,7,FALSE)</f>
        <v>CACERES VASQUEZ VICTOR</v>
      </c>
      <c r="C288" s="94">
        <f>'Informe Kelly'!E281</f>
        <v>40644</v>
      </c>
      <c r="D288" s="96">
        <f t="shared" si="8"/>
        <v>145</v>
      </c>
      <c r="E288" s="93" t="str">
        <f>VLOOKUP(A288,Ingreso!K:P,6,FALSE)</f>
        <v>Turno B</v>
      </c>
      <c r="F288" s="93">
        <f>IF('Informe Kelly'!H281=$A$2,'Informe Kelly'!F281,"")</f>
        <v>0.61850694444444443</v>
      </c>
      <c r="G288" s="93" t="str">
        <f>IF('Informe Kelly'!H281=$A$3,'Informe Kelly'!F281,"")</f>
        <v/>
      </c>
      <c r="H288" s="85">
        <f>IF(C288=C286,0,IF(D288=D287,0,(HLOOKUP(C288,Ingreso!$AN$10:$AU$260,VLOOKUP(A288,Ingreso!$AL$11:$AM$260,2,FALSE)))/24))</f>
        <v>0</v>
      </c>
      <c r="I288" s="77">
        <f t="shared" si="9"/>
        <v>0</v>
      </c>
      <c r="P288" s="95"/>
      <c r="Q288" s="102"/>
      <c r="R288" s="103"/>
      <c r="S288" s="104"/>
      <c r="T288" s="104"/>
      <c r="U288" s="104"/>
    </row>
    <row r="289" spans="1:21" s="66" customFormat="1">
      <c r="A289" s="93" t="str">
        <f>VLOOKUP('Informe Kelly'!A282,Base!A:B,2,FALSE)</f>
        <v>09.774.031-3</v>
      </c>
      <c r="B289" s="93" t="str">
        <f>VLOOKUP('Informe Kelly'!A282,Base!A:G,7,FALSE)</f>
        <v>CACERES VASQUEZ VICTOR</v>
      </c>
      <c r="C289" s="94">
        <f>'Informe Kelly'!E282</f>
        <v>40644</v>
      </c>
      <c r="D289" s="96">
        <f t="shared" si="8"/>
        <v>145</v>
      </c>
      <c r="E289" s="93" t="str">
        <f>VLOOKUP(A289,Ingreso!K:P,6,FALSE)</f>
        <v>Turno B</v>
      </c>
      <c r="F289" s="93" t="str">
        <f>IF('Informe Kelly'!H282=$A$2,'Informe Kelly'!F282,"")</f>
        <v/>
      </c>
      <c r="G289" s="93">
        <f>IF('Informe Kelly'!H282=$A$3,'Informe Kelly'!F282,"")</f>
        <v>0.94244212962962959</v>
      </c>
      <c r="H289" s="85">
        <f>IF(C289=C287,0,IF(D289=D288,0,(HLOOKUP(C289,Ingreso!$AN$10:$AU$260,VLOOKUP(A289,Ingreso!$AL$11:$AM$260,2,FALSE)))/24))</f>
        <v>0</v>
      </c>
      <c r="I289" s="77">
        <f t="shared" si="9"/>
        <v>0</v>
      </c>
      <c r="P289" s="95"/>
      <c r="Q289" s="102"/>
      <c r="R289" s="103"/>
      <c r="S289" s="104"/>
      <c r="T289" s="104"/>
      <c r="U289" s="104"/>
    </row>
    <row r="290" spans="1:21" s="66" customFormat="1">
      <c r="A290" s="93" t="str">
        <f>VLOOKUP('Informe Kelly'!A283,Base!A:B,2,FALSE)</f>
        <v>09.774.031-3</v>
      </c>
      <c r="B290" s="93" t="str">
        <f>VLOOKUP('Informe Kelly'!A283,Base!A:G,7,FALSE)</f>
        <v>CACERES VASQUEZ VICTOR</v>
      </c>
      <c r="C290" s="94">
        <f>'Informe Kelly'!E283</f>
        <v>40645</v>
      </c>
      <c r="D290" s="96">
        <f t="shared" si="8"/>
        <v>146</v>
      </c>
      <c r="E290" s="93" t="str">
        <f>VLOOKUP(A290,Ingreso!K:P,6,FALSE)</f>
        <v>Turno B</v>
      </c>
      <c r="F290" s="93">
        <f>IF('Informe Kelly'!H283=$A$2,'Informe Kelly'!F283,"")</f>
        <v>0.6055208333333334</v>
      </c>
      <c r="G290" s="93" t="str">
        <f>IF('Informe Kelly'!H283=$A$3,'Informe Kelly'!F283,"")</f>
        <v/>
      </c>
      <c r="H290" s="85">
        <f>IF(C290=C288,0,IF(D290=D289,0,(HLOOKUP(C290,Ingreso!$AN$10:$AU$260,VLOOKUP(A290,Ingreso!$AL$11:$AM$260,2,FALSE)))/24))</f>
        <v>0</v>
      </c>
      <c r="I290" s="77">
        <f t="shared" si="9"/>
        <v>0.3125</v>
      </c>
      <c r="P290" s="95"/>
      <c r="Q290" s="102"/>
      <c r="R290" s="103"/>
      <c r="S290" s="104"/>
      <c r="T290" s="104"/>
      <c r="U290" s="104"/>
    </row>
    <row r="291" spans="1:21" s="66" customFormat="1">
      <c r="A291" s="93" t="str">
        <f>VLOOKUP('Informe Kelly'!A284,Base!A:B,2,FALSE)</f>
        <v>09.774.031-3</v>
      </c>
      <c r="B291" s="93" t="str">
        <f>VLOOKUP('Informe Kelly'!A284,Base!A:G,7,FALSE)</f>
        <v>CACERES VASQUEZ VICTOR</v>
      </c>
      <c r="C291" s="94">
        <f>'Informe Kelly'!E284</f>
        <v>40645</v>
      </c>
      <c r="D291" s="96">
        <f t="shared" si="8"/>
        <v>146</v>
      </c>
      <c r="E291" s="93" t="str">
        <f>VLOOKUP(A291,Ingreso!K:P,6,FALSE)</f>
        <v>Turno B</v>
      </c>
      <c r="F291" s="93" t="str">
        <f>IF('Informe Kelly'!H284=$A$2,'Informe Kelly'!F284,"")</f>
        <v/>
      </c>
      <c r="G291" s="93">
        <f>IF('Informe Kelly'!H284=$A$3,'Informe Kelly'!F284,"")</f>
        <v>0.94282407407407398</v>
      </c>
      <c r="H291" s="85">
        <f>IF(C291=C289,0,IF(D291=D290,0,(HLOOKUP(C291,Ingreso!$AN$10:$AU$260,VLOOKUP(A291,Ingreso!$AL$11:$AM$260,2,FALSE)))/24))</f>
        <v>0</v>
      </c>
      <c r="I291" s="77">
        <f t="shared" si="9"/>
        <v>0</v>
      </c>
      <c r="P291" s="95"/>
      <c r="Q291" s="102"/>
      <c r="R291" s="103"/>
      <c r="S291" s="104"/>
      <c r="T291" s="104"/>
      <c r="U291" s="104"/>
    </row>
    <row r="292" spans="1:21" s="66" customFormat="1">
      <c r="A292" s="93" t="str">
        <f>VLOOKUP('Informe Kelly'!A285,Base!A:B,2,FALSE)</f>
        <v>09.774.031-3</v>
      </c>
      <c r="B292" s="93" t="str">
        <f>VLOOKUP('Informe Kelly'!A285,Base!A:G,7,FALSE)</f>
        <v>CACERES VASQUEZ VICTOR</v>
      </c>
      <c r="C292" s="94">
        <f>'Informe Kelly'!E285</f>
        <v>40646</v>
      </c>
      <c r="D292" s="96">
        <f t="shared" si="8"/>
        <v>147</v>
      </c>
      <c r="E292" s="93" t="str">
        <f>VLOOKUP(A292,Ingreso!K:P,6,FALSE)</f>
        <v>Turno B</v>
      </c>
      <c r="F292" s="93" t="str">
        <f>IF('Informe Kelly'!H285=$A$2,'Informe Kelly'!F285,"")</f>
        <v/>
      </c>
      <c r="G292" s="93">
        <f>IF('Informe Kelly'!H285=$A$3,'Informe Kelly'!F285,"")</f>
        <v>0.94327546296296294</v>
      </c>
      <c r="H292" s="85">
        <f>IF(C292=C290,0,IF(D292=D291,0,(HLOOKUP(C292,Ingreso!$AN$10:$AU$260,VLOOKUP(A292,Ingreso!$AL$11:$AM$260,2,FALSE)))/24))</f>
        <v>0</v>
      </c>
      <c r="I292" s="77">
        <f t="shared" si="9"/>
        <v>0.3125</v>
      </c>
      <c r="P292" s="95"/>
      <c r="Q292" s="102"/>
      <c r="R292" s="103"/>
      <c r="S292" s="104"/>
      <c r="T292" s="104"/>
      <c r="U292" s="104"/>
    </row>
    <row r="293" spans="1:21" s="66" customFormat="1">
      <c r="A293" s="93" t="str">
        <f>VLOOKUP('Informe Kelly'!A286,Base!A:B,2,FALSE)</f>
        <v>09.774.031-3</v>
      </c>
      <c r="B293" s="93" t="str">
        <f>VLOOKUP('Informe Kelly'!A286,Base!A:G,7,FALSE)</f>
        <v>CACERES VASQUEZ VICTOR</v>
      </c>
      <c r="C293" s="94">
        <f>'Informe Kelly'!E286</f>
        <v>40646</v>
      </c>
      <c r="D293" s="96">
        <f t="shared" si="8"/>
        <v>147</v>
      </c>
      <c r="E293" s="93" t="str">
        <f>VLOOKUP(A293,Ingreso!K:P,6,FALSE)</f>
        <v>Turno B</v>
      </c>
      <c r="F293" s="93">
        <f>IF('Informe Kelly'!H286=$A$2,'Informe Kelly'!F286,"")</f>
        <v>0.60834490740740743</v>
      </c>
      <c r="G293" s="93" t="str">
        <f>IF('Informe Kelly'!H286=$A$3,'Informe Kelly'!F286,"")</f>
        <v/>
      </c>
      <c r="H293" s="85">
        <f>IF(C293=C291,0,IF(D293=D292,0,(HLOOKUP(C293,Ingreso!$AN$10:$AU$260,VLOOKUP(A293,Ingreso!$AL$11:$AM$260,2,FALSE)))/24))</f>
        <v>0</v>
      </c>
      <c r="I293" s="77">
        <f t="shared" si="9"/>
        <v>0</v>
      </c>
      <c r="P293" s="95"/>
      <c r="Q293" s="102"/>
      <c r="R293" s="103"/>
      <c r="S293" s="104"/>
      <c r="T293" s="104"/>
      <c r="U293" s="104"/>
    </row>
    <row r="294" spans="1:21" s="66" customFormat="1">
      <c r="A294" s="93" t="str">
        <f>VLOOKUP('Informe Kelly'!A287,Base!A:B,2,FALSE)</f>
        <v>09.774.031-3</v>
      </c>
      <c r="B294" s="93" t="str">
        <f>VLOOKUP('Informe Kelly'!A287,Base!A:G,7,FALSE)</f>
        <v>CACERES VASQUEZ VICTOR</v>
      </c>
      <c r="C294" s="94">
        <f>'Informe Kelly'!E287</f>
        <v>40647</v>
      </c>
      <c r="D294" s="96">
        <f t="shared" si="8"/>
        <v>148</v>
      </c>
      <c r="E294" s="93" t="str">
        <f>VLOOKUP(A294,Ingreso!K:P,6,FALSE)</f>
        <v>Turno B</v>
      </c>
      <c r="F294" s="93">
        <f>IF('Informe Kelly'!H287=$A$2,'Informe Kelly'!F287,"")</f>
        <v>0.60700231481481481</v>
      </c>
      <c r="G294" s="93" t="str">
        <f>IF('Informe Kelly'!H287=$A$3,'Informe Kelly'!F287,"")</f>
        <v/>
      </c>
      <c r="H294" s="85">
        <f>IF(C294=C292,0,IF(D294=D293,0,(HLOOKUP(C294,Ingreso!$AN$10:$AU$260,VLOOKUP(A294,Ingreso!$AL$11:$AM$260,2,FALSE)))/24))</f>
        <v>0</v>
      </c>
      <c r="I294" s="77">
        <f t="shared" si="9"/>
        <v>0.3125</v>
      </c>
      <c r="P294" s="95"/>
      <c r="Q294" s="102"/>
      <c r="R294" s="103"/>
      <c r="S294" s="104"/>
      <c r="T294" s="104"/>
      <c r="U294" s="104"/>
    </row>
    <row r="295" spans="1:21" s="66" customFormat="1">
      <c r="A295" s="93" t="str">
        <f>VLOOKUP('Informe Kelly'!A288,Base!A:B,2,FALSE)</f>
        <v>09.774.031-3</v>
      </c>
      <c r="B295" s="93" t="str">
        <f>VLOOKUP('Informe Kelly'!A288,Base!A:G,7,FALSE)</f>
        <v>CACERES VASQUEZ VICTOR</v>
      </c>
      <c r="C295" s="94">
        <f>'Informe Kelly'!E288</f>
        <v>40647</v>
      </c>
      <c r="D295" s="96">
        <f t="shared" si="8"/>
        <v>148</v>
      </c>
      <c r="E295" s="93" t="str">
        <f>VLOOKUP(A295,Ingreso!K:P,6,FALSE)</f>
        <v>Turno B</v>
      </c>
      <c r="F295" s="93" t="str">
        <f>IF('Informe Kelly'!H288=$A$2,'Informe Kelly'!F288,"")</f>
        <v/>
      </c>
      <c r="G295" s="93">
        <f>IF('Informe Kelly'!H288=$A$3,'Informe Kelly'!F288,"")</f>
        <v>0.9456134259259259</v>
      </c>
      <c r="H295" s="85">
        <f>IF(C295=C293,0,IF(D295=D294,0,(HLOOKUP(C295,Ingreso!$AN$10:$AU$260,VLOOKUP(A295,Ingreso!$AL$11:$AM$260,2,FALSE)))/24))</f>
        <v>0</v>
      </c>
      <c r="I295" s="77">
        <f t="shared" si="9"/>
        <v>0</v>
      </c>
      <c r="P295" s="95"/>
      <c r="Q295" s="102"/>
      <c r="R295" s="103"/>
      <c r="S295" s="104"/>
      <c r="T295" s="104"/>
      <c r="U295" s="104"/>
    </row>
    <row r="296" spans="1:21" s="66" customFormat="1">
      <c r="A296" s="93" t="str">
        <f>VLOOKUP('Informe Kelly'!A289,Base!A:B,2,FALSE)</f>
        <v>09.774.031-3</v>
      </c>
      <c r="B296" s="93" t="str">
        <f>VLOOKUP('Informe Kelly'!A289,Base!A:G,7,FALSE)</f>
        <v>CACERES VASQUEZ VICTOR</v>
      </c>
      <c r="C296" s="94">
        <f>'Informe Kelly'!E289</f>
        <v>40648</v>
      </c>
      <c r="D296" s="96">
        <f t="shared" si="8"/>
        <v>149</v>
      </c>
      <c r="E296" s="93" t="str">
        <f>VLOOKUP(A296,Ingreso!K:P,6,FALSE)</f>
        <v>Turno B</v>
      </c>
      <c r="F296" s="93">
        <f>IF('Informe Kelly'!H289=$A$2,'Informe Kelly'!F289,"")</f>
        <v>0.60651620370370374</v>
      </c>
      <c r="G296" s="93" t="str">
        <f>IF('Informe Kelly'!H289=$A$3,'Informe Kelly'!F289,"")</f>
        <v/>
      </c>
      <c r="H296" s="85">
        <f>IF(C296=C294,0,IF(D296=D295,0,(HLOOKUP(C296,Ingreso!$AN$10:$AU$260,VLOOKUP(A296,Ingreso!$AL$11:$AM$260,2,FALSE)))/24))</f>
        <v>0</v>
      </c>
      <c r="I296" s="77">
        <f t="shared" si="9"/>
        <v>0.3125</v>
      </c>
      <c r="P296" s="95"/>
      <c r="Q296" s="102"/>
      <c r="R296" s="103"/>
      <c r="S296" s="104"/>
      <c r="T296" s="104"/>
      <c r="U296" s="104"/>
    </row>
    <row r="297" spans="1:21" s="66" customFormat="1">
      <c r="A297" s="93" t="str">
        <f>VLOOKUP('Informe Kelly'!A290,Base!A:B,2,FALSE)</f>
        <v>09.774.031-3</v>
      </c>
      <c r="B297" s="93" t="str">
        <f>VLOOKUP('Informe Kelly'!A290,Base!A:G,7,FALSE)</f>
        <v>CACERES VASQUEZ VICTOR</v>
      </c>
      <c r="C297" s="94">
        <f>'Informe Kelly'!E290</f>
        <v>40648</v>
      </c>
      <c r="D297" s="96">
        <f t="shared" si="8"/>
        <v>149</v>
      </c>
      <c r="E297" s="93" t="str">
        <f>VLOOKUP(A297,Ingreso!K:P,6,FALSE)</f>
        <v>Turno B</v>
      </c>
      <c r="F297" s="93" t="str">
        <f>IF('Informe Kelly'!H290=$A$2,'Informe Kelly'!F290,"")</f>
        <v/>
      </c>
      <c r="G297" s="93">
        <f>IF('Informe Kelly'!H290=$A$3,'Informe Kelly'!F290,"")</f>
        <v>0.94822916666666668</v>
      </c>
      <c r="H297" s="85">
        <f>IF(C297=C295,0,IF(D297=D296,0,(HLOOKUP(C297,Ingreso!$AN$10:$AU$260,VLOOKUP(A297,Ingreso!$AL$11:$AM$260,2,FALSE)))/24))</f>
        <v>0</v>
      </c>
      <c r="I297" s="77">
        <f t="shared" si="9"/>
        <v>0</v>
      </c>
      <c r="P297" s="95"/>
      <c r="Q297" s="102"/>
      <c r="R297" s="103"/>
      <c r="S297" s="104"/>
      <c r="T297" s="104"/>
      <c r="U297" s="104"/>
    </row>
    <row r="298" spans="1:21" s="66" customFormat="1">
      <c r="A298" s="93" t="str">
        <f>VLOOKUP('Informe Kelly'!A291,Base!A:B,2,FALSE)</f>
        <v>09.774.031-3</v>
      </c>
      <c r="B298" s="93" t="str">
        <f>VLOOKUP('Informe Kelly'!A291,Base!A:G,7,FALSE)</f>
        <v>CACERES VASQUEZ VICTOR</v>
      </c>
      <c r="C298" s="94">
        <f>'Informe Kelly'!E291</f>
        <v>40649</v>
      </c>
      <c r="D298" s="96">
        <f t="shared" si="8"/>
        <v>150</v>
      </c>
      <c r="E298" s="93" t="str">
        <f>VLOOKUP(A298,Ingreso!K:P,6,FALSE)</f>
        <v>Turno B</v>
      </c>
      <c r="F298" s="93">
        <f>IF('Informe Kelly'!H291=$A$2,'Informe Kelly'!F291,"")</f>
        <v>0.60760416666666661</v>
      </c>
      <c r="G298" s="93" t="str">
        <f>IF('Informe Kelly'!H291=$A$3,'Informe Kelly'!F291,"")</f>
        <v/>
      </c>
      <c r="H298" s="85">
        <f>IF(C298=C296,0,IF(D298=D297,0,(HLOOKUP(C298,Ingreso!$AN$10:$AU$260,VLOOKUP(A298,Ingreso!$AL$11:$AM$260,2,FALSE)))/24))</f>
        <v>0</v>
      </c>
      <c r="I298" s="77">
        <f t="shared" si="9"/>
        <v>0.3125</v>
      </c>
      <c r="P298" s="95"/>
      <c r="Q298" s="102"/>
      <c r="R298" s="103"/>
      <c r="S298" s="104"/>
      <c r="T298" s="104"/>
      <c r="U298" s="104"/>
    </row>
    <row r="299" spans="1:21" s="66" customFormat="1">
      <c r="A299" s="93" t="str">
        <f>VLOOKUP('Informe Kelly'!A292,Base!A:B,2,FALSE)</f>
        <v>09.774.031-3</v>
      </c>
      <c r="B299" s="93" t="str">
        <f>VLOOKUP('Informe Kelly'!A292,Base!A:G,7,FALSE)</f>
        <v>CACERES VASQUEZ VICTOR</v>
      </c>
      <c r="C299" s="94">
        <f>'Informe Kelly'!E292</f>
        <v>40649</v>
      </c>
      <c r="D299" s="96">
        <f t="shared" si="8"/>
        <v>150</v>
      </c>
      <c r="E299" s="93" t="str">
        <f>VLOOKUP(A299,Ingreso!K:P,6,FALSE)</f>
        <v>Turno B</v>
      </c>
      <c r="F299" s="93" t="str">
        <f>IF('Informe Kelly'!H292=$A$2,'Informe Kelly'!F292,"")</f>
        <v/>
      </c>
      <c r="G299" s="93">
        <f>IF('Informe Kelly'!H292=$A$3,'Informe Kelly'!F292,"")</f>
        <v>0.65806712962962965</v>
      </c>
      <c r="H299" s="85">
        <f>IF(C299=C297,0,IF(D299=D298,0,(HLOOKUP(C299,Ingreso!$AN$10:$AU$260,VLOOKUP(A299,Ingreso!$AL$11:$AM$260,2,FALSE)))/24))</f>
        <v>0</v>
      </c>
      <c r="I299" s="77">
        <f t="shared" si="9"/>
        <v>0</v>
      </c>
      <c r="P299" s="95"/>
      <c r="Q299" s="102"/>
      <c r="R299" s="103"/>
      <c r="S299" s="104"/>
      <c r="T299" s="104"/>
      <c r="U299" s="104"/>
    </row>
    <row r="300" spans="1:21">
      <c r="A300" s="85" t="str">
        <f>VLOOKUP('Informe Kelly'!A293,Base!A:B,2,FALSE)</f>
        <v>09.832.710-K</v>
      </c>
      <c r="B300" s="85" t="str">
        <f>VLOOKUP('Informe Kelly'!A293,Base!A:G,7,FALSE)</f>
        <v>CARO RODRIGUEZ OMAR FCO</v>
      </c>
      <c r="C300" s="91">
        <f>'Informe Kelly'!E293</f>
        <v>40644</v>
      </c>
      <c r="D300" s="96">
        <f t="shared" si="8"/>
        <v>151</v>
      </c>
      <c r="E300" s="85" t="str">
        <f>VLOOKUP(A300,Ingreso!K:P,6,FALSE)</f>
        <v>Turno A</v>
      </c>
      <c r="F300" s="85">
        <f>IF('Informe Kelly'!H293=$A$2,'Informe Kelly'!F293,"")</f>
        <v>0.30015046296296294</v>
      </c>
      <c r="G300" s="85" t="str">
        <f>IF('Informe Kelly'!H293=$A$3,'Informe Kelly'!F293,"")</f>
        <v/>
      </c>
      <c r="H300" s="85">
        <f>IF(C300=C298,0,IF(D300=D299,0,(HLOOKUP(C300,Ingreso!$AN$10:$AU$260,VLOOKUP(A300,Ingreso!$AL$11:$AM$260,2,FALSE)))/24))</f>
        <v>0</v>
      </c>
      <c r="I300" s="77">
        <f t="shared" si="9"/>
        <v>0.3125</v>
      </c>
    </row>
    <row r="301" spans="1:21">
      <c r="A301" s="85" t="str">
        <f>VLOOKUP('Informe Kelly'!A294,Base!A:B,2,FALSE)</f>
        <v>09.832.710-K</v>
      </c>
      <c r="B301" s="85" t="str">
        <f>VLOOKUP('Informe Kelly'!A294,Base!A:G,7,FALSE)</f>
        <v>CARO RODRIGUEZ OMAR FCO</v>
      </c>
      <c r="C301" s="91">
        <f>'Informe Kelly'!E294</f>
        <v>40644</v>
      </c>
      <c r="D301" s="96">
        <f t="shared" si="8"/>
        <v>151</v>
      </c>
      <c r="E301" s="85" t="str">
        <f>VLOOKUP(A301,Ingreso!K:P,6,FALSE)</f>
        <v>Turno A</v>
      </c>
      <c r="F301" s="85" t="str">
        <f>IF('Informe Kelly'!H294=$A$2,'Informe Kelly'!F294,"")</f>
        <v/>
      </c>
      <c r="G301" s="85">
        <f>IF('Informe Kelly'!H294=$A$3,'Informe Kelly'!F294,"")</f>
        <v>0.72745370370370377</v>
      </c>
      <c r="H301" s="85">
        <f>IF(C301=C299,0,IF(D301=D300,0,(HLOOKUP(C301,Ingreso!$AN$10:$AU$260,VLOOKUP(A301,Ingreso!$AL$11:$AM$260,2,FALSE)))/24))</f>
        <v>0</v>
      </c>
      <c r="I301" s="77">
        <f t="shared" si="9"/>
        <v>0</v>
      </c>
    </row>
    <row r="302" spans="1:21">
      <c r="A302" s="85" t="str">
        <f>VLOOKUP('Informe Kelly'!A295,Base!A:B,2,FALSE)</f>
        <v>09.832.710-K</v>
      </c>
      <c r="B302" s="85" t="str">
        <f>VLOOKUP('Informe Kelly'!A295,Base!A:G,7,FALSE)</f>
        <v>CARO RODRIGUEZ OMAR FCO</v>
      </c>
      <c r="C302" s="91">
        <f>'Informe Kelly'!E295</f>
        <v>40645</v>
      </c>
      <c r="D302" s="96">
        <f t="shared" si="8"/>
        <v>152</v>
      </c>
      <c r="E302" s="85" t="str">
        <f>VLOOKUP(A302,Ingreso!K:P,6,FALSE)</f>
        <v>Turno A</v>
      </c>
      <c r="F302" s="85">
        <f>IF('Informe Kelly'!H295=$A$2,'Informe Kelly'!F295,"")</f>
        <v>0.30607638888888888</v>
      </c>
      <c r="G302" s="85" t="str">
        <f>IF('Informe Kelly'!H295=$A$3,'Informe Kelly'!F295,"")</f>
        <v/>
      </c>
      <c r="H302" s="85">
        <f>IF(C302=C300,0,IF(D302=D301,0,(HLOOKUP(C302,Ingreso!$AN$10:$AU$260,VLOOKUP(A302,Ingreso!$AL$11:$AM$260,2,FALSE)))/24))</f>
        <v>0</v>
      </c>
      <c r="I302" s="77">
        <f t="shared" si="9"/>
        <v>0.3125</v>
      </c>
    </row>
    <row r="303" spans="1:21">
      <c r="A303" s="85" t="str">
        <f>VLOOKUP('Informe Kelly'!A296,Base!A:B,2,FALSE)</f>
        <v>09.832.710-K</v>
      </c>
      <c r="B303" s="85" t="str">
        <f>VLOOKUP('Informe Kelly'!A296,Base!A:G,7,FALSE)</f>
        <v>CARO RODRIGUEZ OMAR FCO</v>
      </c>
      <c r="C303" s="91">
        <f>'Informe Kelly'!E296</f>
        <v>40645</v>
      </c>
      <c r="D303" s="96">
        <f t="shared" si="8"/>
        <v>152</v>
      </c>
      <c r="E303" s="85" t="str">
        <f>VLOOKUP(A303,Ingreso!K:P,6,FALSE)</f>
        <v>Turno A</v>
      </c>
      <c r="F303" s="85" t="str">
        <f>IF('Informe Kelly'!H296=$A$2,'Informe Kelly'!F296,"")</f>
        <v/>
      </c>
      <c r="G303" s="85">
        <f>IF('Informe Kelly'!H296=$A$3,'Informe Kelly'!F296,"")</f>
        <v>0.72630787037037037</v>
      </c>
      <c r="H303" s="85">
        <f>IF(C303=C301,0,IF(D303=D302,0,(HLOOKUP(C303,Ingreso!$AN$10:$AU$260,VLOOKUP(A303,Ingreso!$AL$11:$AM$260,2,FALSE)))/24))</f>
        <v>0</v>
      </c>
      <c r="I303" s="77">
        <f t="shared" si="9"/>
        <v>0</v>
      </c>
    </row>
    <row r="304" spans="1:21">
      <c r="A304" s="85" t="str">
        <f>VLOOKUP('Informe Kelly'!A297,Base!A:B,2,FALSE)</f>
        <v>09.832.710-K</v>
      </c>
      <c r="B304" s="85" t="str">
        <f>VLOOKUP('Informe Kelly'!A297,Base!A:G,7,FALSE)</f>
        <v>CARO RODRIGUEZ OMAR FCO</v>
      </c>
      <c r="C304" s="91">
        <f>'Informe Kelly'!E297</f>
        <v>40646</v>
      </c>
      <c r="D304" s="96">
        <f t="shared" si="8"/>
        <v>153</v>
      </c>
      <c r="E304" s="85" t="str">
        <f>VLOOKUP(A304,Ingreso!K:P,6,FALSE)</f>
        <v>Turno A</v>
      </c>
      <c r="F304" s="85">
        <f>IF('Informe Kelly'!H297=$A$2,'Informe Kelly'!F297,"")</f>
        <v>0.3016550925925926</v>
      </c>
      <c r="G304" s="85" t="str">
        <f>IF('Informe Kelly'!H297=$A$3,'Informe Kelly'!F297,"")</f>
        <v/>
      </c>
      <c r="H304" s="85">
        <f>IF(C304=C302,0,IF(D304=D303,0,(HLOOKUP(C304,Ingreso!$AN$10:$AU$260,VLOOKUP(A304,Ingreso!$AL$11:$AM$260,2,FALSE)))/24))</f>
        <v>0</v>
      </c>
      <c r="I304" s="77">
        <f t="shared" si="9"/>
        <v>0.3125</v>
      </c>
    </row>
    <row r="305" spans="1:9">
      <c r="A305" s="85" t="str">
        <f>VLOOKUP('Informe Kelly'!A298,Base!A:B,2,FALSE)</f>
        <v>09.832.710-K</v>
      </c>
      <c r="B305" s="85" t="str">
        <f>VLOOKUP('Informe Kelly'!A298,Base!A:G,7,FALSE)</f>
        <v>CARO RODRIGUEZ OMAR FCO</v>
      </c>
      <c r="C305" s="91">
        <f>'Informe Kelly'!E298</f>
        <v>40646</v>
      </c>
      <c r="D305" s="96">
        <f t="shared" si="8"/>
        <v>153</v>
      </c>
      <c r="E305" s="85" t="str">
        <f>VLOOKUP(A305,Ingreso!K:P,6,FALSE)</f>
        <v>Turno A</v>
      </c>
      <c r="F305" s="85" t="str">
        <f>IF('Informe Kelly'!H298=$A$2,'Informe Kelly'!F298,"")</f>
        <v/>
      </c>
      <c r="G305" s="85">
        <f>IF('Informe Kelly'!H298=$A$3,'Informe Kelly'!F298,"")</f>
        <v>0.73327546296296298</v>
      </c>
      <c r="H305" s="85">
        <f>IF(C305=C303,0,IF(D305=D304,0,(HLOOKUP(C305,Ingreso!$AN$10:$AU$260,VLOOKUP(A305,Ingreso!$AL$11:$AM$260,2,FALSE)))/24))</f>
        <v>0</v>
      </c>
      <c r="I305" s="77">
        <f t="shared" si="9"/>
        <v>0</v>
      </c>
    </row>
    <row r="306" spans="1:9">
      <c r="A306" s="85" t="str">
        <f>VLOOKUP('Informe Kelly'!A299,Base!A:B,2,FALSE)</f>
        <v>09.832.710-K</v>
      </c>
      <c r="B306" s="85" t="str">
        <f>VLOOKUP('Informe Kelly'!A299,Base!A:G,7,FALSE)</f>
        <v>CARO RODRIGUEZ OMAR FCO</v>
      </c>
      <c r="C306" s="91">
        <f>'Informe Kelly'!E299</f>
        <v>40647</v>
      </c>
      <c r="D306" s="96">
        <f t="shared" si="8"/>
        <v>154</v>
      </c>
      <c r="E306" s="85" t="str">
        <f>VLOOKUP(A306,Ingreso!K:P,6,FALSE)</f>
        <v>Turno A</v>
      </c>
      <c r="F306" s="85">
        <f>IF('Informe Kelly'!H299=$A$2,'Informe Kelly'!F299,"")</f>
        <v>0.30163194444444447</v>
      </c>
      <c r="G306" s="85" t="str">
        <f>IF('Informe Kelly'!H299=$A$3,'Informe Kelly'!F299,"")</f>
        <v/>
      </c>
      <c r="H306" s="85">
        <f>IF(C306=C304,0,IF(D306=D305,0,(HLOOKUP(C306,Ingreso!$AN$10:$AU$260,VLOOKUP(A306,Ingreso!$AL$11:$AM$260,2,FALSE)))/24))</f>
        <v>0</v>
      </c>
      <c r="I306" s="77">
        <f t="shared" si="9"/>
        <v>0.3125</v>
      </c>
    </row>
    <row r="307" spans="1:9">
      <c r="A307" s="85" t="str">
        <f>VLOOKUP('Informe Kelly'!A300,Base!A:B,2,FALSE)</f>
        <v>09.832.710-K</v>
      </c>
      <c r="B307" s="85" t="str">
        <f>VLOOKUP('Informe Kelly'!A300,Base!A:G,7,FALSE)</f>
        <v>CARO RODRIGUEZ OMAR FCO</v>
      </c>
      <c r="C307" s="91">
        <f>'Informe Kelly'!E300</f>
        <v>40647</v>
      </c>
      <c r="D307" s="96">
        <f t="shared" si="8"/>
        <v>154</v>
      </c>
      <c r="E307" s="85" t="str">
        <f>VLOOKUP(A307,Ingreso!K:P,6,FALSE)</f>
        <v>Turno A</v>
      </c>
      <c r="F307" s="85" t="str">
        <f>IF('Informe Kelly'!H300=$A$2,'Informe Kelly'!F300,"")</f>
        <v/>
      </c>
      <c r="G307" s="85">
        <f>IF('Informe Kelly'!H300=$A$3,'Informe Kelly'!F300,"")</f>
        <v>0.76453703703703713</v>
      </c>
      <c r="H307" s="85">
        <f>IF(C307=C305,0,IF(D307=D306,0,(HLOOKUP(C307,Ingreso!$AN$10:$AU$260,VLOOKUP(A307,Ingreso!$AL$11:$AM$260,2,FALSE)))/24))</f>
        <v>0</v>
      </c>
      <c r="I307" s="77">
        <f t="shared" si="9"/>
        <v>0</v>
      </c>
    </row>
    <row r="308" spans="1:9">
      <c r="A308" s="85" t="str">
        <f>VLOOKUP('Informe Kelly'!A301,Base!A:B,2,FALSE)</f>
        <v>09.832.710-K</v>
      </c>
      <c r="B308" s="85" t="str">
        <f>VLOOKUP('Informe Kelly'!A301,Base!A:G,7,FALSE)</f>
        <v>CARO RODRIGUEZ OMAR FCO</v>
      </c>
      <c r="C308" s="91">
        <f>'Informe Kelly'!E301</f>
        <v>40648</v>
      </c>
      <c r="D308" s="96">
        <f t="shared" si="8"/>
        <v>155</v>
      </c>
      <c r="E308" s="85" t="str">
        <f>VLOOKUP(A308,Ingreso!K:P,6,FALSE)</f>
        <v>Turno A</v>
      </c>
      <c r="F308" s="85" t="str">
        <f>IF('Informe Kelly'!H301=$A$2,'Informe Kelly'!F301,"")</f>
        <v/>
      </c>
      <c r="G308" s="85">
        <f>IF('Informe Kelly'!H301=$A$3,'Informe Kelly'!F301,"")</f>
        <v>0.72233796296296304</v>
      </c>
      <c r="H308" s="85">
        <f>IF(C308=C306,0,IF(D308=D307,0,(HLOOKUP(C308,Ingreso!$AN$10:$AU$260,VLOOKUP(A308,Ingreso!$AL$11:$AM$260,2,FALSE)))/24))</f>
        <v>0</v>
      </c>
      <c r="I308" s="77">
        <f t="shared" si="9"/>
        <v>0.3125</v>
      </c>
    </row>
    <row r="309" spans="1:9">
      <c r="A309" s="85" t="str">
        <f>VLOOKUP('Informe Kelly'!A302,Base!A:B,2,FALSE)</f>
        <v>09.832.710-K</v>
      </c>
      <c r="B309" s="85" t="str">
        <f>VLOOKUP('Informe Kelly'!A302,Base!A:G,7,FALSE)</f>
        <v>CARO RODRIGUEZ OMAR FCO</v>
      </c>
      <c r="C309" s="91">
        <f>'Informe Kelly'!E302</f>
        <v>40648</v>
      </c>
      <c r="D309" s="96">
        <f t="shared" si="8"/>
        <v>155</v>
      </c>
      <c r="E309" s="85" t="str">
        <f>VLOOKUP(A309,Ingreso!K:P,6,FALSE)</f>
        <v>Turno A</v>
      </c>
      <c r="F309" s="85">
        <f>IF('Informe Kelly'!H302=$A$2,'Informe Kelly'!F302,"")</f>
        <v>0.30671296296296297</v>
      </c>
      <c r="G309" s="85" t="str">
        <f>IF('Informe Kelly'!H302=$A$3,'Informe Kelly'!F302,"")</f>
        <v/>
      </c>
      <c r="H309" s="85">
        <f>IF(C309=C307,0,IF(D309=D308,0,(HLOOKUP(C309,Ingreso!$AN$10:$AU$260,VLOOKUP(A309,Ingreso!$AL$11:$AM$260,2,FALSE)))/24))</f>
        <v>0</v>
      </c>
      <c r="I309" s="77">
        <f t="shared" si="9"/>
        <v>0</v>
      </c>
    </row>
    <row r="310" spans="1:9">
      <c r="A310" s="85" t="str">
        <f>VLOOKUP('Informe Kelly'!A303,Base!A:B,2,FALSE)</f>
        <v>09.989.723-6</v>
      </c>
      <c r="B310" s="85" t="str">
        <f>VLOOKUP('Informe Kelly'!A303,Base!A:G,7,FALSE)</f>
        <v>HERNANDEZ CESPEDES FRANKLIN LEONEL</v>
      </c>
      <c r="C310" s="91">
        <f>'Informe Kelly'!E303</f>
        <v>40644</v>
      </c>
      <c r="D310" s="96">
        <f t="shared" si="8"/>
        <v>156</v>
      </c>
      <c r="E310" s="85" t="str">
        <f>VLOOKUP(A310,Ingreso!K:P,6,FALSE)</f>
        <v>Turno A</v>
      </c>
      <c r="F310" s="85">
        <f>IF('Informe Kelly'!H303=$A$2,'Informe Kelly'!F303,"")</f>
        <v>0.30681712962962965</v>
      </c>
      <c r="G310" s="85" t="str">
        <f>IF('Informe Kelly'!H303=$A$3,'Informe Kelly'!F303,"")</f>
        <v/>
      </c>
      <c r="H310" s="85">
        <f>IF(C310=C308,0,IF(D310=D309,0,(HLOOKUP(C310,Ingreso!$AN$10:$AU$260,VLOOKUP(A310,Ingreso!$AL$11:$AM$260,2,FALSE)))/24))</f>
        <v>0</v>
      </c>
      <c r="I310" s="77">
        <f t="shared" si="9"/>
        <v>0.3125</v>
      </c>
    </row>
    <row r="311" spans="1:9">
      <c r="A311" s="85" t="str">
        <f>VLOOKUP('Informe Kelly'!A304,Base!A:B,2,FALSE)</f>
        <v>09.989.723-6</v>
      </c>
      <c r="B311" s="85" t="str">
        <f>VLOOKUP('Informe Kelly'!A304,Base!A:G,7,FALSE)</f>
        <v>HERNANDEZ CESPEDES FRANKLIN LEONEL</v>
      </c>
      <c r="C311" s="91">
        <f>'Informe Kelly'!E304</f>
        <v>40644</v>
      </c>
      <c r="D311" s="96">
        <f t="shared" si="8"/>
        <v>156</v>
      </c>
      <c r="E311" s="85" t="str">
        <f>VLOOKUP(A311,Ingreso!K:P,6,FALSE)</f>
        <v>Turno A</v>
      </c>
      <c r="F311" s="85" t="str">
        <f>IF('Informe Kelly'!H304=$A$2,'Informe Kelly'!F304,"")</f>
        <v/>
      </c>
      <c r="G311" s="85">
        <f>IF('Informe Kelly'!H304=$A$3,'Informe Kelly'!F304,"")</f>
        <v>0.63119212962962956</v>
      </c>
      <c r="H311" s="85">
        <f>IF(C311=C309,0,IF(D311=D310,0,(HLOOKUP(C311,Ingreso!$AN$10:$AU$260,VLOOKUP(A311,Ingreso!$AL$11:$AM$260,2,FALSE)))/24))</f>
        <v>0</v>
      </c>
      <c r="I311" s="77">
        <f t="shared" si="9"/>
        <v>0</v>
      </c>
    </row>
    <row r="312" spans="1:9">
      <c r="A312" s="85" t="str">
        <f>VLOOKUP('Informe Kelly'!A305,Base!A:B,2,FALSE)</f>
        <v>09.989.723-6</v>
      </c>
      <c r="B312" s="85" t="str">
        <f>VLOOKUP('Informe Kelly'!A305,Base!A:G,7,FALSE)</f>
        <v>HERNANDEZ CESPEDES FRANKLIN LEONEL</v>
      </c>
      <c r="C312" s="91">
        <f>'Informe Kelly'!E305</f>
        <v>40645</v>
      </c>
      <c r="D312" s="96">
        <f t="shared" si="8"/>
        <v>157</v>
      </c>
      <c r="E312" s="85" t="str">
        <f>VLOOKUP(A312,Ingreso!K:P,6,FALSE)</f>
        <v>Turno A</v>
      </c>
      <c r="F312" s="85">
        <f>IF('Informe Kelly'!H305=$A$2,'Informe Kelly'!F305,"")</f>
        <v>0.29706018518518518</v>
      </c>
      <c r="G312" s="85" t="str">
        <f>IF('Informe Kelly'!H305=$A$3,'Informe Kelly'!F305,"")</f>
        <v/>
      </c>
      <c r="H312" s="85">
        <f>IF(C312=C310,0,IF(D312=D311,0,(HLOOKUP(C312,Ingreso!$AN$10:$AU$260,VLOOKUP(A312,Ingreso!$AL$11:$AM$260,2,FALSE)))/24))</f>
        <v>0</v>
      </c>
      <c r="I312" s="77">
        <f t="shared" si="9"/>
        <v>0.3125</v>
      </c>
    </row>
    <row r="313" spans="1:9">
      <c r="A313" s="85" t="str">
        <f>VLOOKUP('Informe Kelly'!A306,Base!A:B,2,FALSE)</f>
        <v>09.989.723-6</v>
      </c>
      <c r="B313" s="85" t="str">
        <f>VLOOKUP('Informe Kelly'!A306,Base!A:G,7,FALSE)</f>
        <v>HERNANDEZ CESPEDES FRANKLIN LEONEL</v>
      </c>
      <c r="C313" s="91">
        <f>'Informe Kelly'!E306</f>
        <v>40645</v>
      </c>
      <c r="D313" s="96">
        <f t="shared" si="8"/>
        <v>157</v>
      </c>
      <c r="E313" s="85" t="str">
        <f>VLOOKUP(A313,Ingreso!K:P,6,FALSE)</f>
        <v>Turno A</v>
      </c>
      <c r="F313" s="85" t="str">
        <f>IF('Informe Kelly'!H306=$A$2,'Informe Kelly'!F306,"")</f>
        <v/>
      </c>
      <c r="G313" s="85">
        <f>IF('Informe Kelly'!H306=$A$3,'Informe Kelly'!F306,"")</f>
        <v>0.63511574074074073</v>
      </c>
      <c r="H313" s="85">
        <f>IF(C313=C311,0,IF(D313=D312,0,(HLOOKUP(C313,Ingreso!$AN$10:$AU$260,VLOOKUP(A313,Ingreso!$AL$11:$AM$260,2,FALSE)))/24))</f>
        <v>0</v>
      </c>
      <c r="I313" s="77">
        <f t="shared" si="9"/>
        <v>0</v>
      </c>
    </row>
    <row r="314" spans="1:9">
      <c r="A314" s="85" t="str">
        <f>VLOOKUP('Informe Kelly'!A307,Base!A:B,2,FALSE)</f>
        <v>09.989.723-6</v>
      </c>
      <c r="B314" s="85" t="str">
        <f>VLOOKUP('Informe Kelly'!A307,Base!A:G,7,FALSE)</f>
        <v>HERNANDEZ CESPEDES FRANKLIN LEONEL</v>
      </c>
      <c r="C314" s="91">
        <f>'Informe Kelly'!E307</f>
        <v>40646</v>
      </c>
      <c r="D314" s="96">
        <f t="shared" si="8"/>
        <v>158</v>
      </c>
      <c r="E314" s="85" t="str">
        <f>VLOOKUP(A314,Ingreso!K:P,6,FALSE)</f>
        <v>Turno A</v>
      </c>
      <c r="F314" s="85">
        <f>IF('Informe Kelly'!H307=$A$2,'Informe Kelly'!F307,"")</f>
        <v>0.29555555555555557</v>
      </c>
      <c r="G314" s="85" t="str">
        <f>IF('Informe Kelly'!H307=$A$3,'Informe Kelly'!F307,"")</f>
        <v/>
      </c>
      <c r="H314" s="85">
        <f>IF(C314=C312,0,IF(D314=D313,0,(HLOOKUP(C314,Ingreso!$AN$10:$AU$260,VLOOKUP(A314,Ingreso!$AL$11:$AM$260,2,FALSE)))/24))</f>
        <v>0</v>
      </c>
      <c r="I314" s="77">
        <f t="shared" si="9"/>
        <v>0.3125</v>
      </c>
    </row>
    <row r="315" spans="1:9">
      <c r="A315" s="85" t="str">
        <f>VLOOKUP('Informe Kelly'!A308,Base!A:B,2,FALSE)</f>
        <v>09.989.723-6</v>
      </c>
      <c r="B315" s="85" t="str">
        <f>VLOOKUP('Informe Kelly'!A308,Base!A:G,7,FALSE)</f>
        <v>HERNANDEZ CESPEDES FRANKLIN LEONEL</v>
      </c>
      <c r="C315" s="91">
        <f>'Informe Kelly'!E308</f>
        <v>40646</v>
      </c>
      <c r="D315" s="96">
        <f t="shared" si="8"/>
        <v>158</v>
      </c>
      <c r="E315" s="85" t="str">
        <f>VLOOKUP(A315,Ingreso!K:P,6,FALSE)</f>
        <v>Turno A</v>
      </c>
      <c r="F315" s="85" t="str">
        <f>IF('Informe Kelly'!H308=$A$2,'Informe Kelly'!F308,"")</f>
        <v/>
      </c>
      <c r="G315" s="85">
        <f>IF('Informe Kelly'!H308=$A$3,'Informe Kelly'!F308,"")</f>
        <v>0.63464120370370369</v>
      </c>
      <c r="H315" s="85">
        <f>IF(C315=C313,0,IF(D315=D314,0,(HLOOKUP(C315,Ingreso!$AN$10:$AU$260,VLOOKUP(A315,Ingreso!$AL$11:$AM$260,2,FALSE)))/24))</f>
        <v>0</v>
      </c>
      <c r="I315" s="77">
        <f t="shared" si="9"/>
        <v>0</v>
      </c>
    </row>
    <row r="316" spans="1:9">
      <c r="A316" s="85" t="str">
        <f>VLOOKUP('Informe Kelly'!A309,Base!A:B,2,FALSE)</f>
        <v>09.989.723-6</v>
      </c>
      <c r="B316" s="85" t="str">
        <f>VLOOKUP('Informe Kelly'!A309,Base!A:G,7,FALSE)</f>
        <v>HERNANDEZ CESPEDES FRANKLIN LEONEL</v>
      </c>
      <c r="C316" s="91">
        <f>'Informe Kelly'!E309</f>
        <v>40647</v>
      </c>
      <c r="D316" s="96">
        <f t="shared" si="8"/>
        <v>159</v>
      </c>
      <c r="E316" s="85" t="str">
        <f>VLOOKUP(A316,Ingreso!K:P,6,FALSE)</f>
        <v>Turno A</v>
      </c>
      <c r="F316" s="85">
        <f>IF('Informe Kelly'!H309=$A$2,'Informe Kelly'!F309,"")</f>
        <v>0.2898263888888889</v>
      </c>
      <c r="G316" s="85" t="str">
        <f>IF('Informe Kelly'!H309=$A$3,'Informe Kelly'!F309,"")</f>
        <v/>
      </c>
      <c r="H316" s="85">
        <f>IF(C316=C314,0,IF(D316=D315,0,(HLOOKUP(C316,Ingreso!$AN$10:$AU$260,VLOOKUP(A316,Ingreso!$AL$11:$AM$260,2,FALSE)))/24))</f>
        <v>0</v>
      </c>
      <c r="I316" s="77">
        <f t="shared" si="9"/>
        <v>0.3125</v>
      </c>
    </row>
    <row r="317" spans="1:9">
      <c r="A317" s="85" t="str">
        <f>VLOOKUP('Informe Kelly'!A310,Base!A:B,2,FALSE)</f>
        <v>09.989.723-6</v>
      </c>
      <c r="B317" s="85" t="str">
        <f>VLOOKUP('Informe Kelly'!A310,Base!A:G,7,FALSE)</f>
        <v>HERNANDEZ CESPEDES FRANKLIN LEONEL</v>
      </c>
      <c r="C317" s="91">
        <f>'Informe Kelly'!E310</f>
        <v>40647</v>
      </c>
      <c r="D317" s="96">
        <f t="shared" si="8"/>
        <v>159</v>
      </c>
      <c r="E317" s="85" t="str">
        <f>VLOOKUP(A317,Ingreso!K:P,6,FALSE)</f>
        <v>Turno A</v>
      </c>
      <c r="F317" s="85" t="str">
        <f>IF('Informe Kelly'!H310=$A$2,'Informe Kelly'!F310,"")</f>
        <v/>
      </c>
      <c r="G317" s="85">
        <f>IF('Informe Kelly'!H310=$A$3,'Informe Kelly'!F310,"")</f>
        <v>0.62958333333333327</v>
      </c>
      <c r="H317" s="85">
        <f>IF(C317=C315,0,IF(D317=D316,0,(HLOOKUP(C317,Ingreso!$AN$10:$AU$260,VLOOKUP(A317,Ingreso!$AL$11:$AM$260,2,FALSE)))/24))</f>
        <v>0</v>
      </c>
      <c r="I317" s="77">
        <f t="shared" si="9"/>
        <v>0</v>
      </c>
    </row>
    <row r="318" spans="1:9">
      <c r="A318" s="85" t="str">
        <f>VLOOKUP('Informe Kelly'!A311,Base!A:B,2,FALSE)</f>
        <v>09.989.723-6</v>
      </c>
      <c r="B318" s="85" t="str">
        <f>VLOOKUP('Informe Kelly'!A311,Base!A:G,7,FALSE)</f>
        <v>HERNANDEZ CESPEDES FRANKLIN LEONEL</v>
      </c>
      <c r="C318" s="91">
        <f>'Informe Kelly'!E311</f>
        <v>40648</v>
      </c>
      <c r="D318" s="96">
        <f t="shared" si="8"/>
        <v>160</v>
      </c>
      <c r="E318" s="85" t="str">
        <f>VLOOKUP(A318,Ingreso!K:P,6,FALSE)</f>
        <v>Turno A</v>
      </c>
      <c r="F318" s="85" t="str">
        <f>IF('Informe Kelly'!H311=$A$2,'Informe Kelly'!F311,"")</f>
        <v/>
      </c>
      <c r="G318" s="85">
        <f>IF('Informe Kelly'!H311=$A$3,'Informe Kelly'!F311,"")</f>
        <v>0.63896990740740744</v>
      </c>
      <c r="H318" s="85">
        <f>IF(C318=C316,0,IF(D318=D317,0,(HLOOKUP(C318,Ingreso!$AN$10:$AU$260,VLOOKUP(A318,Ingreso!$AL$11:$AM$260,2,FALSE)))/24))</f>
        <v>0</v>
      </c>
      <c r="I318" s="77">
        <f t="shared" si="9"/>
        <v>0.3125</v>
      </c>
    </row>
    <row r="319" spans="1:9">
      <c r="A319" s="85" t="str">
        <f>VLOOKUP('Informe Kelly'!A312,Base!A:B,2,FALSE)</f>
        <v>09.989.723-6</v>
      </c>
      <c r="B319" s="85" t="str">
        <f>VLOOKUP('Informe Kelly'!A312,Base!A:G,7,FALSE)</f>
        <v>HERNANDEZ CESPEDES FRANKLIN LEONEL</v>
      </c>
      <c r="C319" s="91">
        <f>'Informe Kelly'!E312</f>
        <v>40648</v>
      </c>
      <c r="D319" s="96">
        <f t="shared" si="8"/>
        <v>160</v>
      </c>
      <c r="E319" s="85" t="str">
        <f>VLOOKUP(A319,Ingreso!K:P,6,FALSE)</f>
        <v>Turno A</v>
      </c>
      <c r="F319" s="85">
        <f>IF('Informe Kelly'!H312=$A$2,'Informe Kelly'!F312,"")</f>
        <v>0.29567129629629629</v>
      </c>
      <c r="G319" s="85" t="str">
        <f>IF('Informe Kelly'!H312=$A$3,'Informe Kelly'!F312,"")</f>
        <v/>
      </c>
      <c r="H319" s="85">
        <f>IF(C319=C317,0,IF(D319=D318,0,(HLOOKUP(C319,Ingreso!$AN$10:$AU$260,VLOOKUP(A319,Ingreso!$AL$11:$AM$260,2,FALSE)))/24))</f>
        <v>0</v>
      </c>
      <c r="I319" s="77">
        <f t="shared" si="9"/>
        <v>0</v>
      </c>
    </row>
    <row r="320" spans="1:9">
      <c r="A320" s="85" t="str">
        <f>VLOOKUP('Informe Kelly'!A313,Base!A:B,2,FALSE)</f>
        <v>09.989.723-6</v>
      </c>
      <c r="B320" s="85" t="str">
        <f>VLOOKUP('Informe Kelly'!A313,Base!A:G,7,FALSE)</f>
        <v>HERNANDEZ CESPEDES FRANKLIN LEONEL</v>
      </c>
      <c r="C320" s="91">
        <f>'Informe Kelly'!E313</f>
        <v>40649</v>
      </c>
      <c r="D320" s="96">
        <f t="shared" si="8"/>
        <v>161</v>
      </c>
      <c r="E320" s="85" t="str">
        <f>VLOOKUP(A320,Ingreso!K:P,6,FALSE)</f>
        <v>Turno A</v>
      </c>
      <c r="F320" s="85">
        <f>IF('Informe Kelly'!H313=$A$2,'Informe Kelly'!F313,"")</f>
        <v>0.30928240740740742</v>
      </c>
      <c r="G320" s="85" t="str">
        <f>IF('Informe Kelly'!H313=$A$3,'Informe Kelly'!F313,"")</f>
        <v/>
      </c>
      <c r="H320" s="85">
        <f>IF(C320=C318,0,IF(D320=D319,0,(HLOOKUP(C320,Ingreso!$AN$10:$AU$260,VLOOKUP(A320,Ingreso!$AL$11:$AM$260,2,FALSE)))/24))</f>
        <v>0</v>
      </c>
      <c r="I320" s="77">
        <f t="shared" si="9"/>
        <v>0.3125</v>
      </c>
    </row>
    <row r="321" spans="1:9">
      <c r="A321" s="85" t="str">
        <f>VLOOKUP('Informe Kelly'!A314,Base!A:B,2,FALSE)</f>
        <v>09.989.723-6</v>
      </c>
      <c r="B321" s="85" t="str">
        <f>VLOOKUP('Informe Kelly'!A314,Base!A:G,7,FALSE)</f>
        <v>HERNANDEZ CESPEDES FRANKLIN LEONEL</v>
      </c>
      <c r="C321" s="91">
        <f>'Informe Kelly'!E314</f>
        <v>40649</v>
      </c>
      <c r="D321" s="96">
        <f t="shared" si="8"/>
        <v>161</v>
      </c>
      <c r="E321" s="85" t="str">
        <f>VLOOKUP(A321,Ingreso!K:P,6,FALSE)</f>
        <v>Turno A</v>
      </c>
      <c r="F321" s="85" t="str">
        <f>IF('Informe Kelly'!H314=$A$2,'Informe Kelly'!F314,"")</f>
        <v/>
      </c>
      <c r="G321" s="85">
        <f>IF('Informe Kelly'!H314=$A$3,'Informe Kelly'!F314,"")</f>
        <v>0.6348611111111111</v>
      </c>
      <c r="H321" s="85">
        <f>IF(C321=C319,0,IF(D321=D320,0,(HLOOKUP(C321,Ingreso!$AN$10:$AU$260,VLOOKUP(A321,Ingreso!$AL$11:$AM$260,2,FALSE)))/24))</f>
        <v>0</v>
      </c>
      <c r="I321" s="77">
        <f t="shared" si="9"/>
        <v>0</v>
      </c>
    </row>
    <row r="322" spans="1:9">
      <c r="A322" s="85" t="str">
        <f>VLOOKUP('Informe Kelly'!A315,Base!A:B,2,FALSE)</f>
        <v>10.042.860-1</v>
      </c>
      <c r="B322" s="85" t="str">
        <f>VLOOKUP('Informe Kelly'!A315,Base!A:G,7,FALSE)</f>
        <v>QUIROGA GARCIA LUIS ABRAHAM</v>
      </c>
      <c r="C322" s="91">
        <f>'Informe Kelly'!E315</f>
        <v>40644</v>
      </c>
      <c r="D322" s="96">
        <f t="shared" si="8"/>
        <v>162</v>
      </c>
      <c r="E322" s="85" t="e">
        <f>VLOOKUP(A322,Ingreso!K:P,6,FALSE)</f>
        <v>#N/A</v>
      </c>
      <c r="F322" s="85">
        <f>IF('Informe Kelly'!H315=$A$2,'Informe Kelly'!F315,"")</f>
        <v>0.29673611111111114</v>
      </c>
      <c r="G322" s="85" t="str">
        <f>IF('Informe Kelly'!H315=$A$3,'Informe Kelly'!F315,"")</f>
        <v/>
      </c>
      <c r="H322" s="85" t="e">
        <f>IF(C322=C320,0,IF(D322=D321,0,(HLOOKUP(C322,Ingreso!$AN$10:$AU$260,VLOOKUP(A322,Ingreso!$AL$11:$AM$260,2,FALSE)))/24))</f>
        <v>#N/A</v>
      </c>
      <c r="I322" s="77" t="e">
        <f t="shared" si="9"/>
        <v>#N/A</v>
      </c>
    </row>
    <row r="323" spans="1:9">
      <c r="A323" s="85" t="str">
        <f>VLOOKUP('Informe Kelly'!A316,Base!A:B,2,FALSE)</f>
        <v>10.042.860-1</v>
      </c>
      <c r="B323" s="85" t="str">
        <f>VLOOKUP('Informe Kelly'!A316,Base!A:G,7,FALSE)</f>
        <v>QUIROGA GARCIA LUIS ABRAHAM</v>
      </c>
      <c r="C323" s="91">
        <f>'Informe Kelly'!E316</f>
        <v>40644</v>
      </c>
      <c r="D323" s="96">
        <f t="shared" si="8"/>
        <v>162</v>
      </c>
      <c r="E323" s="85" t="e">
        <f>VLOOKUP(A323,Ingreso!K:P,6,FALSE)</f>
        <v>#N/A</v>
      </c>
      <c r="F323" s="85" t="str">
        <f>IF('Informe Kelly'!H316=$A$2,'Informe Kelly'!F316,"")</f>
        <v/>
      </c>
      <c r="G323" s="85">
        <f>IF('Informe Kelly'!H316=$A$3,'Informe Kelly'!F316,"")</f>
        <v>0.63662037037037034</v>
      </c>
      <c r="H323" s="85">
        <f>IF(C323=C321,0,IF(D323=D322,0,(HLOOKUP(C323,Ingreso!$AN$10:$AU$260,VLOOKUP(A323,Ingreso!$AL$11:$AM$260,2,FALSE)))/24))</f>
        <v>0</v>
      </c>
      <c r="I323" s="77">
        <f t="shared" si="9"/>
        <v>0</v>
      </c>
    </row>
    <row r="324" spans="1:9">
      <c r="A324" s="85" t="str">
        <f>VLOOKUP('Informe Kelly'!A317,Base!A:B,2,FALSE)</f>
        <v>10.042.860-1</v>
      </c>
      <c r="B324" s="85" t="str">
        <f>VLOOKUP('Informe Kelly'!A317,Base!A:G,7,FALSE)</f>
        <v>QUIROGA GARCIA LUIS ABRAHAM</v>
      </c>
      <c r="C324" s="91">
        <f>'Informe Kelly'!E317</f>
        <v>40645</v>
      </c>
      <c r="D324" s="96">
        <f t="shared" si="8"/>
        <v>163</v>
      </c>
      <c r="E324" s="85" t="e">
        <f>VLOOKUP(A324,Ingreso!K:P,6,FALSE)</f>
        <v>#N/A</v>
      </c>
      <c r="F324" s="85">
        <f>IF('Informe Kelly'!H317=$A$2,'Informe Kelly'!F317,"")</f>
        <v>0.29526620370370371</v>
      </c>
      <c r="G324" s="85" t="str">
        <f>IF('Informe Kelly'!H317=$A$3,'Informe Kelly'!F317,"")</f>
        <v/>
      </c>
      <c r="H324" s="85" t="e">
        <f>IF(C324=C322,0,IF(D324=D323,0,(HLOOKUP(C324,Ingreso!$AN$10:$AU$260,VLOOKUP(A324,Ingreso!$AL$11:$AM$260,2,FALSE)))/24))</f>
        <v>#N/A</v>
      </c>
      <c r="I324" s="77" t="e">
        <f t="shared" si="9"/>
        <v>#N/A</v>
      </c>
    </row>
    <row r="325" spans="1:9">
      <c r="A325" s="85" t="str">
        <f>VLOOKUP('Informe Kelly'!A318,Base!A:B,2,FALSE)</f>
        <v>10.042.860-1</v>
      </c>
      <c r="B325" s="85" t="str">
        <f>VLOOKUP('Informe Kelly'!A318,Base!A:G,7,FALSE)</f>
        <v>QUIROGA GARCIA LUIS ABRAHAM</v>
      </c>
      <c r="C325" s="91">
        <f>'Informe Kelly'!E318</f>
        <v>40645</v>
      </c>
      <c r="D325" s="96">
        <f t="shared" si="8"/>
        <v>163</v>
      </c>
      <c r="E325" s="85" t="e">
        <f>VLOOKUP(A325,Ingreso!K:P,6,FALSE)</f>
        <v>#N/A</v>
      </c>
      <c r="F325" s="85" t="str">
        <f>IF('Informe Kelly'!H318=$A$2,'Informe Kelly'!F318,"")</f>
        <v/>
      </c>
      <c r="G325" s="85">
        <f>IF('Informe Kelly'!H318=$A$3,'Informe Kelly'!F318,"")</f>
        <v>0.63623842592592594</v>
      </c>
      <c r="H325" s="85">
        <f>IF(C325=C323,0,IF(D325=D324,0,(HLOOKUP(C325,Ingreso!$AN$10:$AU$260,VLOOKUP(A325,Ingreso!$AL$11:$AM$260,2,FALSE)))/24))</f>
        <v>0</v>
      </c>
      <c r="I325" s="77">
        <f t="shared" si="9"/>
        <v>0</v>
      </c>
    </row>
    <row r="326" spans="1:9">
      <c r="A326" s="85" t="str">
        <f>VLOOKUP('Informe Kelly'!A319,Base!A:B,2,FALSE)</f>
        <v>10.042.860-1</v>
      </c>
      <c r="B326" s="85" t="str">
        <f>VLOOKUP('Informe Kelly'!A319,Base!A:G,7,FALSE)</f>
        <v>QUIROGA GARCIA LUIS ABRAHAM</v>
      </c>
      <c r="C326" s="91">
        <f>'Informe Kelly'!E319</f>
        <v>40646</v>
      </c>
      <c r="D326" s="96">
        <f t="shared" si="8"/>
        <v>164</v>
      </c>
      <c r="E326" s="85" t="e">
        <f>VLOOKUP(A326,Ingreso!K:P,6,FALSE)</f>
        <v>#N/A</v>
      </c>
      <c r="F326" s="85">
        <f>IF('Informe Kelly'!H319=$A$2,'Informe Kelly'!F319,"")</f>
        <v>0.29547453703703702</v>
      </c>
      <c r="G326" s="85" t="str">
        <f>IF('Informe Kelly'!H319=$A$3,'Informe Kelly'!F319,"")</f>
        <v/>
      </c>
      <c r="H326" s="85" t="e">
        <f>IF(C326=C324,0,IF(D326=D325,0,(HLOOKUP(C326,Ingreso!$AN$10:$AU$260,VLOOKUP(A326,Ingreso!$AL$11:$AM$260,2,FALSE)))/24))</f>
        <v>#N/A</v>
      </c>
      <c r="I326" s="77" t="e">
        <f t="shared" si="9"/>
        <v>#N/A</v>
      </c>
    </row>
    <row r="327" spans="1:9">
      <c r="A327" s="85" t="str">
        <f>VLOOKUP('Informe Kelly'!A320,Base!A:B,2,FALSE)</f>
        <v>10.042.860-1</v>
      </c>
      <c r="B327" s="85" t="str">
        <f>VLOOKUP('Informe Kelly'!A320,Base!A:G,7,FALSE)</f>
        <v>QUIROGA GARCIA LUIS ABRAHAM</v>
      </c>
      <c r="C327" s="91">
        <f>'Informe Kelly'!E320</f>
        <v>40646</v>
      </c>
      <c r="D327" s="96">
        <f t="shared" si="8"/>
        <v>164</v>
      </c>
      <c r="E327" s="85" t="e">
        <f>VLOOKUP(A327,Ingreso!K:P,6,FALSE)</f>
        <v>#N/A</v>
      </c>
      <c r="F327" s="85" t="str">
        <f>IF('Informe Kelly'!H320=$A$2,'Informe Kelly'!F320,"")</f>
        <v/>
      </c>
      <c r="G327" s="85">
        <f>IF('Informe Kelly'!H320=$A$3,'Informe Kelly'!F320,"")</f>
        <v>0.63905092592592594</v>
      </c>
      <c r="H327" s="85">
        <f>IF(C327=C325,0,IF(D327=D326,0,(HLOOKUP(C327,Ingreso!$AN$10:$AU$260,VLOOKUP(A327,Ingreso!$AL$11:$AM$260,2,FALSE)))/24))</f>
        <v>0</v>
      </c>
      <c r="I327" s="77">
        <f t="shared" si="9"/>
        <v>0</v>
      </c>
    </row>
    <row r="328" spans="1:9">
      <c r="A328" s="85" t="str">
        <f>VLOOKUP('Informe Kelly'!A321,Base!A:B,2,FALSE)</f>
        <v>10.042.860-1</v>
      </c>
      <c r="B328" s="85" t="str">
        <f>VLOOKUP('Informe Kelly'!A321,Base!A:G,7,FALSE)</f>
        <v>QUIROGA GARCIA LUIS ABRAHAM</v>
      </c>
      <c r="C328" s="91">
        <f>'Informe Kelly'!E321</f>
        <v>40647</v>
      </c>
      <c r="D328" s="96">
        <f t="shared" si="8"/>
        <v>165</v>
      </c>
      <c r="E328" s="85" t="e">
        <f>VLOOKUP(A328,Ingreso!K:P,6,FALSE)</f>
        <v>#N/A</v>
      </c>
      <c r="F328" s="85">
        <f>IF('Informe Kelly'!H321=$A$2,'Informe Kelly'!F321,"")</f>
        <v>0.29462962962962963</v>
      </c>
      <c r="G328" s="85" t="str">
        <f>IF('Informe Kelly'!H321=$A$3,'Informe Kelly'!F321,"")</f>
        <v/>
      </c>
      <c r="H328" s="85" t="e">
        <f>IF(C328=C326,0,IF(D328=D327,0,(HLOOKUP(C328,Ingreso!$AN$10:$AU$260,VLOOKUP(A328,Ingreso!$AL$11:$AM$260,2,FALSE)))/24))</f>
        <v>#N/A</v>
      </c>
      <c r="I328" s="77" t="e">
        <f t="shared" si="9"/>
        <v>#N/A</v>
      </c>
    </row>
    <row r="329" spans="1:9">
      <c r="A329" s="85" t="str">
        <f>VLOOKUP('Informe Kelly'!A322,Base!A:B,2,FALSE)</f>
        <v>10.042.860-1</v>
      </c>
      <c r="B329" s="85" t="str">
        <f>VLOOKUP('Informe Kelly'!A322,Base!A:G,7,FALSE)</f>
        <v>QUIROGA GARCIA LUIS ABRAHAM</v>
      </c>
      <c r="C329" s="91">
        <f>'Informe Kelly'!E322</f>
        <v>40647</v>
      </c>
      <c r="D329" s="96">
        <f t="shared" ref="D329:D392" si="10">IF(C328=C329,IF(C329=C326,D328,IF(C329=C327,D328+1,D328)),D328+1)</f>
        <v>165</v>
      </c>
      <c r="E329" s="85" t="e">
        <f>VLOOKUP(A329,Ingreso!K:P,6,FALSE)</f>
        <v>#N/A</v>
      </c>
      <c r="F329" s="85" t="str">
        <f>IF('Informe Kelly'!H322=$A$2,'Informe Kelly'!F322,"")</f>
        <v/>
      </c>
      <c r="G329" s="85">
        <f>IF('Informe Kelly'!H322=$A$3,'Informe Kelly'!F322,"")</f>
        <v>0.63670138888888894</v>
      </c>
      <c r="H329" s="85">
        <f>IF(C329=C327,0,IF(D329=D328,0,(HLOOKUP(C329,Ingreso!$AN$10:$AU$260,VLOOKUP(A329,Ingreso!$AL$11:$AM$260,2,FALSE)))/24))</f>
        <v>0</v>
      </c>
      <c r="I329" s="77">
        <f t="shared" si="9"/>
        <v>0</v>
      </c>
    </row>
    <row r="330" spans="1:9">
      <c r="A330" s="85" t="str">
        <f>VLOOKUP('Informe Kelly'!A323,Base!A:B,2,FALSE)</f>
        <v>10.042.860-1</v>
      </c>
      <c r="B330" s="85" t="str">
        <f>VLOOKUP('Informe Kelly'!A323,Base!A:G,7,FALSE)</f>
        <v>QUIROGA GARCIA LUIS ABRAHAM</v>
      </c>
      <c r="C330" s="91">
        <f>'Informe Kelly'!E323</f>
        <v>40648</v>
      </c>
      <c r="D330" s="96">
        <f t="shared" si="10"/>
        <v>166</v>
      </c>
      <c r="E330" s="85" t="e">
        <f>VLOOKUP(A330,Ingreso!K:P,6,FALSE)</f>
        <v>#N/A</v>
      </c>
      <c r="F330" s="85" t="str">
        <f>IF('Informe Kelly'!H323=$A$2,'Informe Kelly'!F323,"")</f>
        <v/>
      </c>
      <c r="G330" s="85">
        <f>IF('Informe Kelly'!H323=$A$3,'Informe Kelly'!F323,"")</f>
        <v>0.64035879629629633</v>
      </c>
      <c r="H330" s="85" t="e">
        <f>IF(C330=C328,0,IF(D330=D329,0,(HLOOKUP(C330,Ingreso!$AN$10:$AU$260,VLOOKUP(A330,Ingreso!$AL$11:$AM$260,2,FALSE)))/24))</f>
        <v>#N/A</v>
      </c>
      <c r="I330" s="77" t="e">
        <f t="shared" ref="I330:I393" si="11">IF(C330=C328,0,IF(D330=D329,0,(VLOOKUP(E330,$C$2:$D$5,2,FALSE))))</f>
        <v>#N/A</v>
      </c>
    </row>
    <row r="331" spans="1:9">
      <c r="A331" s="85" t="str">
        <f>VLOOKUP('Informe Kelly'!A324,Base!A:B,2,FALSE)</f>
        <v>10.042.860-1</v>
      </c>
      <c r="B331" s="85" t="str">
        <f>VLOOKUP('Informe Kelly'!A324,Base!A:G,7,FALSE)</f>
        <v>QUIROGA GARCIA LUIS ABRAHAM</v>
      </c>
      <c r="C331" s="91">
        <f>'Informe Kelly'!E324</f>
        <v>40648</v>
      </c>
      <c r="D331" s="96">
        <f t="shared" si="10"/>
        <v>166</v>
      </c>
      <c r="E331" s="85" t="e">
        <f>VLOOKUP(A331,Ingreso!K:P,6,FALSE)</f>
        <v>#N/A</v>
      </c>
      <c r="F331" s="85">
        <f>IF('Informe Kelly'!H324=$A$2,'Informe Kelly'!F324,"")</f>
        <v>0.29562499999999997</v>
      </c>
      <c r="G331" s="85" t="str">
        <f>IF('Informe Kelly'!H324=$A$3,'Informe Kelly'!F324,"")</f>
        <v/>
      </c>
      <c r="H331" s="85">
        <f>IF(C331=C329,0,IF(D331=D330,0,(HLOOKUP(C331,Ingreso!$AN$10:$AU$260,VLOOKUP(A331,Ingreso!$AL$11:$AM$260,2,FALSE)))/24))</f>
        <v>0</v>
      </c>
      <c r="I331" s="77">
        <f t="shared" si="11"/>
        <v>0</v>
      </c>
    </row>
    <row r="332" spans="1:9">
      <c r="A332" s="85" t="str">
        <f>VLOOKUP('Informe Kelly'!A325,Base!A:B,2,FALSE)</f>
        <v>10.042.860-1</v>
      </c>
      <c r="B332" s="85" t="str">
        <f>VLOOKUP('Informe Kelly'!A325,Base!A:G,7,FALSE)</f>
        <v>QUIROGA GARCIA LUIS ABRAHAM</v>
      </c>
      <c r="C332" s="91">
        <f>'Informe Kelly'!E325</f>
        <v>40649</v>
      </c>
      <c r="D332" s="96">
        <f t="shared" si="10"/>
        <v>167</v>
      </c>
      <c r="E332" s="85" t="e">
        <f>VLOOKUP(A332,Ingreso!K:P,6,FALSE)</f>
        <v>#N/A</v>
      </c>
      <c r="F332" s="85">
        <f>IF('Informe Kelly'!H325=$A$2,'Informe Kelly'!F325,"")</f>
        <v>0.29461805555555559</v>
      </c>
      <c r="G332" s="85" t="str">
        <f>IF('Informe Kelly'!H325=$A$3,'Informe Kelly'!F325,"")</f>
        <v/>
      </c>
      <c r="H332" s="85" t="e">
        <f>IF(C332=C330,0,IF(D332=D331,0,(HLOOKUP(C332,Ingreso!$AN$10:$AU$260,VLOOKUP(A332,Ingreso!$AL$11:$AM$260,2,FALSE)))/24))</f>
        <v>#N/A</v>
      </c>
      <c r="I332" s="77" t="e">
        <f t="shared" si="11"/>
        <v>#N/A</v>
      </c>
    </row>
    <row r="333" spans="1:9">
      <c r="A333" s="85" t="str">
        <f>VLOOKUP('Informe Kelly'!A326,Base!A:B,2,FALSE)</f>
        <v>10.042.860-1</v>
      </c>
      <c r="B333" s="85" t="str">
        <f>VLOOKUP('Informe Kelly'!A326,Base!A:G,7,FALSE)</f>
        <v>QUIROGA GARCIA LUIS ABRAHAM</v>
      </c>
      <c r="C333" s="91">
        <f>'Informe Kelly'!E326</f>
        <v>40649</v>
      </c>
      <c r="D333" s="96">
        <f t="shared" si="10"/>
        <v>167</v>
      </c>
      <c r="E333" s="85" t="e">
        <f>VLOOKUP(A333,Ingreso!K:P,6,FALSE)</f>
        <v>#N/A</v>
      </c>
      <c r="F333" s="85" t="str">
        <f>IF('Informe Kelly'!H326=$A$2,'Informe Kelly'!F326,"")</f>
        <v/>
      </c>
      <c r="G333" s="85">
        <f>IF('Informe Kelly'!H326=$A$3,'Informe Kelly'!F326,"")</f>
        <v>0.64041666666666663</v>
      </c>
      <c r="H333" s="85">
        <f>IF(C333=C331,0,IF(D333=D332,0,(HLOOKUP(C333,Ingreso!$AN$10:$AU$260,VLOOKUP(A333,Ingreso!$AL$11:$AM$260,2,FALSE)))/24))</f>
        <v>0</v>
      </c>
      <c r="I333" s="77">
        <f t="shared" si="11"/>
        <v>0</v>
      </c>
    </row>
    <row r="334" spans="1:9">
      <c r="A334" s="85" t="str">
        <f>VLOOKUP('Informe Kelly'!A327,Base!A:B,2,FALSE)</f>
        <v>10.116.815-8</v>
      </c>
      <c r="B334" s="85" t="str">
        <f>VLOOKUP('Informe Kelly'!A327,Base!A:G,7,FALSE)</f>
        <v>BUSTOS JARA TERESA DE LAS NIEVES</v>
      </c>
      <c r="C334" s="91">
        <f>'Informe Kelly'!E327</f>
        <v>40644</v>
      </c>
      <c r="D334" s="96">
        <f t="shared" si="10"/>
        <v>168</v>
      </c>
      <c r="E334" s="85" t="str">
        <f>VLOOKUP(A334,Ingreso!K:P,6,FALSE)</f>
        <v>Turno A</v>
      </c>
      <c r="F334" s="85">
        <f>IF('Informe Kelly'!H327=$A$2,'Informe Kelly'!F327,"")</f>
        <v>0.29061342592592593</v>
      </c>
      <c r="G334" s="85" t="str">
        <f>IF('Informe Kelly'!H327=$A$3,'Informe Kelly'!F327,"")</f>
        <v/>
      </c>
      <c r="H334" s="85">
        <f>IF(C334=C332,0,IF(D334=D333,0,(HLOOKUP(C334,Ingreso!$AN$10:$AU$260,VLOOKUP(A334,Ingreso!$AL$11:$AM$260,2,FALSE)))/24))</f>
        <v>0</v>
      </c>
      <c r="I334" s="77">
        <f t="shared" si="11"/>
        <v>0.3125</v>
      </c>
    </row>
    <row r="335" spans="1:9">
      <c r="A335" s="85" t="str">
        <f>VLOOKUP('Informe Kelly'!A328,Base!A:B,2,FALSE)</f>
        <v>10.116.815-8</v>
      </c>
      <c r="B335" s="85" t="str">
        <f>VLOOKUP('Informe Kelly'!A328,Base!A:G,7,FALSE)</f>
        <v>BUSTOS JARA TERESA DE LAS NIEVES</v>
      </c>
      <c r="C335" s="91">
        <f>'Informe Kelly'!E328</f>
        <v>40644</v>
      </c>
      <c r="D335" s="96">
        <f t="shared" si="10"/>
        <v>168</v>
      </c>
      <c r="E335" s="85" t="str">
        <f>VLOOKUP(A335,Ingreso!K:P,6,FALSE)</f>
        <v>Turno A</v>
      </c>
      <c r="F335" s="85" t="str">
        <f>IF('Informe Kelly'!H328=$A$2,'Informe Kelly'!F328,"")</f>
        <v/>
      </c>
      <c r="G335" s="85">
        <f>IF('Informe Kelly'!H328=$A$3,'Informe Kelly'!F328,"")</f>
        <v>0.63207175925925929</v>
      </c>
      <c r="H335" s="85">
        <f>IF(C335=C333,0,IF(D335=D334,0,(HLOOKUP(C335,Ingreso!$AN$10:$AU$260,VLOOKUP(A335,Ingreso!$AL$11:$AM$260,2,FALSE)))/24))</f>
        <v>0</v>
      </c>
      <c r="I335" s="77">
        <f t="shared" si="11"/>
        <v>0</v>
      </c>
    </row>
    <row r="336" spans="1:9">
      <c r="A336" s="85" t="str">
        <f>VLOOKUP('Informe Kelly'!A329,Base!A:B,2,FALSE)</f>
        <v>10.116.815-8</v>
      </c>
      <c r="B336" s="85" t="str">
        <f>VLOOKUP('Informe Kelly'!A329,Base!A:G,7,FALSE)</f>
        <v>BUSTOS JARA TERESA DE LAS NIEVES</v>
      </c>
      <c r="C336" s="91">
        <f>'Informe Kelly'!E329</f>
        <v>40645</v>
      </c>
      <c r="D336" s="96">
        <f t="shared" si="10"/>
        <v>169</v>
      </c>
      <c r="E336" s="85" t="str">
        <f>VLOOKUP(A336,Ingreso!K:P,6,FALSE)</f>
        <v>Turno A</v>
      </c>
      <c r="F336" s="85">
        <f>IF('Informe Kelly'!H329=$A$2,'Informe Kelly'!F329,"")</f>
        <v>0.29063657407407406</v>
      </c>
      <c r="G336" s="85" t="str">
        <f>IF('Informe Kelly'!H329=$A$3,'Informe Kelly'!F329,"")</f>
        <v/>
      </c>
      <c r="H336" s="85">
        <f>IF(C336=C334,0,IF(D336=D335,0,(HLOOKUP(C336,Ingreso!$AN$10:$AU$260,VLOOKUP(A336,Ingreso!$AL$11:$AM$260,2,FALSE)))/24))</f>
        <v>0</v>
      </c>
      <c r="I336" s="77">
        <f t="shared" si="11"/>
        <v>0.3125</v>
      </c>
    </row>
    <row r="337" spans="1:9">
      <c r="A337" s="85" t="str">
        <f>VLOOKUP('Informe Kelly'!A330,Base!A:B,2,FALSE)</f>
        <v>10.116.815-8</v>
      </c>
      <c r="B337" s="85" t="str">
        <f>VLOOKUP('Informe Kelly'!A330,Base!A:G,7,FALSE)</f>
        <v>BUSTOS JARA TERESA DE LAS NIEVES</v>
      </c>
      <c r="C337" s="91">
        <f>'Informe Kelly'!E330</f>
        <v>40645</v>
      </c>
      <c r="D337" s="96">
        <f t="shared" si="10"/>
        <v>169</v>
      </c>
      <c r="E337" s="85" t="str">
        <f>VLOOKUP(A337,Ingreso!K:P,6,FALSE)</f>
        <v>Turno A</v>
      </c>
      <c r="F337" s="85" t="str">
        <f>IF('Informe Kelly'!H330=$A$2,'Informe Kelly'!F330,"")</f>
        <v/>
      </c>
      <c r="G337" s="85">
        <f>IF('Informe Kelly'!H330=$A$3,'Informe Kelly'!F330,"")</f>
        <v>0.6341782407407407</v>
      </c>
      <c r="H337" s="85">
        <f>IF(C337=C335,0,IF(D337=D336,0,(HLOOKUP(C337,Ingreso!$AN$10:$AU$260,VLOOKUP(A337,Ingreso!$AL$11:$AM$260,2,FALSE)))/24))</f>
        <v>0</v>
      </c>
      <c r="I337" s="77">
        <f t="shared" si="11"/>
        <v>0</v>
      </c>
    </row>
    <row r="338" spans="1:9">
      <c r="A338" s="85" t="str">
        <f>VLOOKUP('Informe Kelly'!A331,Base!A:B,2,FALSE)</f>
        <v>10.116.815-8</v>
      </c>
      <c r="B338" s="85" t="str">
        <f>VLOOKUP('Informe Kelly'!A331,Base!A:G,7,FALSE)</f>
        <v>BUSTOS JARA TERESA DE LAS NIEVES</v>
      </c>
      <c r="C338" s="91">
        <f>'Informe Kelly'!E331</f>
        <v>40646</v>
      </c>
      <c r="D338" s="96">
        <f t="shared" si="10"/>
        <v>170</v>
      </c>
      <c r="E338" s="85" t="str">
        <f>VLOOKUP(A338,Ingreso!K:P,6,FALSE)</f>
        <v>Turno A</v>
      </c>
      <c r="F338" s="85">
        <f>IF('Informe Kelly'!H331=$A$2,'Informe Kelly'!F331,"")</f>
        <v>0.28903935185185187</v>
      </c>
      <c r="G338" s="85" t="str">
        <f>IF('Informe Kelly'!H331=$A$3,'Informe Kelly'!F331,"")</f>
        <v/>
      </c>
      <c r="H338" s="85">
        <f>IF(C338=C336,0,IF(D338=D337,0,(HLOOKUP(C338,Ingreso!$AN$10:$AU$260,VLOOKUP(A338,Ingreso!$AL$11:$AM$260,2,FALSE)))/24))</f>
        <v>0</v>
      </c>
      <c r="I338" s="77">
        <f t="shared" si="11"/>
        <v>0.3125</v>
      </c>
    </row>
    <row r="339" spans="1:9">
      <c r="A339" s="85" t="str">
        <f>VLOOKUP('Informe Kelly'!A332,Base!A:B,2,FALSE)</f>
        <v>10.116.815-8</v>
      </c>
      <c r="B339" s="85" t="str">
        <f>VLOOKUP('Informe Kelly'!A332,Base!A:G,7,FALSE)</f>
        <v>BUSTOS JARA TERESA DE LAS NIEVES</v>
      </c>
      <c r="C339" s="91">
        <f>'Informe Kelly'!E332</f>
        <v>40646</v>
      </c>
      <c r="D339" s="96">
        <f t="shared" si="10"/>
        <v>170</v>
      </c>
      <c r="E339" s="85" t="str">
        <f>VLOOKUP(A339,Ingreso!K:P,6,FALSE)</f>
        <v>Turno A</v>
      </c>
      <c r="F339" s="85" t="str">
        <f>IF('Informe Kelly'!H332=$A$2,'Informe Kelly'!F332,"")</f>
        <v/>
      </c>
      <c r="G339" s="85">
        <f>IF('Informe Kelly'!H332=$A$3,'Informe Kelly'!F332,"")</f>
        <v>0.63579861111111113</v>
      </c>
      <c r="H339" s="85">
        <f>IF(C339=C337,0,IF(D339=D338,0,(HLOOKUP(C339,Ingreso!$AN$10:$AU$260,VLOOKUP(A339,Ingreso!$AL$11:$AM$260,2,FALSE)))/24))</f>
        <v>0</v>
      </c>
      <c r="I339" s="77">
        <f t="shared" si="11"/>
        <v>0</v>
      </c>
    </row>
    <row r="340" spans="1:9">
      <c r="A340" s="85" t="str">
        <f>VLOOKUP('Informe Kelly'!A333,Base!A:B,2,FALSE)</f>
        <v>10.116.815-8</v>
      </c>
      <c r="B340" s="85" t="str">
        <f>VLOOKUP('Informe Kelly'!A333,Base!A:G,7,FALSE)</f>
        <v>BUSTOS JARA TERESA DE LAS NIEVES</v>
      </c>
      <c r="C340" s="91">
        <f>'Informe Kelly'!E333</f>
        <v>40647</v>
      </c>
      <c r="D340" s="96">
        <f t="shared" si="10"/>
        <v>171</v>
      </c>
      <c r="E340" s="85" t="str">
        <f>VLOOKUP(A340,Ingreso!K:P,6,FALSE)</f>
        <v>Turno A</v>
      </c>
      <c r="F340" s="85">
        <f>IF('Informe Kelly'!H333=$A$2,'Informe Kelly'!F333,"")</f>
        <v>0.29942129629629627</v>
      </c>
      <c r="G340" s="85" t="str">
        <f>IF('Informe Kelly'!H333=$A$3,'Informe Kelly'!F333,"")</f>
        <v/>
      </c>
      <c r="H340" s="85">
        <f>IF(C340=C338,0,IF(D340=D339,0,(HLOOKUP(C340,Ingreso!$AN$10:$AU$260,VLOOKUP(A340,Ingreso!$AL$11:$AM$260,2,FALSE)))/24))</f>
        <v>0</v>
      </c>
      <c r="I340" s="77">
        <f t="shared" si="11"/>
        <v>0.3125</v>
      </c>
    </row>
    <row r="341" spans="1:9">
      <c r="A341" s="85" t="str">
        <f>VLOOKUP('Informe Kelly'!A334,Base!A:B,2,FALSE)</f>
        <v>10.116.815-8</v>
      </c>
      <c r="B341" s="85" t="str">
        <f>VLOOKUP('Informe Kelly'!A334,Base!A:G,7,FALSE)</f>
        <v>BUSTOS JARA TERESA DE LAS NIEVES</v>
      </c>
      <c r="C341" s="91">
        <f>'Informe Kelly'!E334</f>
        <v>40647</v>
      </c>
      <c r="D341" s="96">
        <f t="shared" si="10"/>
        <v>171</v>
      </c>
      <c r="E341" s="85" t="str">
        <f>VLOOKUP(A341,Ingreso!K:P,6,FALSE)</f>
        <v>Turno A</v>
      </c>
      <c r="F341" s="85" t="str">
        <f>IF('Informe Kelly'!H334=$A$2,'Informe Kelly'!F334,"")</f>
        <v/>
      </c>
      <c r="G341" s="85">
        <f>IF('Informe Kelly'!H334=$A$3,'Informe Kelly'!F334,"")</f>
        <v>0.63277777777777777</v>
      </c>
      <c r="H341" s="85">
        <f>IF(C341=C339,0,IF(D341=D340,0,(HLOOKUP(C341,Ingreso!$AN$10:$AU$260,VLOOKUP(A341,Ingreso!$AL$11:$AM$260,2,FALSE)))/24))</f>
        <v>0</v>
      </c>
      <c r="I341" s="77">
        <f t="shared" si="11"/>
        <v>0</v>
      </c>
    </row>
    <row r="342" spans="1:9">
      <c r="A342" s="85" t="str">
        <f>VLOOKUP('Informe Kelly'!A335,Base!A:B,2,FALSE)</f>
        <v>10.116.815-8</v>
      </c>
      <c r="B342" s="85" t="str">
        <f>VLOOKUP('Informe Kelly'!A335,Base!A:G,7,FALSE)</f>
        <v>BUSTOS JARA TERESA DE LAS NIEVES</v>
      </c>
      <c r="C342" s="91">
        <f>'Informe Kelly'!E335</f>
        <v>40648</v>
      </c>
      <c r="D342" s="96">
        <f t="shared" si="10"/>
        <v>172</v>
      </c>
      <c r="E342" s="85" t="str">
        <f>VLOOKUP(A342,Ingreso!K:P,6,FALSE)</f>
        <v>Turno A</v>
      </c>
      <c r="F342" s="85" t="str">
        <f>IF('Informe Kelly'!H335=$A$2,'Informe Kelly'!F335,"")</f>
        <v/>
      </c>
      <c r="G342" s="85">
        <f>IF('Informe Kelly'!H335=$A$3,'Informe Kelly'!F335,"")</f>
        <v>0.63629629629629625</v>
      </c>
      <c r="H342" s="85">
        <f>IF(C342=C340,0,IF(D342=D341,0,(HLOOKUP(C342,Ingreso!$AN$10:$AU$260,VLOOKUP(A342,Ingreso!$AL$11:$AM$260,2,FALSE)))/24))</f>
        <v>0</v>
      </c>
      <c r="I342" s="77">
        <f t="shared" si="11"/>
        <v>0.3125</v>
      </c>
    </row>
    <row r="343" spans="1:9">
      <c r="A343" s="85" t="str">
        <f>VLOOKUP('Informe Kelly'!A336,Base!A:B,2,FALSE)</f>
        <v>10.116.815-8</v>
      </c>
      <c r="B343" s="85" t="str">
        <f>VLOOKUP('Informe Kelly'!A336,Base!A:G,7,FALSE)</f>
        <v>BUSTOS JARA TERESA DE LAS NIEVES</v>
      </c>
      <c r="C343" s="91">
        <f>'Informe Kelly'!E336</f>
        <v>40648</v>
      </c>
      <c r="D343" s="96">
        <f t="shared" si="10"/>
        <v>172</v>
      </c>
      <c r="E343" s="85" t="str">
        <f>VLOOKUP(A343,Ingreso!K:P,6,FALSE)</f>
        <v>Turno A</v>
      </c>
      <c r="F343" s="85">
        <f>IF('Informe Kelly'!H336=$A$2,'Informe Kelly'!F336,"")</f>
        <v>0.29344907407407406</v>
      </c>
      <c r="G343" s="85" t="str">
        <f>IF('Informe Kelly'!H336=$A$3,'Informe Kelly'!F336,"")</f>
        <v/>
      </c>
      <c r="H343" s="85">
        <f>IF(C343=C341,0,IF(D343=D342,0,(HLOOKUP(C343,Ingreso!$AN$10:$AU$260,VLOOKUP(A343,Ingreso!$AL$11:$AM$260,2,FALSE)))/24))</f>
        <v>0</v>
      </c>
      <c r="I343" s="77">
        <f t="shared" si="11"/>
        <v>0</v>
      </c>
    </row>
    <row r="344" spans="1:9">
      <c r="A344" s="85" t="str">
        <f>VLOOKUP('Informe Kelly'!A337,Base!A:B,2,FALSE)</f>
        <v>10.116.815-8</v>
      </c>
      <c r="B344" s="85" t="str">
        <f>VLOOKUP('Informe Kelly'!A337,Base!A:G,7,FALSE)</f>
        <v>BUSTOS JARA TERESA DE LAS NIEVES</v>
      </c>
      <c r="C344" s="91">
        <f>'Informe Kelly'!E337</f>
        <v>40649</v>
      </c>
      <c r="D344" s="96">
        <f t="shared" si="10"/>
        <v>173</v>
      </c>
      <c r="E344" s="85" t="str">
        <f>VLOOKUP(A344,Ingreso!K:P,6,FALSE)</f>
        <v>Turno A</v>
      </c>
      <c r="F344" s="85">
        <f>IF('Informe Kelly'!H337=$A$2,'Informe Kelly'!F337,"")</f>
        <v>0.29163194444444446</v>
      </c>
      <c r="G344" s="85" t="str">
        <f>IF('Informe Kelly'!H337=$A$3,'Informe Kelly'!F337,"")</f>
        <v/>
      </c>
      <c r="H344" s="85">
        <f>IF(C344=C342,0,IF(D344=D343,0,(HLOOKUP(C344,Ingreso!$AN$10:$AU$260,VLOOKUP(A344,Ingreso!$AL$11:$AM$260,2,FALSE)))/24))</f>
        <v>0</v>
      </c>
      <c r="I344" s="77">
        <f t="shared" si="11"/>
        <v>0.3125</v>
      </c>
    </row>
    <row r="345" spans="1:9">
      <c r="A345" s="85" t="str">
        <f>VLOOKUP('Informe Kelly'!A338,Base!A:B,2,FALSE)</f>
        <v>10.116.815-8</v>
      </c>
      <c r="B345" s="85" t="str">
        <f>VLOOKUP('Informe Kelly'!A338,Base!A:G,7,FALSE)</f>
        <v>BUSTOS JARA TERESA DE LAS NIEVES</v>
      </c>
      <c r="C345" s="91">
        <f>'Informe Kelly'!E338</f>
        <v>40649</v>
      </c>
      <c r="D345" s="96">
        <f t="shared" si="10"/>
        <v>173</v>
      </c>
      <c r="E345" s="85" t="str">
        <f>VLOOKUP(A345,Ingreso!K:P,6,FALSE)</f>
        <v>Turno A</v>
      </c>
      <c r="F345" s="85" t="str">
        <f>IF('Informe Kelly'!H338=$A$2,'Informe Kelly'!F338,"")</f>
        <v/>
      </c>
      <c r="G345" s="85">
        <f>IF('Informe Kelly'!H338=$A$3,'Informe Kelly'!F338,"")</f>
        <v>0.63747685185185188</v>
      </c>
      <c r="H345" s="85">
        <f>IF(C345=C343,0,IF(D345=D344,0,(HLOOKUP(C345,Ingreso!$AN$10:$AU$260,VLOOKUP(A345,Ingreso!$AL$11:$AM$260,2,FALSE)))/24))</f>
        <v>0</v>
      </c>
      <c r="I345" s="77">
        <f t="shared" si="11"/>
        <v>0</v>
      </c>
    </row>
    <row r="346" spans="1:9">
      <c r="A346" s="85" t="str">
        <f>VLOOKUP('Informe Kelly'!A339,Base!A:B,2,FALSE)</f>
        <v>10.168.958-1</v>
      </c>
      <c r="B346" s="85" t="str">
        <f>VLOOKUP('Informe Kelly'!A339,Base!A:G,7,FALSE)</f>
        <v>RAMIREZ VASQUEZ RAUL</v>
      </c>
      <c r="C346" s="91">
        <f>'Informe Kelly'!E339</f>
        <v>40644</v>
      </c>
      <c r="D346" s="96">
        <f t="shared" si="10"/>
        <v>174</v>
      </c>
      <c r="E346" s="85" t="str">
        <f>VLOOKUP(A346,Ingreso!K:P,6,FALSE)</f>
        <v>Turno B</v>
      </c>
      <c r="F346" s="85">
        <f>IF('Informe Kelly'!H339=$A$2,'Informe Kelly'!F339,"")</f>
        <v>0.60730324074074071</v>
      </c>
      <c r="G346" s="85" t="str">
        <f>IF('Informe Kelly'!H339=$A$3,'Informe Kelly'!F339,"")</f>
        <v/>
      </c>
      <c r="H346" s="85">
        <f>IF(C346=C344,0,IF(D346=D345,0,(HLOOKUP(C346,Ingreso!$AN$10:$AU$260,VLOOKUP(A346,Ingreso!$AL$11:$AM$260,2,FALSE)))/24))</f>
        <v>0</v>
      </c>
      <c r="I346" s="77">
        <f t="shared" si="11"/>
        <v>0.3125</v>
      </c>
    </row>
    <row r="347" spans="1:9">
      <c r="A347" s="85" t="str">
        <f>VLOOKUP('Informe Kelly'!A340,Base!A:B,2,FALSE)</f>
        <v>10.168.958-1</v>
      </c>
      <c r="B347" s="85" t="str">
        <f>VLOOKUP('Informe Kelly'!A340,Base!A:G,7,FALSE)</f>
        <v>RAMIREZ VASQUEZ RAUL</v>
      </c>
      <c r="C347" s="91">
        <f>'Informe Kelly'!E340</f>
        <v>40644</v>
      </c>
      <c r="D347" s="96">
        <f t="shared" si="10"/>
        <v>174</v>
      </c>
      <c r="E347" s="85" t="str">
        <f>VLOOKUP(A347,Ingreso!K:P,6,FALSE)</f>
        <v>Turno B</v>
      </c>
      <c r="F347" s="85" t="str">
        <f>IF('Informe Kelly'!H340=$A$2,'Informe Kelly'!F340,"")</f>
        <v/>
      </c>
      <c r="G347" s="85">
        <f>IF('Informe Kelly'!H340=$A$3,'Informe Kelly'!F340,"")</f>
        <v>0.94569444444444439</v>
      </c>
      <c r="H347" s="85">
        <f>IF(C347=C345,0,IF(D347=D346,0,(HLOOKUP(C347,Ingreso!$AN$10:$AU$260,VLOOKUP(A347,Ingreso!$AL$11:$AM$260,2,FALSE)))/24))</f>
        <v>0</v>
      </c>
      <c r="I347" s="77">
        <f t="shared" si="11"/>
        <v>0</v>
      </c>
    </row>
    <row r="348" spans="1:9">
      <c r="A348" s="85" t="str">
        <f>VLOOKUP('Informe Kelly'!A341,Base!A:B,2,FALSE)</f>
        <v>10.168.958-1</v>
      </c>
      <c r="B348" s="85" t="str">
        <f>VLOOKUP('Informe Kelly'!A341,Base!A:G,7,FALSE)</f>
        <v>RAMIREZ VASQUEZ RAUL</v>
      </c>
      <c r="C348" s="91">
        <f>'Informe Kelly'!E341</f>
        <v>40645</v>
      </c>
      <c r="D348" s="96">
        <f t="shared" si="10"/>
        <v>175</v>
      </c>
      <c r="E348" s="85" t="str">
        <f>VLOOKUP(A348,Ingreso!K:P,6,FALSE)</f>
        <v>Turno B</v>
      </c>
      <c r="F348" s="85">
        <f>IF('Informe Kelly'!H341=$A$2,'Informe Kelly'!F341,"")</f>
        <v>0.60673611111111114</v>
      </c>
      <c r="G348" s="85" t="str">
        <f>IF('Informe Kelly'!H341=$A$3,'Informe Kelly'!F341,"")</f>
        <v/>
      </c>
      <c r="H348" s="85">
        <f>IF(C348=C346,0,IF(D348=D347,0,(HLOOKUP(C348,Ingreso!$AN$10:$AU$260,VLOOKUP(A348,Ingreso!$AL$11:$AM$260,2,FALSE)))/24))</f>
        <v>0</v>
      </c>
      <c r="I348" s="77">
        <f t="shared" si="11"/>
        <v>0.3125</v>
      </c>
    </row>
    <row r="349" spans="1:9">
      <c r="A349" s="85" t="str">
        <f>VLOOKUP('Informe Kelly'!A342,Base!A:B,2,FALSE)</f>
        <v>10.168.958-1</v>
      </c>
      <c r="B349" s="85" t="str">
        <f>VLOOKUP('Informe Kelly'!A342,Base!A:G,7,FALSE)</f>
        <v>RAMIREZ VASQUEZ RAUL</v>
      </c>
      <c r="C349" s="91">
        <f>'Informe Kelly'!E342</f>
        <v>40645</v>
      </c>
      <c r="D349" s="96">
        <f t="shared" si="10"/>
        <v>175</v>
      </c>
      <c r="E349" s="85" t="str">
        <f>VLOOKUP(A349,Ingreso!K:P,6,FALSE)</f>
        <v>Turno B</v>
      </c>
      <c r="F349" s="85" t="str">
        <f>IF('Informe Kelly'!H342=$A$2,'Informe Kelly'!F342,"")</f>
        <v/>
      </c>
      <c r="G349" s="85">
        <f>IF('Informe Kelly'!H342=$A$3,'Informe Kelly'!F342,"")</f>
        <v>0.9471180555555555</v>
      </c>
      <c r="H349" s="85">
        <f>IF(C349=C347,0,IF(D349=D348,0,(HLOOKUP(C349,Ingreso!$AN$10:$AU$260,VLOOKUP(A349,Ingreso!$AL$11:$AM$260,2,FALSE)))/24))</f>
        <v>0</v>
      </c>
      <c r="I349" s="77">
        <f t="shared" si="11"/>
        <v>0</v>
      </c>
    </row>
    <row r="350" spans="1:9">
      <c r="A350" s="85" t="str">
        <f>VLOOKUP('Informe Kelly'!A343,Base!A:B,2,FALSE)</f>
        <v>10.168.958-1</v>
      </c>
      <c r="B350" s="85" t="str">
        <f>VLOOKUP('Informe Kelly'!A343,Base!A:G,7,FALSE)</f>
        <v>RAMIREZ VASQUEZ RAUL</v>
      </c>
      <c r="C350" s="91">
        <f>'Informe Kelly'!E343</f>
        <v>40646</v>
      </c>
      <c r="D350" s="96">
        <f t="shared" si="10"/>
        <v>176</v>
      </c>
      <c r="E350" s="85" t="str">
        <f>VLOOKUP(A350,Ingreso!K:P,6,FALSE)</f>
        <v>Turno B</v>
      </c>
      <c r="F350" s="85">
        <f>IF('Informe Kelly'!H343=$A$2,'Informe Kelly'!F343,"")</f>
        <v>0.62677083333333339</v>
      </c>
      <c r="G350" s="85" t="str">
        <f>IF('Informe Kelly'!H343=$A$3,'Informe Kelly'!F343,"")</f>
        <v/>
      </c>
      <c r="H350" s="85">
        <f>IF(C350=C348,0,IF(D350=D349,0,(HLOOKUP(C350,Ingreso!$AN$10:$AU$260,VLOOKUP(A350,Ingreso!$AL$11:$AM$260,2,FALSE)))/24))</f>
        <v>0</v>
      </c>
      <c r="I350" s="77">
        <f t="shared" si="11"/>
        <v>0.3125</v>
      </c>
    </row>
    <row r="351" spans="1:9">
      <c r="A351" s="85" t="str">
        <f>VLOOKUP('Informe Kelly'!A344,Base!A:B,2,FALSE)</f>
        <v>10.168.958-1</v>
      </c>
      <c r="B351" s="85" t="str">
        <f>VLOOKUP('Informe Kelly'!A344,Base!A:G,7,FALSE)</f>
        <v>RAMIREZ VASQUEZ RAUL</v>
      </c>
      <c r="C351" s="91">
        <f>'Informe Kelly'!E344</f>
        <v>40646</v>
      </c>
      <c r="D351" s="96">
        <f t="shared" si="10"/>
        <v>176</v>
      </c>
      <c r="E351" s="85" t="str">
        <f>VLOOKUP(A351,Ingreso!K:P,6,FALSE)</f>
        <v>Turno B</v>
      </c>
      <c r="F351" s="85" t="str">
        <f>IF('Informe Kelly'!H344=$A$2,'Informe Kelly'!F344,"")</f>
        <v/>
      </c>
      <c r="G351" s="85">
        <f>IF('Informe Kelly'!H344=$A$3,'Informe Kelly'!F344,"")</f>
        <v>0.94635416666666661</v>
      </c>
      <c r="H351" s="85">
        <f>IF(C351=C349,0,IF(D351=D350,0,(HLOOKUP(C351,Ingreso!$AN$10:$AU$260,VLOOKUP(A351,Ingreso!$AL$11:$AM$260,2,FALSE)))/24))</f>
        <v>0</v>
      </c>
      <c r="I351" s="77">
        <f t="shared" si="11"/>
        <v>0</v>
      </c>
    </row>
    <row r="352" spans="1:9">
      <c r="A352" s="85" t="str">
        <f>VLOOKUP('Informe Kelly'!A345,Base!A:B,2,FALSE)</f>
        <v>10.168.958-1</v>
      </c>
      <c r="B352" s="85" t="str">
        <f>VLOOKUP('Informe Kelly'!A345,Base!A:G,7,FALSE)</f>
        <v>RAMIREZ VASQUEZ RAUL</v>
      </c>
      <c r="C352" s="91">
        <f>'Informe Kelly'!E345</f>
        <v>40647</v>
      </c>
      <c r="D352" s="96">
        <f t="shared" si="10"/>
        <v>177</v>
      </c>
      <c r="E352" s="85" t="str">
        <f>VLOOKUP(A352,Ingreso!K:P,6,FALSE)</f>
        <v>Turno B</v>
      </c>
      <c r="F352" s="85">
        <f>IF('Informe Kelly'!H345=$A$2,'Informe Kelly'!F345,"")</f>
        <v>0.60780092592592594</v>
      </c>
      <c r="G352" s="85" t="str">
        <f>IF('Informe Kelly'!H345=$A$3,'Informe Kelly'!F345,"")</f>
        <v/>
      </c>
      <c r="H352" s="85">
        <f>IF(C352=C350,0,IF(D352=D351,0,(HLOOKUP(C352,Ingreso!$AN$10:$AU$260,VLOOKUP(A352,Ingreso!$AL$11:$AM$260,2,FALSE)))/24))</f>
        <v>0</v>
      </c>
      <c r="I352" s="77">
        <f t="shared" si="11"/>
        <v>0.3125</v>
      </c>
    </row>
    <row r="353" spans="1:9">
      <c r="A353" s="85" t="str">
        <f>VLOOKUP('Informe Kelly'!A346,Base!A:B,2,FALSE)</f>
        <v>10.168.958-1</v>
      </c>
      <c r="B353" s="85" t="str">
        <f>VLOOKUP('Informe Kelly'!A346,Base!A:G,7,FALSE)</f>
        <v>RAMIREZ VASQUEZ RAUL</v>
      </c>
      <c r="C353" s="91">
        <f>'Informe Kelly'!E346</f>
        <v>40647</v>
      </c>
      <c r="D353" s="96">
        <f t="shared" si="10"/>
        <v>177</v>
      </c>
      <c r="E353" s="85" t="str">
        <f>VLOOKUP(A353,Ingreso!K:P,6,FALSE)</f>
        <v>Turno B</v>
      </c>
      <c r="F353" s="85" t="str">
        <f>IF('Informe Kelly'!H346=$A$2,'Informe Kelly'!F346,"")</f>
        <v/>
      </c>
      <c r="G353" s="85">
        <f>IF('Informe Kelly'!H346=$A$3,'Informe Kelly'!F346,"")</f>
        <v>0.95089120370370372</v>
      </c>
      <c r="H353" s="85">
        <f>IF(C353=C351,0,IF(D353=D352,0,(HLOOKUP(C353,Ingreso!$AN$10:$AU$260,VLOOKUP(A353,Ingreso!$AL$11:$AM$260,2,FALSE)))/24))</f>
        <v>0</v>
      </c>
      <c r="I353" s="77">
        <f t="shared" si="11"/>
        <v>0</v>
      </c>
    </row>
    <row r="354" spans="1:9">
      <c r="A354" s="85" t="str">
        <f>VLOOKUP('Informe Kelly'!A347,Base!A:B,2,FALSE)</f>
        <v>10.168.958-1</v>
      </c>
      <c r="B354" s="85" t="str">
        <f>VLOOKUP('Informe Kelly'!A347,Base!A:G,7,FALSE)</f>
        <v>RAMIREZ VASQUEZ RAUL</v>
      </c>
      <c r="C354" s="91">
        <f>'Informe Kelly'!E347</f>
        <v>40648</v>
      </c>
      <c r="D354" s="96">
        <f t="shared" si="10"/>
        <v>178</v>
      </c>
      <c r="E354" s="85" t="str">
        <f>VLOOKUP(A354,Ingreso!K:P,6,FALSE)</f>
        <v>Turno B</v>
      </c>
      <c r="F354" s="85" t="str">
        <f>IF('Informe Kelly'!H347=$A$2,'Informe Kelly'!F347,"")</f>
        <v/>
      </c>
      <c r="G354" s="85">
        <f>IF('Informe Kelly'!H347=$A$3,'Informe Kelly'!F347,"")</f>
        <v>0.94721064814814815</v>
      </c>
      <c r="H354" s="85">
        <f>IF(C354=C352,0,IF(D354=D353,0,(HLOOKUP(C354,Ingreso!$AN$10:$AU$260,VLOOKUP(A354,Ingreso!$AL$11:$AM$260,2,FALSE)))/24))</f>
        <v>0</v>
      </c>
      <c r="I354" s="77">
        <f t="shared" si="11"/>
        <v>0.3125</v>
      </c>
    </row>
    <row r="355" spans="1:9">
      <c r="A355" s="85" t="str">
        <f>VLOOKUP('Informe Kelly'!A348,Base!A:B,2,FALSE)</f>
        <v>10.168.958-1</v>
      </c>
      <c r="B355" s="85" t="str">
        <f>VLOOKUP('Informe Kelly'!A348,Base!A:G,7,FALSE)</f>
        <v>RAMIREZ VASQUEZ RAUL</v>
      </c>
      <c r="C355" s="91">
        <f>'Informe Kelly'!E348</f>
        <v>40648</v>
      </c>
      <c r="D355" s="96">
        <f t="shared" si="10"/>
        <v>178</v>
      </c>
      <c r="E355" s="85" t="str">
        <f>VLOOKUP(A355,Ingreso!K:P,6,FALSE)</f>
        <v>Turno B</v>
      </c>
      <c r="F355" s="85">
        <f>IF('Informe Kelly'!H348=$A$2,'Informe Kelly'!F348,"")</f>
        <v>0.60913194444444441</v>
      </c>
      <c r="G355" s="85" t="str">
        <f>IF('Informe Kelly'!H348=$A$3,'Informe Kelly'!F348,"")</f>
        <v/>
      </c>
      <c r="H355" s="85">
        <f>IF(C355=C353,0,IF(D355=D354,0,(HLOOKUP(C355,Ingreso!$AN$10:$AU$260,VLOOKUP(A355,Ingreso!$AL$11:$AM$260,2,FALSE)))/24))</f>
        <v>0</v>
      </c>
      <c r="I355" s="77">
        <f t="shared" si="11"/>
        <v>0</v>
      </c>
    </row>
    <row r="356" spans="1:9">
      <c r="A356" s="85" t="str">
        <f>VLOOKUP('Informe Kelly'!A349,Base!A:B,2,FALSE)</f>
        <v>10.173.910-4</v>
      </c>
      <c r="B356" s="85" t="str">
        <f>VLOOKUP('Informe Kelly'!A349,Base!A:G,7,FALSE)</f>
        <v>ARSENDIGA PALMA FELIX EXEQUIEL</v>
      </c>
      <c r="C356" s="91">
        <f>'Informe Kelly'!E349</f>
        <v>40644</v>
      </c>
      <c r="D356" s="96">
        <f t="shared" si="10"/>
        <v>179</v>
      </c>
      <c r="E356" s="85" t="str">
        <f>VLOOKUP(A356,Ingreso!K:P,6,FALSE)</f>
        <v>Turno B</v>
      </c>
      <c r="F356" s="85">
        <f>IF('Informe Kelly'!H349=$A$2,'Informe Kelly'!F349,"")</f>
        <v>0.614375</v>
      </c>
      <c r="G356" s="85" t="str">
        <f>IF('Informe Kelly'!H349=$A$3,'Informe Kelly'!F349,"")</f>
        <v/>
      </c>
      <c r="H356" s="85">
        <f>IF(C356=C354,0,IF(D356=D355,0,(HLOOKUP(C356,Ingreso!$AN$10:$AU$260,VLOOKUP(A356,Ingreso!$AL$11:$AM$260,2,FALSE)))/24))</f>
        <v>0</v>
      </c>
      <c r="I356" s="77">
        <f t="shared" si="11"/>
        <v>0.3125</v>
      </c>
    </row>
    <row r="357" spans="1:9">
      <c r="A357" s="85" t="str">
        <f>VLOOKUP('Informe Kelly'!A350,Base!A:B,2,FALSE)</f>
        <v>10.173.910-4</v>
      </c>
      <c r="B357" s="85" t="str">
        <f>VLOOKUP('Informe Kelly'!A350,Base!A:G,7,FALSE)</f>
        <v>ARSENDIGA PALMA FELIX EXEQUIEL</v>
      </c>
      <c r="C357" s="91">
        <f>'Informe Kelly'!E350</f>
        <v>40644</v>
      </c>
      <c r="D357" s="96">
        <f t="shared" si="10"/>
        <v>179</v>
      </c>
      <c r="E357" s="85" t="str">
        <f>VLOOKUP(A357,Ingreso!K:P,6,FALSE)</f>
        <v>Turno B</v>
      </c>
      <c r="F357" s="85" t="str">
        <f>IF('Informe Kelly'!H350=$A$2,'Informe Kelly'!F350,"")</f>
        <v/>
      </c>
      <c r="G357" s="85">
        <f>IF('Informe Kelly'!H350=$A$3,'Informe Kelly'!F350,"")</f>
        <v>0.93787037037037047</v>
      </c>
      <c r="H357" s="85">
        <f>IF(C357=C355,0,IF(D357=D356,0,(HLOOKUP(C357,Ingreso!$AN$10:$AU$260,VLOOKUP(A357,Ingreso!$AL$11:$AM$260,2,FALSE)))/24))</f>
        <v>0</v>
      </c>
      <c r="I357" s="77">
        <f t="shared" si="11"/>
        <v>0</v>
      </c>
    </row>
    <row r="358" spans="1:9">
      <c r="A358" s="85" t="str">
        <f>VLOOKUP('Informe Kelly'!A351,Base!A:B,2,FALSE)</f>
        <v>10.173.910-4</v>
      </c>
      <c r="B358" s="85" t="str">
        <f>VLOOKUP('Informe Kelly'!A351,Base!A:G,7,FALSE)</f>
        <v>ARSENDIGA PALMA FELIX EXEQUIEL</v>
      </c>
      <c r="C358" s="91">
        <f>'Informe Kelly'!E351</f>
        <v>40645</v>
      </c>
      <c r="D358" s="96">
        <f t="shared" si="10"/>
        <v>180</v>
      </c>
      <c r="E358" s="85" t="str">
        <f>VLOOKUP(A358,Ingreso!K:P,6,FALSE)</f>
        <v>Turno B</v>
      </c>
      <c r="F358" s="85">
        <f>IF('Informe Kelly'!H351=$A$2,'Informe Kelly'!F351,"")</f>
        <v>0.61709490740740736</v>
      </c>
      <c r="G358" s="85" t="str">
        <f>IF('Informe Kelly'!H351=$A$3,'Informe Kelly'!F351,"")</f>
        <v/>
      </c>
      <c r="H358" s="85">
        <f>IF(C358=C356,0,IF(D358=D357,0,(HLOOKUP(C358,Ingreso!$AN$10:$AU$260,VLOOKUP(A358,Ingreso!$AL$11:$AM$260,2,FALSE)))/24))</f>
        <v>0</v>
      </c>
      <c r="I358" s="77">
        <f t="shared" si="11"/>
        <v>0.3125</v>
      </c>
    </row>
    <row r="359" spans="1:9">
      <c r="A359" s="85" t="str">
        <f>VLOOKUP('Informe Kelly'!A352,Base!A:B,2,FALSE)</f>
        <v>10.173.910-4</v>
      </c>
      <c r="B359" s="85" t="str">
        <f>VLOOKUP('Informe Kelly'!A352,Base!A:G,7,FALSE)</f>
        <v>ARSENDIGA PALMA FELIX EXEQUIEL</v>
      </c>
      <c r="C359" s="91">
        <f>'Informe Kelly'!E352</f>
        <v>40645</v>
      </c>
      <c r="D359" s="96">
        <f t="shared" si="10"/>
        <v>180</v>
      </c>
      <c r="E359" s="85" t="str">
        <f>VLOOKUP(A359,Ingreso!K:P,6,FALSE)</f>
        <v>Turno B</v>
      </c>
      <c r="F359" s="85" t="str">
        <f>IF('Informe Kelly'!H352=$A$2,'Informe Kelly'!F352,"")</f>
        <v/>
      </c>
      <c r="G359" s="85">
        <f>IF('Informe Kelly'!H352=$A$3,'Informe Kelly'!F352,"")</f>
        <v>0.93579861111111118</v>
      </c>
      <c r="H359" s="85">
        <f>IF(C359=C357,0,IF(D359=D358,0,(HLOOKUP(C359,Ingreso!$AN$10:$AU$260,VLOOKUP(A359,Ingreso!$AL$11:$AM$260,2,FALSE)))/24))</f>
        <v>0</v>
      </c>
      <c r="I359" s="77">
        <f t="shared" si="11"/>
        <v>0</v>
      </c>
    </row>
    <row r="360" spans="1:9">
      <c r="A360" s="85" t="str">
        <f>VLOOKUP('Informe Kelly'!A353,Base!A:B,2,FALSE)</f>
        <v>10.173.910-4</v>
      </c>
      <c r="B360" s="85" t="str">
        <f>VLOOKUP('Informe Kelly'!A353,Base!A:G,7,FALSE)</f>
        <v>ARSENDIGA PALMA FELIX EXEQUIEL</v>
      </c>
      <c r="C360" s="91">
        <f>'Informe Kelly'!E353</f>
        <v>40646</v>
      </c>
      <c r="D360" s="96">
        <f t="shared" si="10"/>
        <v>181</v>
      </c>
      <c r="E360" s="85" t="str">
        <f>VLOOKUP(A360,Ingreso!K:P,6,FALSE)</f>
        <v>Turno B</v>
      </c>
      <c r="F360" s="85">
        <f>IF('Informe Kelly'!H353=$A$2,'Informe Kelly'!F353,"")</f>
        <v>0.61859953703703707</v>
      </c>
      <c r="G360" s="85" t="str">
        <f>IF('Informe Kelly'!H353=$A$3,'Informe Kelly'!F353,"")</f>
        <v/>
      </c>
      <c r="H360" s="85">
        <f>IF(C360=C358,0,IF(D360=D359,0,(HLOOKUP(C360,Ingreso!$AN$10:$AU$260,VLOOKUP(A360,Ingreso!$AL$11:$AM$260,2,FALSE)))/24))</f>
        <v>0</v>
      </c>
      <c r="I360" s="77">
        <f t="shared" si="11"/>
        <v>0.3125</v>
      </c>
    </row>
    <row r="361" spans="1:9">
      <c r="A361" s="85" t="str">
        <f>VLOOKUP('Informe Kelly'!A354,Base!A:B,2,FALSE)</f>
        <v>10.173.910-4</v>
      </c>
      <c r="B361" s="85" t="str">
        <f>VLOOKUP('Informe Kelly'!A354,Base!A:G,7,FALSE)</f>
        <v>ARSENDIGA PALMA FELIX EXEQUIEL</v>
      </c>
      <c r="C361" s="91">
        <f>'Informe Kelly'!E354</f>
        <v>40646</v>
      </c>
      <c r="D361" s="96">
        <f t="shared" si="10"/>
        <v>181</v>
      </c>
      <c r="E361" s="85" t="str">
        <f>VLOOKUP(A361,Ingreso!K:P,6,FALSE)</f>
        <v>Turno B</v>
      </c>
      <c r="F361" s="85" t="str">
        <f>IF('Informe Kelly'!H354=$A$2,'Informe Kelly'!F354,"")</f>
        <v/>
      </c>
      <c r="G361" s="85">
        <f>IF('Informe Kelly'!H354=$A$3,'Informe Kelly'!F354,"")</f>
        <v>0.93407407407407417</v>
      </c>
      <c r="H361" s="85">
        <f>IF(C361=C359,0,IF(D361=D360,0,(HLOOKUP(C361,Ingreso!$AN$10:$AU$260,VLOOKUP(A361,Ingreso!$AL$11:$AM$260,2,FALSE)))/24))</f>
        <v>0</v>
      </c>
      <c r="I361" s="77">
        <f t="shared" si="11"/>
        <v>0</v>
      </c>
    </row>
    <row r="362" spans="1:9">
      <c r="A362" s="85" t="str">
        <f>VLOOKUP('Informe Kelly'!A355,Base!A:B,2,FALSE)</f>
        <v>10.173.910-4</v>
      </c>
      <c r="B362" s="85" t="str">
        <f>VLOOKUP('Informe Kelly'!A355,Base!A:G,7,FALSE)</f>
        <v>ARSENDIGA PALMA FELIX EXEQUIEL</v>
      </c>
      <c r="C362" s="91">
        <f>'Informe Kelly'!E355</f>
        <v>40647</v>
      </c>
      <c r="D362" s="96">
        <f t="shared" si="10"/>
        <v>182</v>
      </c>
      <c r="E362" s="85" t="str">
        <f>VLOOKUP(A362,Ingreso!K:P,6,FALSE)</f>
        <v>Turno B</v>
      </c>
      <c r="F362" s="85">
        <f>IF('Informe Kelly'!H355=$A$2,'Informe Kelly'!F355,"")</f>
        <v>0.61990740740740746</v>
      </c>
      <c r="G362" s="85" t="str">
        <f>IF('Informe Kelly'!H355=$A$3,'Informe Kelly'!F355,"")</f>
        <v/>
      </c>
      <c r="H362" s="85">
        <f>IF(C362=C360,0,IF(D362=D361,0,(HLOOKUP(C362,Ingreso!$AN$10:$AU$260,VLOOKUP(A362,Ingreso!$AL$11:$AM$260,2,FALSE)))/24))</f>
        <v>0</v>
      </c>
      <c r="I362" s="77">
        <f t="shared" si="11"/>
        <v>0.3125</v>
      </c>
    </row>
    <row r="363" spans="1:9">
      <c r="A363" s="85" t="str">
        <f>VLOOKUP('Informe Kelly'!A356,Base!A:B,2,FALSE)</f>
        <v>10.173.910-4</v>
      </c>
      <c r="B363" s="85" t="str">
        <f>VLOOKUP('Informe Kelly'!A356,Base!A:G,7,FALSE)</f>
        <v>ARSENDIGA PALMA FELIX EXEQUIEL</v>
      </c>
      <c r="C363" s="91">
        <f>'Informe Kelly'!E356</f>
        <v>40647</v>
      </c>
      <c r="D363" s="96">
        <f t="shared" si="10"/>
        <v>182</v>
      </c>
      <c r="E363" s="85" t="str">
        <f>VLOOKUP(A363,Ingreso!K:P,6,FALSE)</f>
        <v>Turno B</v>
      </c>
      <c r="F363" s="85" t="str">
        <f>IF('Informe Kelly'!H356=$A$2,'Informe Kelly'!F356,"")</f>
        <v/>
      </c>
      <c r="G363" s="85">
        <f>IF('Informe Kelly'!H356=$A$3,'Informe Kelly'!F356,"")</f>
        <v>0.935613425925926</v>
      </c>
      <c r="H363" s="85">
        <f>IF(C363=C361,0,IF(D363=D362,0,(HLOOKUP(C363,Ingreso!$AN$10:$AU$260,VLOOKUP(A363,Ingreso!$AL$11:$AM$260,2,FALSE)))/24))</f>
        <v>0</v>
      </c>
      <c r="I363" s="77">
        <f t="shared" si="11"/>
        <v>0</v>
      </c>
    </row>
    <row r="364" spans="1:9">
      <c r="A364" s="85" t="str">
        <f>VLOOKUP('Informe Kelly'!A357,Base!A:B,2,FALSE)</f>
        <v>10.173.910-4</v>
      </c>
      <c r="B364" s="85" t="str">
        <f>VLOOKUP('Informe Kelly'!A357,Base!A:G,7,FALSE)</f>
        <v>ARSENDIGA PALMA FELIX EXEQUIEL</v>
      </c>
      <c r="C364" s="91">
        <f>'Informe Kelly'!E357</f>
        <v>40648</v>
      </c>
      <c r="D364" s="96">
        <f t="shared" si="10"/>
        <v>183</v>
      </c>
      <c r="E364" s="85" t="str">
        <f>VLOOKUP(A364,Ingreso!K:P,6,FALSE)</f>
        <v>Turno B</v>
      </c>
      <c r="F364" s="85" t="str">
        <f>IF('Informe Kelly'!H357=$A$2,'Informe Kelly'!F357,"")</f>
        <v/>
      </c>
      <c r="G364" s="85">
        <f>IF('Informe Kelly'!H357=$A$3,'Informe Kelly'!F357,"")</f>
        <v>0.93451388888888898</v>
      </c>
      <c r="H364" s="85">
        <f>IF(C364=C362,0,IF(D364=D363,0,(HLOOKUP(C364,Ingreso!$AN$10:$AU$260,VLOOKUP(A364,Ingreso!$AL$11:$AM$260,2,FALSE)))/24))</f>
        <v>0</v>
      </c>
      <c r="I364" s="77">
        <f t="shared" si="11"/>
        <v>0.3125</v>
      </c>
    </row>
    <row r="365" spans="1:9">
      <c r="A365" s="85" t="str">
        <f>VLOOKUP('Informe Kelly'!A358,Base!A:B,2,FALSE)</f>
        <v>10.173.910-4</v>
      </c>
      <c r="B365" s="85" t="str">
        <f>VLOOKUP('Informe Kelly'!A358,Base!A:G,7,FALSE)</f>
        <v>ARSENDIGA PALMA FELIX EXEQUIEL</v>
      </c>
      <c r="C365" s="91">
        <f>'Informe Kelly'!E358</f>
        <v>40648</v>
      </c>
      <c r="D365" s="96">
        <f t="shared" si="10"/>
        <v>183</v>
      </c>
      <c r="E365" s="85" t="str">
        <f>VLOOKUP(A365,Ingreso!K:P,6,FALSE)</f>
        <v>Turno B</v>
      </c>
      <c r="F365" s="85">
        <f>IF('Informe Kelly'!H358=$A$2,'Informe Kelly'!F358,"")</f>
        <v>0.6189351851851852</v>
      </c>
      <c r="G365" s="85" t="str">
        <f>IF('Informe Kelly'!H358=$A$3,'Informe Kelly'!F358,"")</f>
        <v/>
      </c>
      <c r="H365" s="85">
        <f>IF(C365=C363,0,IF(D365=D364,0,(HLOOKUP(C365,Ingreso!$AN$10:$AU$260,VLOOKUP(A365,Ingreso!$AL$11:$AM$260,2,FALSE)))/24))</f>
        <v>0</v>
      </c>
      <c r="I365" s="77">
        <f t="shared" si="11"/>
        <v>0</v>
      </c>
    </row>
    <row r="366" spans="1:9">
      <c r="A366" s="85" t="str">
        <f>VLOOKUP('Informe Kelly'!A359,Base!A:B,2,FALSE)</f>
        <v>10.173.910-4</v>
      </c>
      <c r="B366" s="85" t="str">
        <f>VLOOKUP('Informe Kelly'!A359,Base!A:G,7,FALSE)</f>
        <v>ARSENDIGA PALMA FELIX EXEQUIEL</v>
      </c>
      <c r="C366" s="91">
        <f>'Informe Kelly'!E359</f>
        <v>40649</v>
      </c>
      <c r="D366" s="96">
        <f t="shared" si="10"/>
        <v>184</v>
      </c>
      <c r="E366" s="85" t="str">
        <f>VLOOKUP(A366,Ingreso!K:P,6,FALSE)</f>
        <v>Turno B</v>
      </c>
      <c r="F366" s="85">
        <f>IF('Informe Kelly'!H359=$A$2,'Informe Kelly'!F359,"")</f>
        <v>0.6178703703703704</v>
      </c>
      <c r="G366" s="85" t="str">
        <f>IF('Informe Kelly'!H359=$A$3,'Informe Kelly'!F359,"")</f>
        <v/>
      </c>
      <c r="H366" s="85">
        <f>IF(C366=C364,0,IF(D366=D365,0,(HLOOKUP(C366,Ingreso!$AN$10:$AU$260,VLOOKUP(A366,Ingreso!$AL$11:$AM$260,2,FALSE)))/24))</f>
        <v>0</v>
      </c>
      <c r="I366" s="77">
        <f t="shared" si="11"/>
        <v>0.3125</v>
      </c>
    </row>
    <row r="367" spans="1:9">
      <c r="A367" s="85" t="str">
        <f>VLOOKUP('Informe Kelly'!A360,Base!A:B,2,FALSE)</f>
        <v>10.173.910-4</v>
      </c>
      <c r="B367" s="85" t="str">
        <f>VLOOKUP('Informe Kelly'!A360,Base!A:G,7,FALSE)</f>
        <v>ARSENDIGA PALMA FELIX EXEQUIEL</v>
      </c>
      <c r="C367" s="91">
        <f>'Informe Kelly'!E360</f>
        <v>40649</v>
      </c>
      <c r="D367" s="96">
        <f t="shared" si="10"/>
        <v>184</v>
      </c>
      <c r="E367" s="85" t="str">
        <f>VLOOKUP(A367,Ingreso!K:P,6,FALSE)</f>
        <v>Turno B</v>
      </c>
      <c r="F367" s="85" t="str">
        <f>IF('Informe Kelly'!H360=$A$2,'Informe Kelly'!F360,"")</f>
        <v/>
      </c>
      <c r="G367" s="85">
        <f>IF('Informe Kelly'!H360=$A$3,'Informe Kelly'!F360,"")</f>
        <v>0.93439814814814814</v>
      </c>
      <c r="H367" s="85">
        <f>IF(C367=C365,0,IF(D367=D366,0,(HLOOKUP(C367,Ingreso!$AN$10:$AU$260,VLOOKUP(A367,Ingreso!$AL$11:$AM$260,2,FALSE)))/24))</f>
        <v>0</v>
      </c>
      <c r="I367" s="77">
        <f t="shared" si="11"/>
        <v>0</v>
      </c>
    </row>
    <row r="368" spans="1:9">
      <c r="A368" s="85" t="str">
        <f>VLOOKUP('Informe Kelly'!A361,Base!A:B,2,FALSE)</f>
        <v>10.199.755-3</v>
      </c>
      <c r="B368" s="85" t="str">
        <f>VLOOKUP('Informe Kelly'!A361,Base!A:G,7,FALSE)</f>
        <v>HERNANDEZ GONZALEZ QUINTIN ROBERTO</v>
      </c>
      <c r="C368" s="91">
        <f>'Informe Kelly'!E361</f>
        <v>40644</v>
      </c>
      <c r="D368" s="96">
        <f t="shared" si="10"/>
        <v>185</v>
      </c>
      <c r="E368" s="85" t="str">
        <f>VLOOKUP(A368,Ingreso!K:P,6,FALSE)</f>
        <v>Turno C</v>
      </c>
      <c r="F368" s="85">
        <f>IF('Informe Kelly'!H361=$A$2,'Informe Kelly'!F361,"")</f>
        <v>0.9212731481481482</v>
      </c>
      <c r="G368" s="85" t="str">
        <f>IF('Informe Kelly'!H361=$A$3,'Informe Kelly'!F361,"")</f>
        <v/>
      </c>
      <c r="H368" s="85">
        <f>IF(C368=C366,0,IF(D368=D367,0,(HLOOKUP(C368,Ingreso!$AN$10:$AU$260,VLOOKUP(A368,Ingreso!$AL$11:$AM$260,2,FALSE)))/24))</f>
        <v>0</v>
      </c>
      <c r="I368" s="77">
        <f t="shared" si="11"/>
        <v>0.375</v>
      </c>
    </row>
    <row r="369" spans="1:9">
      <c r="A369" s="85" t="str">
        <f>VLOOKUP('Informe Kelly'!A362,Base!A:B,2,FALSE)</f>
        <v>10.199.755-3</v>
      </c>
      <c r="B369" s="85" t="str">
        <f>VLOOKUP('Informe Kelly'!A362,Base!A:G,7,FALSE)</f>
        <v>HERNANDEZ GONZALEZ QUINTIN ROBERTO</v>
      </c>
      <c r="C369" s="91">
        <f>'Informe Kelly'!E362</f>
        <v>40645</v>
      </c>
      <c r="D369" s="96">
        <f t="shared" si="10"/>
        <v>186</v>
      </c>
      <c r="E369" s="85" t="str">
        <f>VLOOKUP(A369,Ingreso!K:P,6,FALSE)</f>
        <v>Turno C</v>
      </c>
      <c r="F369" s="85" t="str">
        <f>IF('Informe Kelly'!H362=$A$2,'Informe Kelly'!F362,"")</f>
        <v/>
      </c>
      <c r="G369" s="85">
        <f>IF('Informe Kelly'!H362=$A$3,'Informe Kelly'!F362,"")</f>
        <v>0.32465277777777779</v>
      </c>
      <c r="H369" s="85">
        <f>IF(C369=C367,0,IF(D369=D368,0,(HLOOKUP(C369,Ingreso!$AN$10:$AU$260,VLOOKUP(A369,Ingreso!$AL$11:$AM$260,2,FALSE)))/24))</f>
        <v>0</v>
      </c>
      <c r="I369" s="77">
        <f t="shared" si="11"/>
        <v>0.375</v>
      </c>
    </row>
    <row r="370" spans="1:9">
      <c r="A370" s="85" t="str">
        <f>VLOOKUP('Informe Kelly'!A363,Base!A:B,2,FALSE)</f>
        <v>10.199.755-3</v>
      </c>
      <c r="B370" s="85" t="str">
        <f>VLOOKUP('Informe Kelly'!A363,Base!A:G,7,FALSE)</f>
        <v>HERNANDEZ GONZALEZ QUINTIN ROBERTO</v>
      </c>
      <c r="C370" s="91">
        <f>'Informe Kelly'!E363</f>
        <v>40645</v>
      </c>
      <c r="D370" s="96">
        <f t="shared" si="10"/>
        <v>186</v>
      </c>
      <c r="E370" s="85" t="str">
        <f>VLOOKUP(A370,Ingreso!K:P,6,FALSE)</f>
        <v>Turno C</v>
      </c>
      <c r="F370" s="85">
        <f>IF('Informe Kelly'!H363=$A$2,'Informe Kelly'!F363,"")</f>
        <v>0.91899305555555555</v>
      </c>
      <c r="G370" s="85" t="str">
        <f>IF('Informe Kelly'!H363=$A$3,'Informe Kelly'!F363,"")</f>
        <v/>
      </c>
      <c r="H370" s="85">
        <f>IF(C370=C368,0,IF(D370=D369,0,(HLOOKUP(C370,Ingreso!$AN$10:$AU$260,VLOOKUP(A370,Ingreso!$AL$11:$AM$260,2,FALSE)))/24))</f>
        <v>0</v>
      </c>
      <c r="I370" s="77">
        <f t="shared" si="11"/>
        <v>0</v>
      </c>
    </row>
    <row r="371" spans="1:9">
      <c r="A371" s="85" t="str">
        <f>VLOOKUP('Informe Kelly'!A364,Base!A:B,2,FALSE)</f>
        <v>10.199.755-3</v>
      </c>
      <c r="B371" s="85" t="str">
        <f>VLOOKUP('Informe Kelly'!A364,Base!A:G,7,FALSE)</f>
        <v>HERNANDEZ GONZALEZ QUINTIN ROBERTO</v>
      </c>
      <c r="C371" s="91">
        <f>'Informe Kelly'!E364</f>
        <v>40646</v>
      </c>
      <c r="D371" s="96">
        <f t="shared" si="10"/>
        <v>187</v>
      </c>
      <c r="E371" s="85" t="str">
        <f>VLOOKUP(A371,Ingreso!K:P,6,FALSE)</f>
        <v>Turno C</v>
      </c>
      <c r="F371" s="85" t="str">
        <f>IF('Informe Kelly'!H364=$A$2,'Informe Kelly'!F364,"")</f>
        <v/>
      </c>
      <c r="G371" s="85">
        <f>IF('Informe Kelly'!H364=$A$3,'Informe Kelly'!F364,"")</f>
        <v>0.32504629629629628</v>
      </c>
      <c r="H371" s="85">
        <f>IF(C371=C369,0,IF(D371=D370,0,(HLOOKUP(C371,Ingreso!$AN$10:$AU$260,VLOOKUP(A371,Ingreso!$AL$11:$AM$260,2,FALSE)))/24))</f>
        <v>0</v>
      </c>
      <c r="I371" s="77">
        <f t="shared" si="11"/>
        <v>0.375</v>
      </c>
    </row>
    <row r="372" spans="1:9">
      <c r="A372" s="85" t="str">
        <f>VLOOKUP('Informe Kelly'!A365,Base!A:B,2,FALSE)</f>
        <v>10.199.755-3</v>
      </c>
      <c r="B372" s="85" t="str">
        <f>VLOOKUP('Informe Kelly'!A365,Base!A:G,7,FALSE)</f>
        <v>HERNANDEZ GONZALEZ QUINTIN ROBERTO</v>
      </c>
      <c r="C372" s="91">
        <f>'Informe Kelly'!E365</f>
        <v>40646</v>
      </c>
      <c r="D372" s="96">
        <f t="shared" si="10"/>
        <v>187</v>
      </c>
      <c r="E372" s="85" t="str">
        <f>VLOOKUP(A372,Ingreso!K:P,6,FALSE)</f>
        <v>Turno C</v>
      </c>
      <c r="F372" s="85">
        <f>IF('Informe Kelly'!H365=$A$2,'Informe Kelly'!F365,"")</f>
        <v>0.92133101851851851</v>
      </c>
      <c r="G372" s="85" t="str">
        <f>IF('Informe Kelly'!H365=$A$3,'Informe Kelly'!F365,"")</f>
        <v/>
      </c>
      <c r="H372" s="85">
        <f>IF(C372=C370,0,IF(D372=D371,0,(HLOOKUP(C372,Ingreso!$AN$10:$AU$260,VLOOKUP(A372,Ingreso!$AL$11:$AM$260,2,FALSE)))/24))</f>
        <v>0</v>
      </c>
      <c r="I372" s="77">
        <f t="shared" si="11"/>
        <v>0</v>
      </c>
    </row>
    <row r="373" spans="1:9">
      <c r="A373" s="85" t="str">
        <f>VLOOKUP('Informe Kelly'!A366,Base!A:B,2,FALSE)</f>
        <v>10.199.755-3</v>
      </c>
      <c r="B373" s="85" t="str">
        <f>VLOOKUP('Informe Kelly'!A366,Base!A:G,7,FALSE)</f>
        <v>HERNANDEZ GONZALEZ QUINTIN ROBERTO</v>
      </c>
      <c r="C373" s="91">
        <f>'Informe Kelly'!E366</f>
        <v>40647</v>
      </c>
      <c r="D373" s="96">
        <f t="shared" si="10"/>
        <v>188</v>
      </c>
      <c r="E373" s="85" t="str">
        <f>VLOOKUP(A373,Ingreso!K:P,6,FALSE)</f>
        <v>Turno C</v>
      </c>
      <c r="F373" s="85" t="str">
        <f>IF('Informe Kelly'!H366=$A$2,'Informe Kelly'!F366,"")</f>
        <v/>
      </c>
      <c r="G373" s="85">
        <f>IF('Informe Kelly'!H366=$A$3,'Informe Kelly'!F366,"")</f>
        <v>0.32642361111111112</v>
      </c>
      <c r="H373" s="85">
        <f>IF(C373=C371,0,IF(D373=D372,0,(HLOOKUP(C373,Ingreso!$AN$10:$AU$260,VLOOKUP(A373,Ingreso!$AL$11:$AM$260,2,FALSE)))/24))</f>
        <v>0</v>
      </c>
      <c r="I373" s="77">
        <f t="shared" si="11"/>
        <v>0.375</v>
      </c>
    </row>
    <row r="374" spans="1:9">
      <c r="A374" s="85" t="str">
        <f>VLOOKUP('Informe Kelly'!A367,Base!A:B,2,FALSE)</f>
        <v>10.199.755-3</v>
      </c>
      <c r="B374" s="85" t="str">
        <f>VLOOKUP('Informe Kelly'!A367,Base!A:G,7,FALSE)</f>
        <v>HERNANDEZ GONZALEZ QUINTIN ROBERTO</v>
      </c>
      <c r="C374" s="91">
        <f>'Informe Kelly'!E367</f>
        <v>40647</v>
      </c>
      <c r="D374" s="96">
        <f t="shared" si="10"/>
        <v>188</v>
      </c>
      <c r="E374" s="85" t="str">
        <f>VLOOKUP(A374,Ingreso!K:P,6,FALSE)</f>
        <v>Turno C</v>
      </c>
      <c r="F374" s="85">
        <f>IF('Informe Kelly'!H367=$A$2,'Informe Kelly'!F367,"")</f>
        <v>0.92009259259259257</v>
      </c>
      <c r="G374" s="85" t="str">
        <f>IF('Informe Kelly'!H367=$A$3,'Informe Kelly'!F367,"")</f>
        <v/>
      </c>
      <c r="H374" s="85">
        <f>IF(C374=C372,0,IF(D374=D373,0,(HLOOKUP(C374,Ingreso!$AN$10:$AU$260,VLOOKUP(A374,Ingreso!$AL$11:$AM$260,2,FALSE)))/24))</f>
        <v>0</v>
      </c>
      <c r="I374" s="77">
        <f t="shared" si="11"/>
        <v>0</v>
      </c>
    </row>
    <row r="375" spans="1:9">
      <c r="A375" s="85" t="str">
        <f>VLOOKUP('Informe Kelly'!A368,Base!A:B,2,FALSE)</f>
        <v>10.199.755-3</v>
      </c>
      <c r="B375" s="85" t="str">
        <f>VLOOKUP('Informe Kelly'!A368,Base!A:G,7,FALSE)</f>
        <v>HERNANDEZ GONZALEZ QUINTIN ROBERTO</v>
      </c>
      <c r="C375" s="91">
        <f>'Informe Kelly'!E368</f>
        <v>40648</v>
      </c>
      <c r="D375" s="96">
        <f t="shared" si="10"/>
        <v>189</v>
      </c>
      <c r="E375" s="85" t="str">
        <f>VLOOKUP(A375,Ingreso!K:P,6,FALSE)</f>
        <v>Turno C</v>
      </c>
      <c r="F375" s="85">
        <f>IF('Informe Kelly'!H368=$A$2,'Informe Kelly'!F368,"")</f>
        <v>0.9200694444444445</v>
      </c>
      <c r="G375" s="85" t="str">
        <f>IF('Informe Kelly'!H368=$A$3,'Informe Kelly'!F368,"")</f>
        <v/>
      </c>
      <c r="H375" s="85">
        <f>IF(C375=C373,0,IF(D375=D374,0,(HLOOKUP(C375,Ingreso!$AN$10:$AU$260,VLOOKUP(A375,Ingreso!$AL$11:$AM$260,2,FALSE)))/24))</f>
        <v>0</v>
      </c>
      <c r="I375" s="77">
        <f t="shared" si="11"/>
        <v>0.375</v>
      </c>
    </row>
    <row r="376" spans="1:9">
      <c r="A376" s="85" t="str">
        <f>VLOOKUP('Informe Kelly'!A369,Base!A:B,2,FALSE)</f>
        <v>10.199.755-3</v>
      </c>
      <c r="B376" s="85" t="str">
        <f>VLOOKUP('Informe Kelly'!A369,Base!A:G,7,FALSE)</f>
        <v>HERNANDEZ GONZALEZ QUINTIN ROBERTO</v>
      </c>
      <c r="C376" s="91">
        <f>'Informe Kelly'!E369</f>
        <v>40648</v>
      </c>
      <c r="D376" s="96">
        <f t="shared" si="10"/>
        <v>189</v>
      </c>
      <c r="E376" s="85" t="str">
        <f>VLOOKUP(A376,Ingreso!K:P,6,FALSE)</f>
        <v>Turno C</v>
      </c>
      <c r="F376" s="85" t="str">
        <f>IF('Informe Kelly'!H369=$A$2,'Informe Kelly'!F369,"")</f>
        <v/>
      </c>
      <c r="G376" s="85">
        <f>IF('Informe Kelly'!H369=$A$3,'Informe Kelly'!F369,"")</f>
        <v>0.32622685185185185</v>
      </c>
      <c r="H376" s="85">
        <f>IF(C376=C374,0,IF(D376=D375,0,(HLOOKUP(C376,Ingreso!$AN$10:$AU$260,VLOOKUP(A376,Ingreso!$AL$11:$AM$260,2,FALSE)))/24))</f>
        <v>0</v>
      </c>
      <c r="I376" s="77">
        <f t="shared" si="11"/>
        <v>0</v>
      </c>
    </row>
    <row r="377" spans="1:9">
      <c r="A377" s="85" t="str">
        <f>VLOOKUP('Informe Kelly'!A370,Base!A:B,2,FALSE)</f>
        <v>10.199.755-3</v>
      </c>
      <c r="B377" s="85" t="str">
        <f>VLOOKUP('Informe Kelly'!A370,Base!A:G,7,FALSE)</f>
        <v>HERNANDEZ GONZALEZ QUINTIN ROBERTO</v>
      </c>
      <c r="C377" s="91">
        <f>'Informe Kelly'!E370</f>
        <v>40649</v>
      </c>
      <c r="D377" s="96">
        <f t="shared" si="10"/>
        <v>190</v>
      </c>
      <c r="E377" s="85" t="str">
        <f>VLOOKUP(A377,Ingreso!K:P,6,FALSE)</f>
        <v>Turno C</v>
      </c>
      <c r="F377" s="85" t="str">
        <f>IF('Informe Kelly'!H370=$A$2,'Informe Kelly'!F370,"")</f>
        <v/>
      </c>
      <c r="G377" s="85">
        <f>IF('Informe Kelly'!H370=$A$3,'Informe Kelly'!F370,"")</f>
        <v>0.32681712962962961</v>
      </c>
      <c r="H377" s="85">
        <f>IF(C377=C375,0,IF(D377=D376,0,(HLOOKUP(C377,Ingreso!$AN$10:$AU$260,VLOOKUP(A377,Ingreso!$AL$11:$AM$260,2,FALSE)))/24))</f>
        <v>0</v>
      </c>
      <c r="I377" s="77">
        <f t="shared" si="11"/>
        <v>0.375</v>
      </c>
    </row>
    <row r="378" spans="1:9">
      <c r="A378" s="85" t="str">
        <f>VLOOKUP('Informe Kelly'!A371,Base!A:B,2,FALSE)</f>
        <v>10.311.290-7</v>
      </c>
      <c r="B378" s="85" t="str">
        <f>VLOOKUP('Informe Kelly'!A371,Base!A:G,7,FALSE)</f>
        <v>VIDAL  ATENAS,RICARDO V.</v>
      </c>
      <c r="C378" s="91">
        <f>'Informe Kelly'!E371</f>
        <v>40644</v>
      </c>
      <c r="D378" s="96">
        <f t="shared" si="10"/>
        <v>191</v>
      </c>
      <c r="E378" s="85" t="e">
        <f>VLOOKUP(A378,Ingreso!K:P,6,FALSE)</f>
        <v>#N/A</v>
      </c>
      <c r="F378" s="85">
        <f>IF('Informe Kelly'!H371=$A$2,'Informe Kelly'!F371,"")</f>
        <v>0.60641203703703705</v>
      </c>
      <c r="G378" s="85" t="str">
        <f>IF('Informe Kelly'!H371=$A$3,'Informe Kelly'!F371,"")</f>
        <v/>
      </c>
      <c r="H378" s="85" t="e">
        <f>IF(C378=C376,0,IF(D378=D377,0,(HLOOKUP(C378,Ingreso!$AN$10:$AU$260,VLOOKUP(A378,Ingreso!$AL$11:$AM$260,2,FALSE)))/24))</f>
        <v>#N/A</v>
      </c>
      <c r="I378" s="77" t="e">
        <f t="shared" si="11"/>
        <v>#N/A</v>
      </c>
    </row>
    <row r="379" spans="1:9">
      <c r="A379" s="85" t="str">
        <f>VLOOKUP('Informe Kelly'!A372,Base!A:B,2,FALSE)</f>
        <v>10.311.290-7</v>
      </c>
      <c r="B379" s="85" t="str">
        <f>VLOOKUP('Informe Kelly'!A372,Base!A:G,7,FALSE)</f>
        <v>VIDAL  ATENAS,RICARDO V.</v>
      </c>
      <c r="C379" s="91">
        <f>'Informe Kelly'!E372</f>
        <v>40644</v>
      </c>
      <c r="D379" s="96">
        <f t="shared" si="10"/>
        <v>191</v>
      </c>
      <c r="E379" s="85" t="e">
        <f>VLOOKUP(A379,Ingreso!K:P,6,FALSE)</f>
        <v>#N/A</v>
      </c>
      <c r="F379" s="85" t="str">
        <f>IF('Informe Kelly'!H372=$A$2,'Informe Kelly'!F372,"")</f>
        <v/>
      </c>
      <c r="G379" s="85">
        <f>IF('Informe Kelly'!H372=$A$3,'Informe Kelly'!F372,"")</f>
        <v>0.94700231481481489</v>
      </c>
      <c r="H379" s="85">
        <f>IF(C379=C377,0,IF(D379=D378,0,(HLOOKUP(C379,Ingreso!$AN$10:$AU$260,VLOOKUP(A379,Ingreso!$AL$11:$AM$260,2,FALSE)))/24))</f>
        <v>0</v>
      </c>
      <c r="I379" s="77">
        <f t="shared" si="11"/>
        <v>0</v>
      </c>
    </row>
    <row r="380" spans="1:9">
      <c r="A380" s="85" t="str">
        <f>VLOOKUP('Informe Kelly'!A373,Base!A:B,2,FALSE)</f>
        <v>10.311.290-7</v>
      </c>
      <c r="B380" s="85" t="str">
        <f>VLOOKUP('Informe Kelly'!A373,Base!A:G,7,FALSE)</f>
        <v>VIDAL  ATENAS,RICARDO V.</v>
      </c>
      <c r="C380" s="91">
        <f>'Informe Kelly'!E373</f>
        <v>40645</v>
      </c>
      <c r="D380" s="96">
        <f t="shared" si="10"/>
        <v>192</v>
      </c>
      <c r="E380" s="85" t="e">
        <f>VLOOKUP(A380,Ingreso!K:P,6,FALSE)</f>
        <v>#N/A</v>
      </c>
      <c r="F380" s="85">
        <f>IF('Informe Kelly'!H373=$A$2,'Informe Kelly'!F373,"")</f>
        <v>0.60631944444444441</v>
      </c>
      <c r="G380" s="85" t="str">
        <f>IF('Informe Kelly'!H373=$A$3,'Informe Kelly'!F373,"")</f>
        <v/>
      </c>
      <c r="H380" s="85" t="e">
        <f>IF(C380=C378,0,IF(D380=D379,0,(HLOOKUP(C380,Ingreso!$AN$10:$AU$260,VLOOKUP(A380,Ingreso!$AL$11:$AM$260,2,FALSE)))/24))</f>
        <v>#N/A</v>
      </c>
      <c r="I380" s="77" t="e">
        <f t="shared" si="11"/>
        <v>#N/A</v>
      </c>
    </row>
    <row r="381" spans="1:9">
      <c r="A381" s="85" t="str">
        <f>VLOOKUP('Informe Kelly'!A374,Base!A:B,2,FALSE)</f>
        <v>10.311.290-7</v>
      </c>
      <c r="B381" s="85" t="str">
        <f>VLOOKUP('Informe Kelly'!A374,Base!A:G,7,FALSE)</f>
        <v>VIDAL  ATENAS,RICARDO V.</v>
      </c>
      <c r="C381" s="91">
        <f>'Informe Kelly'!E374</f>
        <v>40645</v>
      </c>
      <c r="D381" s="96">
        <f t="shared" si="10"/>
        <v>192</v>
      </c>
      <c r="E381" s="85" t="e">
        <f>VLOOKUP(A381,Ingreso!K:P,6,FALSE)</f>
        <v>#N/A</v>
      </c>
      <c r="F381" s="85" t="str">
        <f>IF('Informe Kelly'!H374=$A$2,'Informe Kelly'!F374,"")</f>
        <v/>
      </c>
      <c r="G381" s="85">
        <f>IF('Informe Kelly'!H374=$A$3,'Informe Kelly'!F374,"")</f>
        <v>0.94582175925925915</v>
      </c>
      <c r="H381" s="85">
        <f>IF(C381=C379,0,IF(D381=D380,0,(HLOOKUP(C381,Ingreso!$AN$10:$AU$260,VLOOKUP(A381,Ingreso!$AL$11:$AM$260,2,FALSE)))/24))</f>
        <v>0</v>
      </c>
      <c r="I381" s="77">
        <f t="shared" si="11"/>
        <v>0</v>
      </c>
    </row>
    <row r="382" spans="1:9">
      <c r="A382" s="85" t="str">
        <f>VLOOKUP('Informe Kelly'!A375,Base!A:B,2,FALSE)</f>
        <v>10.311.290-7</v>
      </c>
      <c r="B382" s="85" t="str">
        <f>VLOOKUP('Informe Kelly'!A375,Base!A:G,7,FALSE)</f>
        <v>VIDAL  ATENAS,RICARDO V.</v>
      </c>
      <c r="C382" s="91">
        <f>'Informe Kelly'!E375</f>
        <v>40646</v>
      </c>
      <c r="D382" s="96">
        <f t="shared" si="10"/>
        <v>193</v>
      </c>
      <c r="E382" s="85" t="e">
        <f>VLOOKUP(A382,Ingreso!K:P,6,FALSE)</f>
        <v>#N/A</v>
      </c>
      <c r="F382" s="85">
        <f>IF('Informe Kelly'!H375=$A$2,'Informe Kelly'!F375,"")</f>
        <v>0.60854166666666665</v>
      </c>
      <c r="G382" s="85" t="str">
        <f>IF('Informe Kelly'!H375=$A$3,'Informe Kelly'!F375,"")</f>
        <v/>
      </c>
      <c r="H382" s="85" t="e">
        <f>IF(C382=C380,0,IF(D382=D381,0,(HLOOKUP(C382,Ingreso!$AN$10:$AU$260,VLOOKUP(A382,Ingreso!$AL$11:$AM$260,2,FALSE)))/24))</f>
        <v>#N/A</v>
      </c>
      <c r="I382" s="77" t="e">
        <f t="shared" si="11"/>
        <v>#N/A</v>
      </c>
    </row>
    <row r="383" spans="1:9">
      <c r="A383" s="85" t="str">
        <f>VLOOKUP('Informe Kelly'!A376,Base!A:B,2,FALSE)</f>
        <v>10.311.290-7</v>
      </c>
      <c r="B383" s="85" t="str">
        <f>VLOOKUP('Informe Kelly'!A376,Base!A:G,7,FALSE)</f>
        <v>VIDAL  ATENAS,RICARDO V.</v>
      </c>
      <c r="C383" s="91">
        <f>'Informe Kelly'!E376</f>
        <v>40646</v>
      </c>
      <c r="D383" s="96">
        <f t="shared" si="10"/>
        <v>193</v>
      </c>
      <c r="E383" s="85" t="e">
        <f>VLOOKUP(A383,Ingreso!K:P,6,FALSE)</f>
        <v>#N/A</v>
      </c>
      <c r="F383" s="85" t="str">
        <f>IF('Informe Kelly'!H376=$A$2,'Informe Kelly'!F376,"")</f>
        <v/>
      </c>
      <c r="G383" s="85">
        <f>IF('Informe Kelly'!H376=$A$3,'Informe Kelly'!F376,"")</f>
        <v>0.94675925925925919</v>
      </c>
      <c r="H383" s="85">
        <f>IF(C383=C381,0,IF(D383=D382,0,(HLOOKUP(C383,Ingreso!$AN$10:$AU$260,VLOOKUP(A383,Ingreso!$AL$11:$AM$260,2,FALSE)))/24))</f>
        <v>0</v>
      </c>
      <c r="I383" s="77">
        <f t="shared" si="11"/>
        <v>0</v>
      </c>
    </row>
    <row r="384" spans="1:9">
      <c r="A384" s="85" t="str">
        <f>VLOOKUP('Informe Kelly'!A377,Base!A:B,2,FALSE)</f>
        <v>10.311.290-7</v>
      </c>
      <c r="B384" s="85" t="str">
        <f>VLOOKUP('Informe Kelly'!A377,Base!A:G,7,FALSE)</f>
        <v>VIDAL  ATENAS,RICARDO V.</v>
      </c>
      <c r="C384" s="91">
        <f>'Informe Kelly'!E377</f>
        <v>40647</v>
      </c>
      <c r="D384" s="96">
        <f t="shared" si="10"/>
        <v>194</v>
      </c>
      <c r="E384" s="85" t="e">
        <f>VLOOKUP(A384,Ingreso!K:P,6,FALSE)</f>
        <v>#N/A</v>
      </c>
      <c r="F384" s="85">
        <f>IF('Informe Kelly'!H377=$A$2,'Informe Kelly'!F377,"")</f>
        <v>0.60657407407407404</v>
      </c>
      <c r="G384" s="85" t="str">
        <f>IF('Informe Kelly'!H377=$A$3,'Informe Kelly'!F377,"")</f>
        <v/>
      </c>
      <c r="H384" s="85" t="e">
        <f>IF(C384=C382,0,IF(D384=D383,0,(HLOOKUP(C384,Ingreso!$AN$10:$AU$260,VLOOKUP(A384,Ingreso!$AL$11:$AM$260,2,FALSE)))/24))</f>
        <v>#N/A</v>
      </c>
      <c r="I384" s="77" t="e">
        <f t="shared" si="11"/>
        <v>#N/A</v>
      </c>
    </row>
    <row r="385" spans="1:9">
      <c r="A385" s="85" t="str">
        <f>VLOOKUP('Informe Kelly'!A378,Base!A:B,2,FALSE)</f>
        <v>10.311.290-7</v>
      </c>
      <c r="B385" s="85" t="str">
        <f>VLOOKUP('Informe Kelly'!A378,Base!A:G,7,FALSE)</f>
        <v>VIDAL  ATENAS,RICARDO V.</v>
      </c>
      <c r="C385" s="91">
        <f>'Informe Kelly'!E378</f>
        <v>40647</v>
      </c>
      <c r="D385" s="96">
        <f t="shared" si="10"/>
        <v>194</v>
      </c>
      <c r="E385" s="85" t="e">
        <f>VLOOKUP(A385,Ingreso!K:P,6,FALSE)</f>
        <v>#N/A</v>
      </c>
      <c r="F385" s="85" t="str">
        <f>IF('Informe Kelly'!H378=$A$2,'Informe Kelly'!F378,"")</f>
        <v/>
      </c>
      <c r="G385" s="85">
        <f>IF('Informe Kelly'!H378=$A$3,'Informe Kelly'!F378,"")</f>
        <v>0.94903935185185195</v>
      </c>
      <c r="H385" s="85">
        <f>IF(C385=C383,0,IF(D385=D384,0,(HLOOKUP(C385,Ingreso!$AN$10:$AU$260,VLOOKUP(A385,Ingreso!$AL$11:$AM$260,2,FALSE)))/24))</f>
        <v>0</v>
      </c>
      <c r="I385" s="77">
        <f t="shared" si="11"/>
        <v>0</v>
      </c>
    </row>
    <row r="386" spans="1:9">
      <c r="A386" s="85" t="str">
        <f>VLOOKUP('Informe Kelly'!A379,Base!A:B,2,FALSE)</f>
        <v>10.311.290-7</v>
      </c>
      <c r="B386" s="85" t="str">
        <f>VLOOKUP('Informe Kelly'!A379,Base!A:G,7,FALSE)</f>
        <v>VIDAL  ATENAS,RICARDO V.</v>
      </c>
      <c r="C386" s="91">
        <f>'Informe Kelly'!E379</f>
        <v>40648</v>
      </c>
      <c r="D386" s="96">
        <f t="shared" si="10"/>
        <v>195</v>
      </c>
      <c r="E386" s="85" t="e">
        <f>VLOOKUP(A386,Ingreso!K:P,6,FALSE)</f>
        <v>#N/A</v>
      </c>
      <c r="F386" s="85">
        <f>IF('Informe Kelly'!H379=$A$2,'Informe Kelly'!F379,"")</f>
        <v>0.60898148148148146</v>
      </c>
      <c r="G386" s="85" t="str">
        <f>IF('Informe Kelly'!H379=$A$3,'Informe Kelly'!F379,"")</f>
        <v/>
      </c>
      <c r="H386" s="85" t="e">
        <f>IF(C386=C384,0,IF(D386=D385,0,(HLOOKUP(C386,Ingreso!$AN$10:$AU$260,VLOOKUP(A386,Ingreso!$AL$11:$AM$260,2,FALSE)))/24))</f>
        <v>#N/A</v>
      </c>
      <c r="I386" s="77" t="e">
        <f t="shared" si="11"/>
        <v>#N/A</v>
      </c>
    </row>
    <row r="387" spans="1:9">
      <c r="A387" s="85" t="str">
        <f>VLOOKUP('Informe Kelly'!A380,Base!A:B,2,FALSE)</f>
        <v>10.311.290-7</v>
      </c>
      <c r="B387" s="85" t="str">
        <f>VLOOKUP('Informe Kelly'!A380,Base!A:G,7,FALSE)</f>
        <v>VIDAL  ATENAS,RICARDO V.</v>
      </c>
      <c r="C387" s="91">
        <f>'Informe Kelly'!E380</f>
        <v>40648</v>
      </c>
      <c r="D387" s="96">
        <f t="shared" si="10"/>
        <v>195</v>
      </c>
      <c r="E387" s="85" t="e">
        <f>VLOOKUP(A387,Ingreso!K:P,6,FALSE)</f>
        <v>#N/A</v>
      </c>
      <c r="F387" s="85" t="str">
        <f>IF('Informe Kelly'!H380=$A$2,'Informe Kelly'!F380,"")</f>
        <v/>
      </c>
      <c r="G387" s="85">
        <f>IF('Informe Kelly'!H380=$A$3,'Informe Kelly'!F380,"")</f>
        <v>0.94726851851851857</v>
      </c>
      <c r="H387" s="85">
        <f>IF(C387=C385,0,IF(D387=D386,0,(HLOOKUP(C387,Ingreso!$AN$10:$AU$260,VLOOKUP(A387,Ingreso!$AL$11:$AM$260,2,FALSE)))/24))</f>
        <v>0</v>
      </c>
      <c r="I387" s="77">
        <f t="shared" si="11"/>
        <v>0</v>
      </c>
    </row>
    <row r="388" spans="1:9">
      <c r="A388" s="85" t="str">
        <f>VLOOKUP('Informe Kelly'!A381,Base!A:B,2,FALSE)</f>
        <v>10.311.290-7</v>
      </c>
      <c r="B388" s="85" t="str">
        <f>VLOOKUP('Informe Kelly'!A381,Base!A:G,7,FALSE)</f>
        <v>VIDAL  ATENAS,RICARDO V.</v>
      </c>
      <c r="C388" s="91">
        <f>'Informe Kelly'!E381</f>
        <v>40649</v>
      </c>
      <c r="D388" s="96">
        <f t="shared" si="10"/>
        <v>196</v>
      </c>
      <c r="E388" s="85" t="e">
        <f>VLOOKUP(A388,Ingreso!K:P,6,FALSE)</f>
        <v>#N/A</v>
      </c>
      <c r="F388" s="85" t="str">
        <f>IF('Informe Kelly'!H381=$A$2,'Informe Kelly'!F381,"")</f>
        <v/>
      </c>
      <c r="G388" s="85">
        <f>IF('Informe Kelly'!H381=$A$3,'Informe Kelly'!F381,"")</f>
        <v>0.95010416666666664</v>
      </c>
      <c r="H388" s="85" t="e">
        <f>IF(C388=C386,0,IF(D388=D387,0,(HLOOKUP(C388,Ingreso!$AN$10:$AU$260,VLOOKUP(A388,Ingreso!$AL$11:$AM$260,2,FALSE)))/24))</f>
        <v>#N/A</v>
      </c>
      <c r="I388" s="77" t="e">
        <f t="shared" si="11"/>
        <v>#N/A</v>
      </c>
    </row>
    <row r="389" spans="1:9">
      <c r="A389" s="85" t="str">
        <f>VLOOKUP('Informe Kelly'!A382,Base!A:B,2,FALSE)</f>
        <v>10.311.290-7</v>
      </c>
      <c r="B389" s="85" t="str">
        <f>VLOOKUP('Informe Kelly'!A382,Base!A:G,7,FALSE)</f>
        <v>VIDAL  ATENAS,RICARDO V.</v>
      </c>
      <c r="C389" s="91">
        <f>'Informe Kelly'!E382</f>
        <v>40649</v>
      </c>
      <c r="D389" s="96">
        <f t="shared" si="10"/>
        <v>196</v>
      </c>
      <c r="E389" s="85" t="e">
        <f>VLOOKUP(A389,Ingreso!K:P,6,FALSE)</f>
        <v>#N/A</v>
      </c>
      <c r="F389" s="85">
        <f>IF('Informe Kelly'!H382=$A$2,'Informe Kelly'!F382,"")</f>
        <v>0.61687499999999995</v>
      </c>
      <c r="G389" s="85" t="str">
        <f>IF('Informe Kelly'!H382=$A$3,'Informe Kelly'!F382,"")</f>
        <v/>
      </c>
      <c r="H389" s="85">
        <f>IF(C389=C387,0,IF(D389=D388,0,(HLOOKUP(C389,Ingreso!$AN$10:$AU$260,VLOOKUP(A389,Ingreso!$AL$11:$AM$260,2,FALSE)))/24))</f>
        <v>0</v>
      </c>
      <c r="I389" s="77">
        <f t="shared" si="11"/>
        <v>0</v>
      </c>
    </row>
    <row r="390" spans="1:9">
      <c r="A390" s="85" t="str">
        <f>VLOOKUP('Informe Kelly'!A383,Base!A:B,2,FALSE)</f>
        <v>10.407.614-9</v>
      </c>
      <c r="B390" s="85" t="str">
        <f>VLOOKUP('Informe Kelly'!A383,Base!A:G,7,FALSE)</f>
        <v>MORA MORA CARLOS ALEJANDRO</v>
      </c>
      <c r="C390" s="91">
        <f>'Informe Kelly'!E383</f>
        <v>40644</v>
      </c>
      <c r="D390" s="96">
        <f t="shared" si="10"/>
        <v>197</v>
      </c>
      <c r="E390" s="85" t="str">
        <f>VLOOKUP(A390,Ingreso!K:P,6,FALSE)</f>
        <v>Turno C</v>
      </c>
      <c r="F390" s="85">
        <f>IF('Informe Kelly'!H383=$A$2,'Informe Kelly'!F383,"")</f>
        <v>0.91611111111111121</v>
      </c>
      <c r="G390" s="85" t="str">
        <f>IF('Informe Kelly'!H383=$A$3,'Informe Kelly'!F383,"")</f>
        <v/>
      </c>
      <c r="H390" s="85">
        <f>IF(C390=C388,0,IF(D390=D389,0,(HLOOKUP(C390,Ingreso!$AN$10:$AU$260,VLOOKUP(A390,Ingreso!$AL$11:$AM$260,2,FALSE)))/24))</f>
        <v>0</v>
      </c>
      <c r="I390" s="77">
        <f t="shared" si="11"/>
        <v>0.375</v>
      </c>
    </row>
    <row r="391" spans="1:9">
      <c r="A391" s="85" t="str">
        <f>VLOOKUP('Informe Kelly'!A384,Base!A:B,2,FALSE)</f>
        <v>10.407.614-9</v>
      </c>
      <c r="B391" s="85" t="str">
        <f>VLOOKUP('Informe Kelly'!A384,Base!A:G,7,FALSE)</f>
        <v>MORA MORA CARLOS ALEJANDRO</v>
      </c>
      <c r="C391" s="91">
        <f>'Informe Kelly'!E384</f>
        <v>40645</v>
      </c>
      <c r="D391" s="96">
        <f t="shared" si="10"/>
        <v>198</v>
      </c>
      <c r="E391" s="85" t="str">
        <f>VLOOKUP(A391,Ingreso!K:P,6,FALSE)</f>
        <v>Turno C</v>
      </c>
      <c r="F391" s="85" t="str">
        <f>IF('Informe Kelly'!H384=$A$2,'Informe Kelly'!F384,"")</f>
        <v/>
      </c>
      <c r="G391" s="85">
        <f>IF('Informe Kelly'!H384=$A$3,'Informe Kelly'!F384,"")</f>
        <v>0.31640046296296293</v>
      </c>
      <c r="H391" s="85">
        <f>IF(C391=C389,0,IF(D391=D390,0,(HLOOKUP(C391,Ingreso!$AN$10:$AU$260,VLOOKUP(A391,Ingreso!$AL$11:$AM$260,2,FALSE)))/24))</f>
        <v>0</v>
      </c>
      <c r="I391" s="77">
        <f t="shared" si="11"/>
        <v>0.375</v>
      </c>
    </row>
    <row r="392" spans="1:9">
      <c r="A392" s="85" t="str">
        <f>VLOOKUP('Informe Kelly'!A385,Base!A:B,2,FALSE)</f>
        <v>10.407.614-9</v>
      </c>
      <c r="B392" s="85" t="str">
        <f>VLOOKUP('Informe Kelly'!A385,Base!A:G,7,FALSE)</f>
        <v>MORA MORA CARLOS ALEJANDRO</v>
      </c>
      <c r="C392" s="91">
        <f>'Informe Kelly'!E385</f>
        <v>40645</v>
      </c>
      <c r="D392" s="96">
        <f t="shared" si="10"/>
        <v>198</v>
      </c>
      <c r="E392" s="85" t="str">
        <f>VLOOKUP(A392,Ingreso!K:P,6,FALSE)</f>
        <v>Turno C</v>
      </c>
      <c r="F392" s="85">
        <f>IF('Informe Kelly'!H385=$A$2,'Informe Kelly'!F385,"")</f>
        <v>0.91314814814814815</v>
      </c>
      <c r="G392" s="85" t="str">
        <f>IF('Informe Kelly'!H385=$A$3,'Informe Kelly'!F385,"")</f>
        <v/>
      </c>
      <c r="H392" s="85">
        <f>IF(C392=C390,0,IF(D392=D391,0,(HLOOKUP(C392,Ingreso!$AN$10:$AU$260,VLOOKUP(A392,Ingreso!$AL$11:$AM$260,2,FALSE)))/24))</f>
        <v>0</v>
      </c>
      <c r="I392" s="77">
        <f t="shared" si="11"/>
        <v>0</v>
      </c>
    </row>
    <row r="393" spans="1:9">
      <c r="A393" s="85" t="str">
        <f>VLOOKUP('Informe Kelly'!A386,Base!A:B,2,FALSE)</f>
        <v>10.407.614-9</v>
      </c>
      <c r="B393" s="85" t="str">
        <f>VLOOKUP('Informe Kelly'!A386,Base!A:G,7,FALSE)</f>
        <v>MORA MORA CARLOS ALEJANDRO</v>
      </c>
      <c r="C393" s="91">
        <f>'Informe Kelly'!E386</f>
        <v>40646</v>
      </c>
      <c r="D393" s="96">
        <f t="shared" ref="D393:D456" si="12">IF(C392=C393,IF(C393=C390,D392,IF(C393=C391,D392+1,D392)),D392+1)</f>
        <v>199</v>
      </c>
      <c r="E393" s="85" t="str">
        <f>VLOOKUP(A393,Ingreso!K:P,6,FALSE)</f>
        <v>Turno C</v>
      </c>
      <c r="F393" s="85" t="str">
        <f>IF('Informe Kelly'!H386=$A$2,'Informe Kelly'!F386,"")</f>
        <v/>
      </c>
      <c r="G393" s="85">
        <f>IF('Informe Kelly'!H386=$A$3,'Informe Kelly'!F386,"")</f>
        <v>0.31687500000000002</v>
      </c>
      <c r="H393" s="85">
        <f>IF(C393=C391,0,IF(D393=D392,0,(HLOOKUP(C393,Ingreso!$AN$10:$AU$260,VLOOKUP(A393,Ingreso!$AL$11:$AM$260,2,FALSE)))/24))</f>
        <v>0</v>
      </c>
      <c r="I393" s="77">
        <f t="shared" si="11"/>
        <v>0.375</v>
      </c>
    </row>
    <row r="394" spans="1:9">
      <c r="A394" s="85" t="str">
        <f>VLOOKUP('Informe Kelly'!A387,Base!A:B,2,FALSE)</f>
        <v>10.407.614-9</v>
      </c>
      <c r="B394" s="85" t="str">
        <f>VLOOKUP('Informe Kelly'!A387,Base!A:G,7,FALSE)</f>
        <v>MORA MORA CARLOS ALEJANDRO</v>
      </c>
      <c r="C394" s="91">
        <f>'Informe Kelly'!E387</f>
        <v>40646</v>
      </c>
      <c r="D394" s="96">
        <f t="shared" si="12"/>
        <v>199</v>
      </c>
      <c r="E394" s="85" t="str">
        <f>VLOOKUP(A394,Ingreso!K:P,6,FALSE)</f>
        <v>Turno C</v>
      </c>
      <c r="F394" s="85">
        <f>IF('Informe Kelly'!H387=$A$2,'Informe Kelly'!F387,"")</f>
        <v>0.91276620370370365</v>
      </c>
      <c r="G394" s="85" t="str">
        <f>IF('Informe Kelly'!H387=$A$3,'Informe Kelly'!F387,"")</f>
        <v/>
      </c>
      <c r="H394" s="85">
        <f>IF(C394=C392,0,IF(D394=D393,0,(HLOOKUP(C394,Ingreso!$AN$10:$AU$260,VLOOKUP(A394,Ingreso!$AL$11:$AM$260,2,FALSE)))/24))</f>
        <v>0</v>
      </c>
      <c r="I394" s="77">
        <f t="shared" ref="I394:I457" si="13">IF(C394=C392,0,IF(D394=D393,0,(VLOOKUP(E394,$C$2:$D$5,2,FALSE))))</f>
        <v>0</v>
      </c>
    </row>
    <row r="395" spans="1:9">
      <c r="A395" s="85" t="str">
        <f>VLOOKUP('Informe Kelly'!A388,Base!A:B,2,FALSE)</f>
        <v>10.407.614-9</v>
      </c>
      <c r="B395" s="85" t="str">
        <f>VLOOKUP('Informe Kelly'!A388,Base!A:G,7,FALSE)</f>
        <v>MORA MORA CARLOS ALEJANDRO</v>
      </c>
      <c r="C395" s="91">
        <f>'Informe Kelly'!E388</f>
        <v>40647</v>
      </c>
      <c r="D395" s="96">
        <f t="shared" si="12"/>
        <v>200</v>
      </c>
      <c r="E395" s="85" t="str">
        <f>VLOOKUP(A395,Ingreso!K:P,6,FALSE)</f>
        <v>Turno C</v>
      </c>
      <c r="F395" s="85" t="str">
        <f>IF('Informe Kelly'!H388=$A$2,'Informe Kelly'!F388,"")</f>
        <v/>
      </c>
      <c r="G395" s="85">
        <f>IF('Informe Kelly'!H388=$A$3,'Informe Kelly'!F388,"")</f>
        <v>0.32039351851851855</v>
      </c>
      <c r="H395" s="85">
        <f>IF(C395=C393,0,IF(D395=D394,0,(HLOOKUP(C395,Ingreso!$AN$10:$AU$260,VLOOKUP(A395,Ingreso!$AL$11:$AM$260,2,FALSE)))/24))</f>
        <v>0</v>
      </c>
      <c r="I395" s="77">
        <f t="shared" si="13"/>
        <v>0.375</v>
      </c>
    </row>
    <row r="396" spans="1:9">
      <c r="A396" s="85" t="str">
        <f>VLOOKUP('Informe Kelly'!A389,Base!A:B,2,FALSE)</f>
        <v>10.407.614-9</v>
      </c>
      <c r="B396" s="85" t="str">
        <f>VLOOKUP('Informe Kelly'!A389,Base!A:G,7,FALSE)</f>
        <v>MORA MORA CARLOS ALEJANDRO</v>
      </c>
      <c r="C396" s="91">
        <f>'Informe Kelly'!E389</f>
        <v>40647</v>
      </c>
      <c r="D396" s="96">
        <f t="shared" si="12"/>
        <v>200</v>
      </c>
      <c r="E396" s="85" t="str">
        <f>VLOOKUP(A396,Ingreso!K:P,6,FALSE)</f>
        <v>Turno C</v>
      </c>
      <c r="F396" s="85">
        <f>IF('Informe Kelly'!H389=$A$2,'Informe Kelly'!F389,"")</f>
        <v>0.91437500000000005</v>
      </c>
      <c r="G396" s="85" t="str">
        <f>IF('Informe Kelly'!H389=$A$3,'Informe Kelly'!F389,"")</f>
        <v/>
      </c>
      <c r="H396" s="85">
        <f>IF(C396=C394,0,IF(D396=D395,0,(HLOOKUP(C396,Ingreso!$AN$10:$AU$260,VLOOKUP(A396,Ingreso!$AL$11:$AM$260,2,FALSE)))/24))</f>
        <v>0</v>
      </c>
      <c r="I396" s="77">
        <f t="shared" si="13"/>
        <v>0</v>
      </c>
    </row>
    <row r="397" spans="1:9">
      <c r="A397" s="85" t="str">
        <f>VLOOKUP('Informe Kelly'!A390,Base!A:B,2,FALSE)</f>
        <v>10.407.614-9</v>
      </c>
      <c r="B397" s="85" t="str">
        <f>VLOOKUP('Informe Kelly'!A390,Base!A:G,7,FALSE)</f>
        <v>MORA MORA CARLOS ALEJANDRO</v>
      </c>
      <c r="C397" s="91">
        <f>'Informe Kelly'!E390</f>
        <v>40648</v>
      </c>
      <c r="D397" s="96">
        <f t="shared" si="12"/>
        <v>201</v>
      </c>
      <c r="E397" s="85" t="str">
        <f>VLOOKUP(A397,Ingreso!K:P,6,FALSE)</f>
        <v>Turno C</v>
      </c>
      <c r="F397" s="85">
        <f>IF('Informe Kelly'!H390=$A$2,'Informe Kelly'!F390,"")</f>
        <v>0.91745370370370372</v>
      </c>
      <c r="G397" s="85" t="str">
        <f>IF('Informe Kelly'!H390=$A$3,'Informe Kelly'!F390,"")</f>
        <v/>
      </c>
      <c r="H397" s="85">
        <f>IF(C397=C395,0,IF(D397=D396,0,(HLOOKUP(C397,Ingreso!$AN$10:$AU$260,VLOOKUP(A397,Ingreso!$AL$11:$AM$260,2,FALSE)))/24))</f>
        <v>0</v>
      </c>
      <c r="I397" s="77">
        <f t="shared" si="13"/>
        <v>0.375</v>
      </c>
    </row>
    <row r="398" spans="1:9">
      <c r="A398" s="85" t="str">
        <f>VLOOKUP('Informe Kelly'!A391,Base!A:B,2,FALSE)</f>
        <v>10.407.614-9</v>
      </c>
      <c r="B398" s="85" t="str">
        <f>VLOOKUP('Informe Kelly'!A391,Base!A:G,7,FALSE)</f>
        <v>MORA MORA CARLOS ALEJANDRO</v>
      </c>
      <c r="C398" s="91">
        <f>'Informe Kelly'!E391</f>
        <v>40648</v>
      </c>
      <c r="D398" s="96">
        <f t="shared" si="12"/>
        <v>201</v>
      </c>
      <c r="E398" s="85" t="str">
        <f>VLOOKUP(A398,Ingreso!K:P,6,FALSE)</f>
        <v>Turno C</v>
      </c>
      <c r="F398" s="85" t="str">
        <f>IF('Informe Kelly'!H391=$A$2,'Informe Kelly'!F391,"")</f>
        <v/>
      </c>
      <c r="G398" s="85">
        <f>IF('Informe Kelly'!H391=$A$3,'Informe Kelly'!F391,"")</f>
        <v>0.32021990740740741</v>
      </c>
      <c r="H398" s="85">
        <f>IF(C398=C396,0,IF(D398=D397,0,(HLOOKUP(C398,Ingreso!$AN$10:$AU$260,VLOOKUP(A398,Ingreso!$AL$11:$AM$260,2,FALSE)))/24))</f>
        <v>0</v>
      </c>
      <c r="I398" s="77">
        <f t="shared" si="13"/>
        <v>0</v>
      </c>
    </row>
    <row r="399" spans="1:9">
      <c r="A399" s="85" t="str">
        <f>VLOOKUP('Informe Kelly'!A392,Base!A:B,2,FALSE)</f>
        <v>10.407.614-9</v>
      </c>
      <c r="B399" s="85" t="str">
        <f>VLOOKUP('Informe Kelly'!A392,Base!A:G,7,FALSE)</f>
        <v>MORA MORA CARLOS ALEJANDRO</v>
      </c>
      <c r="C399" s="91">
        <f>'Informe Kelly'!E392</f>
        <v>40649</v>
      </c>
      <c r="D399" s="96">
        <f t="shared" si="12"/>
        <v>202</v>
      </c>
      <c r="E399" s="85" t="str">
        <f>VLOOKUP(A399,Ingreso!K:P,6,FALSE)</f>
        <v>Turno C</v>
      </c>
      <c r="F399" s="85" t="str">
        <f>IF('Informe Kelly'!H392=$A$2,'Informe Kelly'!F392,"")</f>
        <v/>
      </c>
      <c r="G399" s="85">
        <f>IF('Informe Kelly'!H392=$A$3,'Informe Kelly'!F392,"")</f>
        <v>0.3205324074074074</v>
      </c>
      <c r="H399" s="85">
        <f>IF(C399=C397,0,IF(D399=D398,0,(HLOOKUP(C399,Ingreso!$AN$10:$AU$260,VLOOKUP(A399,Ingreso!$AL$11:$AM$260,2,FALSE)))/24))</f>
        <v>0</v>
      </c>
      <c r="I399" s="77">
        <f t="shared" si="13"/>
        <v>0.375</v>
      </c>
    </row>
    <row r="400" spans="1:9">
      <c r="A400" s="85" t="str">
        <f>VLOOKUP('Informe Kelly'!A393,Base!A:B,2,FALSE)</f>
        <v>10.572.816-6</v>
      </c>
      <c r="B400" s="85" t="str">
        <f>VLOOKUP('Informe Kelly'!A393,Base!A:G,7,FALSE)</f>
        <v>VARGAS MORENO MARCO ANTONIO</v>
      </c>
      <c r="C400" s="91">
        <f>'Informe Kelly'!E393</f>
        <v>40644</v>
      </c>
      <c r="D400" s="96">
        <f t="shared" si="12"/>
        <v>203</v>
      </c>
      <c r="E400" s="85" t="str">
        <f>VLOOKUP(A400,Ingreso!K:P,6,FALSE)</f>
        <v>Turno B</v>
      </c>
      <c r="F400" s="85">
        <f>IF('Informe Kelly'!H393=$A$2,'Informe Kelly'!F393,"")</f>
        <v>0.60702546296296289</v>
      </c>
      <c r="G400" s="85" t="str">
        <f>IF('Informe Kelly'!H393=$A$3,'Informe Kelly'!F393,"")</f>
        <v/>
      </c>
      <c r="H400" s="85">
        <f>IF(C400=C398,0,IF(D400=D399,0,(HLOOKUP(C400,Ingreso!$AN$10:$AU$260,VLOOKUP(A400,Ingreso!$AL$11:$AM$260,2,FALSE)))/24))</f>
        <v>0</v>
      </c>
      <c r="I400" s="77">
        <f t="shared" si="13"/>
        <v>0.3125</v>
      </c>
    </row>
    <row r="401" spans="1:9">
      <c r="A401" s="85" t="str">
        <f>VLOOKUP('Informe Kelly'!A394,Base!A:B,2,FALSE)</f>
        <v>10.572.816-6</v>
      </c>
      <c r="B401" s="85" t="str">
        <f>VLOOKUP('Informe Kelly'!A394,Base!A:G,7,FALSE)</f>
        <v>VARGAS MORENO MARCO ANTONIO</v>
      </c>
      <c r="C401" s="91">
        <f>'Informe Kelly'!E394</f>
        <v>40644</v>
      </c>
      <c r="D401" s="96">
        <f t="shared" si="12"/>
        <v>203</v>
      </c>
      <c r="E401" s="85" t="str">
        <f>VLOOKUP(A401,Ingreso!K:P,6,FALSE)</f>
        <v>Turno B</v>
      </c>
      <c r="F401" s="85" t="str">
        <f>IF('Informe Kelly'!H394=$A$2,'Informe Kelly'!F394,"")</f>
        <v/>
      </c>
      <c r="G401" s="85">
        <f>IF('Informe Kelly'!H394=$A$3,'Informe Kelly'!F394,"")</f>
        <v>0.9518402777777778</v>
      </c>
      <c r="H401" s="85">
        <f>IF(C401=C399,0,IF(D401=D400,0,(HLOOKUP(C401,Ingreso!$AN$10:$AU$260,VLOOKUP(A401,Ingreso!$AL$11:$AM$260,2,FALSE)))/24))</f>
        <v>0</v>
      </c>
      <c r="I401" s="77">
        <f t="shared" si="13"/>
        <v>0</v>
      </c>
    </row>
    <row r="402" spans="1:9">
      <c r="A402" s="85" t="str">
        <f>VLOOKUP('Informe Kelly'!A395,Base!A:B,2,FALSE)</f>
        <v>10.572.816-6</v>
      </c>
      <c r="B402" s="85" t="str">
        <f>VLOOKUP('Informe Kelly'!A395,Base!A:G,7,FALSE)</f>
        <v>VARGAS MORENO MARCO ANTONIO</v>
      </c>
      <c r="C402" s="91">
        <f>'Informe Kelly'!E395</f>
        <v>40645</v>
      </c>
      <c r="D402" s="96">
        <f t="shared" si="12"/>
        <v>204</v>
      </c>
      <c r="E402" s="85" t="str">
        <f>VLOOKUP(A402,Ingreso!K:P,6,FALSE)</f>
        <v>Turno B</v>
      </c>
      <c r="F402" s="85">
        <f>IF('Informe Kelly'!H395=$A$2,'Informe Kelly'!F395,"")</f>
        <v>0.6068634259259259</v>
      </c>
      <c r="G402" s="85" t="str">
        <f>IF('Informe Kelly'!H395=$A$3,'Informe Kelly'!F395,"")</f>
        <v/>
      </c>
      <c r="H402" s="85">
        <f>IF(C402=C400,0,IF(D402=D401,0,(HLOOKUP(C402,Ingreso!$AN$10:$AU$260,VLOOKUP(A402,Ingreso!$AL$11:$AM$260,2,FALSE)))/24))</f>
        <v>0</v>
      </c>
      <c r="I402" s="77">
        <f t="shared" si="13"/>
        <v>0.3125</v>
      </c>
    </row>
    <row r="403" spans="1:9">
      <c r="A403" s="85" t="str">
        <f>VLOOKUP('Informe Kelly'!A396,Base!A:B,2,FALSE)</f>
        <v>10.572.816-6</v>
      </c>
      <c r="B403" s="85" t="str">
        <f>VLOOKUP('Informe Kelly'!A396,Base!A:G,7,FALSE)</f>
        <v>VARGAS MORENO MARCO ANTONIO</v>
      </c>
      <c r="C403" s="91">
        <f>'Informe Kelly'!E396</f>
        <v>40645</v>
      </c>
      <c r="D403" s="96">
        <f t="shared" si="12"/>
        <v>204</v>
      </c>
      <c r="E403" s="85" t="str">
        <f>VLOOKUP(A403,Ingreso!K:P,6,FALSE)</f>
        <v>Turno B</v>
      </c>
      <c r="F403" s="85" t="str">
        <f>IF('Informe Kelly'!H396=$A$2,'Informe Kelly'!F396,"")</f>
        <v/>
      </c>
      <c r="G403" s="85">
        <f>IF('Informe Kelly'!H396=$A$3,'Informe Kelly'!F396,"")</f>
        <v>0.9483449074074074</v>
      </c>
      <c r="H403" s="85">
        <f>IF(C403=C401,0,IF(D403=D402,0,(HLOOKUP(C403,Ingreso!$AN$10:$AU$260,VLOOKUP(A403,Ingreso!$AL$11:$AM$260,2,FALSE)))/24))</f>
        <v>0</v>
      </c>
      <c r="I403" s="77">
        <f t="shared" si="13"/>
        <v>0</v>
      </c>
    </row>
    <row r="404" spans="1:9">
      <c r="A404" s="85" t="str">
        <f>VLOOKUP('Informe Kelly'!A397,Base!A:B,2,FALSE)</f>
        <v>10.572.816-6</v>
      </c>
      <c r="B404" s="85" t="str">
        <f>VLOOKUP('Informe Kelly'!A397,Base!A:G,7,FALSE)</f>
        <v>VARGAS MORENO MARCO ANTONIO</v>
      </c>
      <c r="C404" s="91">
        <f>'Informe Kelly'!E397</f>
        <v>40646</v>
      </c>
      <c r="D404" s="96">
        <f t="shared" si="12"/>
        <v>205</v>
      </c>
      <c r="E404" s="85" t="str">
        <f>VLOOKUP(A404,Ingreso!K:P,6,FALSE)</f>
        <v>Turno B</v>
      </c>
      <c r="F404" s="85">
        <f>IF('Informe Kelly'!H397=$A$2,'Informe Kelly'!F397,"")</f>
        <v>0.60883101851851851</v>
      </c>
      <c r="G404" s="85" t="str">
        <f>IF('Informe Kelly'!H397=$A$3,'Informe Kelly'!F397,"")</f>
        <v/>
      </c>
      <c r="H404" s="85">
        <f>IF(C404=C402,0,IF(D404=D403,0,(HLOOKUP(C404,Ingreso!$AN$10:$AU$260,VLOOKUP(A404,Ingreso!$AL$11:$AM$260,2,FALSE)))/24))</f>
        <v>0</v>
      </c>
      <c r="I404" s="77">
        <f t="shared" si="13"/>
        <v>0.3125</v>
      </c>
    </row>
    <row r="405" spans="1:9">
      <c r="A405" s="85" t="str">
        <f>VLOOKUP('Informe Kelly'!A398,Base!A:B,2,FALSE)</f>
        <v>10.572.816-6</v>
      </c>
      <c r="B405" s="85" t="str">
        <f>VLOOKUP('Informe Kelly'!A398,Base!A:G,7,FALSE)</f>
        <v>VARGAS MORENO MARCO ANTONIO</v>
      </c>
      <c r="C405" s="91">
        <f>'Informe Kelly'!E398</f>
        <v>40646</v>
      </c>
      <c r="D405" s="96">
        <f t="shared" si="12"/>
        <v>205</v>
      </c>
      <c r="E405" s="85" t="str">
        <f>VLOOKUP(A405,Ingreso!K:P,6,FALSE)</f>
        <v>Turno B</v>
      </c>
      <c r="F405" s="85" t="str">
        <f>IF('Informe Kelly'!H398=$A$2,'Informe Kelly'!F398,"")</f>
        <v/>
      </c>
      <c r="G405" s="85">
        <f>IF('Informe Kelly'!H398=$A$3,'Informe Kelly'!F398,"")</f>
        <v>0.94733796296296291</v>
      </c>
      <c r="H405" s="85">
        <f>IF(C405=C403,0,IF(D405=D404,0,(HLOOKUP(C405,Ingreso!$AN$10:$AU$260,VLOOKUP(A405,Ingreso!$AL$11:$AM$260,2,FALSE)))/24))</f>
        <v>0</v>
      </c>
      <c r="I405" s="77">
        <f t="shared" si="13"/>
        <v>0</v>
      </c>
    </row>
    <row r="406" spans="1:9">
      <c r="A406" s="85" t="str">
        <f>VLOOKUP('Informe Kelly'!A399,Base!A:B,2,FALSE)</f>
        <v>10.572.816-6</v>
      </c>
      <c r="B406" s="85" t="str">
        <f>VLOOKUP('Informe Kelly'!A399,Base!A:G,7,FALSE)</f>
        <v>VARGAS MORENO MARCO ANTONIO</v>
      </c>
      <c r="C406" s="91">
        <f>'Informe Kelly'!E399</f>
        <v>40647</v>
      </c>
      <c r="D406" s="96">
        <f t="shared" si="12"/>
        <v>206</v>
      </c>
      <c r="E406" s="85" t="str">
        <f>VLOOKUP(A406,Ingreso!K:P,6,FALSE)</f>
        <v>Turno B</v>
      </c>
      <c r="F406" s="85">
        <f>IF('Informe Kelly'!H399=$A$2,'Informe Kelly'!F399,"")</f>
        <v>0.60792824074074081</v>
      </c>
      <c r="G406" s="85" t="str">
        <f>IF('Informe Kelly'!H399=$A$3,'Informe Kelly'!F399,"")</f>
        <v/>
      </c>
      <c r="H406" s="85">
        <f>IF(C406=C404,0,IF(D406=D405,0,(HLOOKUP(C406,Ingreso!$AN$10:$AU$260,VLOOKUP(A406,Ingreso!$AL$11:$AM$260,2,FALSE)))/24))</f>
        <v>0</v>
      </c>
      <c r="I406" s="77">
        <f t="shared" si="13"/>
        <v>0.3125</v>
      </c>
    </row>
    <row r="407" spans="1:9">
      <c r="A407" s="85" t="str">
        <f>VLOOKUP('Informe Kelly'!A400,Base!A:B,2,FALSE)</f>
        <v>10.572.816-6</v>
      </c>
      <c r="B407" s="85" t="str">
        <f>VLOOKUP('Informe Kelly'!A400,Base!A:G,7,FALSE)</f>
        <v>VARGAS MORENO MARCO ANTONIO</v>
      </c>
      <c r="C407" s="91">
        <f>'Informe Kelly'!E400</f>
        <v>40647</v>
      </c>
      <c r="D407" s="96">
        <f t="shared" si="12"/>
        <v>206</v>
      </c>
      <c r="E407" s="85" t="str">
        <f>VLOOKUP(A407,Ingreso!K:P,6,FALSE)</f>
        <v>Turno B</v>
      </c>
      <c r="F407" s="85" t="str">
        <f>IF('Informe Kelly'!H400=$A$2,'Informe Kelly'!F400,"")</f>
        <v/>
      </c>
      <c r="G407" s="85">
        <f>IF('Informe Kelly'!H400=$A$3,'Informe Kelly'!F400,"")</f>
        <v>0.94734953703703706</v>
      </c>
      <c r="H407" s="85">
        <f>IF(C407=C405,0,IF(D407=D406,0,(HLOOKUP(C407,Ingreso!$AN$10:$AU$260,VLOOKUP(A407,Ingreso!$AL$11:$AM$260,2,FALSE)))/24))</f>
        <v>0</v>
      </c>
      <c r="I407" s="77">
        <f t="shared" si="13"/>
        <v>0</v>
      </c>
    </row>
    <row r="408" spans="1:9">
      <c r="A408" s="85" t="str">
        <f>VLOOKUP('Informe Kelly'!A401,Base!A:B,2,FALSE)</f>
        <v>10.572.816-6</v>
      </c>
      <c r="B408" s="85" t="str">
        <f>VLOOKUP('Informe Kelly'!A401,Base!A:G,7,FALSE)</f>
        <v>VARGAS MORENO MARCO ANTONIO</v>
      </c>
      <c r="C408" s="91">
        <f>'Informe Kelly'!E401</f>
        <v>40648</v>
      </c>
      <c r="D408" s="96">
        <f t="shared" si="12"/>
        <v>207</v>
      </c>
      <c r="E408" s="85" t="str">
        <f>VLOOKUP(A408,Ingreso!K:P,6,FALSE)</f>
        <v>Turno B</v>
      </c>
      <c r="F408" s="85" t="str">
        <f>IF('Informe Kelly'!H401=$A$2,'Informe Kelly'!F401,"")</f>
        <v/>
      </c>
      <c r="G408" s="85">
        <f>IF('Informe Kelly'!H401=$A$3,'Informe Kelly'!F401,"")</f>
        <v>0.94944444444444442</v>
      </c>
      <c r="H408" s="85">
        <f>IF(C408=C406,0,IF(D408=D407,0,(HLOOKUP(C408,Ingreso!$AN$10:$AU$260,VLOOKUP(A408,Ingreso!$AL$11:$AM$260,2,FALSE)))/24))</f>
        <v>0</v>
      </c>
      <c r="I408" s="77">
        <f t="shared" si="13"/>
        <v>0.3125</v>
      </c>
    </row>
    <row r="409" spans="1:9">
      <c r="A409" s="85" t="str">
        <f>VLOOKUP('Informe Kelly'!A402,Base!A:B,2,FALSE)</f>
        <v>10.572.816-6</v>
      </c>
      <c r="B409" s="85" t="str">
        <f>VLOOKUP('Informe Kelly'!A402,Base!A:G,7,FALSE)</f>
        <v>VARGAS MORENO MARCO ANTONIO</v>
      </c>
      <c r="C409" s="91">
        <f>'Informe Kelly'!E402</f>
        <v>40648</v>
      </c>
      <c r="D409" s="96">
        <f t="shared" si="12"/>
        <v>207</v>
      </c>
      <c r="E409" s="85" t="str">
        <f>VLOOKUP(A409,Ingreso!K:P,6,FALSE)</f>
        <v>Turno B</v>
      </c>
      <c r="F409" s="85">
        <f>IF('Informe Kelly'!H402=$A$2,'Informe Kelly'!F402,"")</f>
        <v>0.609375</v>
      </c>
      <c r="G409" s="85" t="str">
        <f>IF('Informe Kelly'!H402=$A$3,'Informe Kelly'!F402,"")</f>
        <v/>
      </c>
      <c r="H409" s="85">
        <f>IF(C409=C407,0,IF(D409=D408,0,(HLOOKUP(C409,Ingreso!$AN$10:$AU$260,VLOOKUP(A409,Ingreso!$AL$11:$AM$260,2,FALSE)))/24))</f>
        <v>0</v>
      </c>
      <c r="I409" s="77">
        <f t="shared" si="13"/>
        <v>0</v>
      </c>
    </row>
    <row r="410" spans="1:9">
      <c r="A410" s="85" t="str">
        <f>VLOOKUP('Informe Kelly'!A403,Base!A:B,2,FALSE)</f>
        <v>10.572.816-6</v>
      </c>
      <c r="B410" s="85" t="str">
        <f>VLOOKUP('Informe Kelly'!A403,Base!A:G,7,FALSE)</f>
        <v>VARGAS MORENO MARCO ANTONIO</v>
      </c>
      <c r="C410" s="91">
        <f>'Informe Kelly'!E403</f>
        <v>40649</v>
      </c>
      <c r="D410" s="96">
        <f t="shared" si="12"/>
        <v>208</v>
      </c>
      <c r="E410" s="85" t="str">
        <f>VLOOKUP(A410,Ingreso!K:P,6,FALSE)</f>
        <v>Turno B</v>
      </c>
      <c r="F410" s="85">
        <f>IF('Informe Kelly'!H403=$A$2,'Informe Kelly'!F403,"")</f>
        <v>0.61692129629629633</v>
      </c>
      <c r="G410" s="85" t="str">
        <f>IF('Informe Kelly'!H403=$A$3,'Informe Kelly'!F403,"")</f>
        <v/>
      </c>
      <c r="H410" s="85">
        <f>IF(C410=C408,0,IF(D410=D409,0,(HLOOKUP(C410,Ingreso!$AN$10:$AU$260,VLOOKUP(A410,Ingreso!$AL$11:$AM$260,2,FALSE)))/24))</f>
        <v>0</v>
      </c>
      <c r="I410" s="77">
        <f t="shared" si="13"/>
        <v>0.3125</v>
      </c>
    </row>
    <row r="411" spans="1:9">
      <c r="A411" s="85" t="str">
        <f>VLOOKUP('Informe Kelly'!A404,Base!A:B,2,FALSE)</f>
        <v>10.572.816-6</v>
      </c>
      <c r="B411" s="85" t="str">
        <f>VLOOKUP('Informe Kelly'!A404,Base!A:G,7,FALSE)</f>
        <v>VARGAS MORENO MARCO ANTONIO</v>
      </c>
      <c r="C411" s="91">
        <f>'Informe Kelly'!E404</f>
        <v>40649</v>
      </c>
      <c r="D411" s="96">
        <f t="shared" si="12"/>
        <v>208</v>
      </c>
      <c r="E411" s="85" t="str">
        <f>VLOOKUP(A411,Ingreso!K:P,6,FALSE)</f>
        <v>Turno B</v>
      </c>
      <c r="F411" s="85" t="str">
        <f>IF('Informe Kelly'!H404=$A$2,'Informe Kelly'!F404,"")</f>
        <v/>
      </c>
      <c r="G411" s="85">
        <f>IF('Informe Kelly'!H404=$A$3,'Informe Kelly'!F404,"")</f>
        <v>0.94820601851851849</v>
      </c>
      <c r="H411" s="85">
        <f>IF(C411=C409,0,IF(D411=D410,0,(HLOOKUP(C411,Ingreso!$AN$10:$AU$260,VLOOKUP(A411,Ingreso!$AL$11:$AM$260,2,FALSE)))/24))</f>
        <v>0</v>
      </c>
      <c r="I411" s="77">
        <f t="shared" si="13"/>
        <v>0</v>
      </c>
    </row>
    <row r="412" spans="1:9">
      <c r="A412" s="85" t="str">
        <f>VLOOKUP('Informe Kelly'!A405,Base!A:B,2,FALSE)</f>
        <v>10.835.391-0</v>
      </c>
      <c r="B412" s="85" t="str">
        <f>VLOOKUP('Informe Kelly'!A405,Base!A:G,7,FALSE)</f>
        <v>SANCHEZ VASQUEZ DANIEL PATRICIO</v>
      </c>
      <c r="C412" s="91">
        <f>'Informe Kelly'!E405</f>
        <v>40644</v>
      </c>
      <c r="D412" s="96">
        <f t="shared" si="12"/>
        <v>209</v>
      </c>
      <c r="E412" s="85" t="str">
        <f>VLOOKUP(A412,Ingreso!K:P,6,FALSE)</f>
        <v>Turno A</v>
      </c>
      <c r="F412" s="85">
        <f>IF('Informe Kelly'!H405=$A$2,'Informe Kelly'!F405,"")</f>
        <v>0.33281250000000001</v>
      </c>
      <c r="G412" s="85" t="str">
        <f>IF('Informe Kelly'!H405=$A$3,'Informe Kelly'!F405,"")</f>
        <v/>
      </c>
      <c r="H412" s="85">
        <f>IF(C412=C410,0,IF(D412=D411,0,(HLOOKUP(C412,Ingreso!$AN$10:$AU$260,VLOOKUP(A412,Ingreso!$AL$11:$AM$260,2,FALSE)))/24))</f>
        <v>0</v>
      </c>
      <c r="I412" s="77">
        <f t="shared" si="13"/>
        <v>0.3125</v>
      </c>
    </row>
    <row r="413" spans="1:9">
      <c r="A413" s="85" t="str">
        <f>VLOOKUP('Informe Kelly'!A406,Base!A:B,2,FALSE)</f>
        <v>10.835.391-0</v>
      </c>
      <c r="B413" s="85" t="str">
        <f>VLOOKUP('Informe Kelly'!A406,Base!A:G,7,FALSE)</f>
        <v>SANCHEZ VASQUEZ DANIEL PATRICIO</v>
      </c>
      <c r="C413" s="91">
        <f>'Informe Kelly'!E406</f>
        <v>40644</v>
      </c>
      <c r="D413" s="96">
        <f t="shared" si="12"/>
        <v>209</v>
      </c>
      <c r="E413" s="85" t="str">
        <f>VLOOKUP(A413,Ingreso!K:P,6,FALSE)</f>
        <v>Turno A</v>
      </c>
      <c r="F413" s="85" t="str">
        <f>IF('Informe Kelly'!H406=$A$2,'Informe Kelly'!F406,"")</f>
        <v/>
      </c>
      <c r="G413" s="85">
        <f>IF('Informe Kelly'!H406=$A$3,'Informe Kelly'!F406,"")</f>
        <v>0.6337962962962963</v>
      </c>
      <c r="H413" s="85">
        <f>IF(C413=C411,0,IF(D413=D412,0,(HLOOKUP(C413,Ingreso!$AN$10:$AU$260,VLOOKUP(A413,Ingreso!$AL$11:$AM$260,2,FALSE)))/24))</f>
        <v>0</v>
      </c>
      <c r="I413" s="77">
        <f t="shared" si="13"/>
        <v>0</v>
      </c>
    </row>
    <row r="414" spans="1:9">
      <c r="A414" s="85" t="str">
        <f>VLOOKUP('Informe Kelly'!A407,Base!A:B,2,FALSE)</f>
        <v>10.835.391-0</v>
      </c>
      <c r="B414" s="85" t="str">
        <f>VLOOKUP('Informe Kelly'!A407,Base!A:G,7,FALSE)</f>
        <v>SANCHEZ VASQUEZ DANIEL PATRICIO</v>
      </c>
      <c r="C414" s="91">
        <f>'Informe Kelly'!E407</f>
        <v>40645</v>
      </c>
      <c r="D414" s="96">
        <f t="shared" si="12"/>
        <v>210</v>
      </c>
      <c r="E414" s="85" t="str">
        <f>VLOOKUP(A414,Ingreso!K:P,6,FALSE)</f>
        <v>Turno A</v>
      </c>
      <c r="F414" s="85">
        <f>IF('Informe Kelly'!H407=$A$2,'Informe Kelly'!F407,"")</f>
        <v>0.30464120370370368</v>
      </c>
      <c r="G414" s="85" t="str">
        <f>IF('Informe Kelly'!H407=$A$3,'Informe Kelly'!F407,"")</f>
        <v/>
      </c>
      <c r="H414" s="85">
        <f>IF(C414=C412,0,IF(D414=D413,0,(HLOOKUP(C414,Ingreso!$AN$10:$AU$260,VLOOKUP(A414,Ingreso!$AL$11:$AM$260,2,FALSE)))/24))</f>
        <v>0</v>
      </c>
      <c r="I414" s="77">
        <f t="shared" si="13"/>
        <v>0.3125</v>
      </c>
    </row>
    <row r="415" spans="1:9">
      <c r="A415" s="85" t="str">
        <f>VLOOKUP('Informe Kelly'!A408,Base!A:B,2,FALSE)</f>
        <v>10.835.391-0</v>
      </c>
      <c r="B415" s="85" t="str">
        <f>VLOOKUP('Informe Kelly'!A408,Base!A:G,7,FALSE)</f>
        <v>SANCHEZ VASQUEZ DANIEL PATRICIO</v>
      </c>
      <c r="C415" s="91">
        <f>'Informe Kelly'!E408</f>
        <v>40645</v>
      </c>
      <c r="D415" s="96">
        <f t="shared" si="12"/>
        <v>210</v>
      </c>
      <c r="E415" s="85" t="str">
        <f>VLOOKUP(A415,Ingreso!K:P,6,FALSE)</f>
        <v>Turno A</v>
      </c>
      <c r="F415" s="85" t="str">
        <f>IF('Informe Kelly'!H408=$A$2,'Informe Kelly'!F408,"")</f>
        <v/>
      </c>
      <c r="G415" s="85">
        <f>IF('Informe Kelly'!H408=$A$3,'Informe Kelly'!F408,"")</f>
        <v>0.62672453703703701</v>
      </c>
      <c r="H415" s="85">
        <f>IF(C415=C413,0,IF(D415=D414,0,(HLOOKUP(C415,Ingreso!$AN$10:$AU$260,VLOOKUP(A415,Ingreso!$AL$11:$AM$260,2,FALSE)))/24))</f>
        <v>0</v>
      </c>
      <c r="I415" s="77">
        <f t="shared" si="13"/>
        <v>0</v>
      </c>
    </row>
    <row r="416" spans="1:9">
      <c r="A416" s="85" t="str">
        <f>VLOOKUP('Informe Kelly'!A409,Base!A:B,2,FALSE)</f>
        <v>10.835.391-0</v>
      </c>
      <c r="B416" s="85" t="str">
        <f>VLOOKUP('Informe Kelly'!A409,Base!A:G,7,FALSE)</f>
        <v>SANCHEZ VASQUEZ DANIEL PATRICIO</v>
      </c>
      <c r="C416" s="91">
        <f>'Informe Kelly'!E409</f>
        <v>40646</v>
      </c>
      <c r="D416" s="96">
        <f t="shared" si="12"/>
        <v>211</v>
      </c>
      <c r="E416" s="85" t="str">
        <f>VLOOKUP(A416,Ingreso!K:P,6,FALSE)</f>
        <v>Turno A</v>
      </c>
      <c r="F416" s="85">
        <f>IF('Informe Kelly'!H409=$A$2,'Informe Kelly'!F409,"")</f>
        <v>0.30350694444444443</v>
      </c>
      <c r="G416" s="85" t="str">
        <f>IF('Informe Kelly'!H409=$A$3,'Informe Kelly'!F409,"")</f>
        <v/>
      </c>
      <c r="H416" s="85">
        <f>IF(C416=C414,0,IF(D416=D415,0,(HLOOKUP(C416,Ingreso!$AN$10:$AU$260,VLOOKUP(A416,Ingreso!$AL$11:$AM$260,2,FALSE)))/24))</f>
        <v>0</v>
      </c>
      <c r="I416" s="77">
        <f t="shared" si="13"/>
        <v>0.3125</v>
      </c>
    </row>
    <row r="417" spans="1:9">
      <c r="A417" s="85" t="str">
        <f>VLOOKUP('Informe Kelly'!A410,Base!A:B,2,FALSE)</f>
        <v>10.835.391-0</v>
      </c>
      <c r="B417" s="85" t="str">
        <f>VLOOKUP('Informe Kelly'!A410,Base!A:G,7,FALSE)</f>
        <v>SANCHEZ VASQUEZ DANIEL PATRICIO</v>
      </c>
      <c r="C417" s="91">
        <f>'Informe Kelly'!E410</f>
        <v>40646</v>
      </c>
      <c r="D417" s="96">
        <f t="shared" si="12"/>
        <v>211</v>
      </c>
      <c r="E417" s="85" t="str">
        <f>VLOOKUP(A417,Ingreso!K:P,6,FALSE)</f>
        <v>Turno A</v>
      </c>
      <c r="F417" s="85" t="str">
        <f>IF('Informe Kelly'!H410=$A$2,'Informe Kelly'!F410,"")</f>
        <v/>
      </c>
      <c r="G417" s="85">
        <f>IF('Informe Kelly'!H410=$A$3,'Informe Kelly'!F410,"")</f>
        <v>0.64013888888888892</v>
      </c>
      <c r="H417" s="85">
        <f>IF(C417=C415,0,IF(D417=D416,0,(HLOOKUP(C417,Ingreso!$AN$10:$AU$260,VLOOKUP(A417,Ingreso!$AL$11:$AM$260,2,FALSE)))/24))</f>
        <v>0</v>
      </c>
      <c r="I417" s="77">
        <f t="shared" si="13"/>
        <v>0</v>
      </c>
    </row>
    <row r="418" spans="1:9">
      <c r="A418" s="85" t="str">
        <f>VLOOKUP('Informe Kelly'!A411,Base!A:B,2,FALSE)</f>
        <v>10.835.391-0</v>
      </c>
      <c r="B418" s="85" t="str">
        <f>VLOOKUP('Informe Kelly'!A411,Base!A:G,7,FALSE)</f>
        <v>SANCHEZ VASQUEZ DANIEL PATRICIO</v>
      </c>
      <c r="C418" s="91">
        <f>'Informe Kelly'!E411</f>
        <v>40647</v>
      </c>
      <c r="D418" s="96">
        <f t="shared" si="12"/>
        <v>212</v>
      </c>
      <c r="E418" s="85" t="str">
        <f>VLOOKUP(A418,Ingreso!K:P,6,FALSE)</f>
        <v>Turno A</v>
      </c>
      <c r="F418" s="85">
        <f>IF('Informe Kelly'!H411=$A$2,'Informe Kelly'!F411,"")</f>
        <v>0.30040509259259257</v>
      </c>
      <c r="G418" s="85" t="str">
        <f>IF('Informe Kelly'!H411=$A$3,'Informe Kelly'!F411,"")</f>
        <v/>
      </c>
      <c r="H418" s="85">
        <f>IF(C418=C416,0,IF(D418=D417,0,(HLOOKUP(C418,Ingreso!$AN$10:$AU$260,VLOOKUP(A418,Ingreso!$AL$11:$AM$260,2,FALSE)))/24))</f>
        <v>0</v>
      </c>
      <c r="I418" s="77">
        <f t="shared" si="13"/>
        <v>0.3125</v>
      </c>
    </row>
    <row r="419" spans="1:9">
      <c r="A419" s="85" t="str">
        <f>VLOOKUP('Informe Kelly'!A412,Base!A:B,2,FALSE)</f>
        <v>10.835.391-0</v>
      </c>
      <c r="B419" s="85" t="str">
        <f>VLOOKUP('Informe Kelly'!A412,Base!A:G,7,FALSE)</f>
        <v>SANCHEZ VASQUEZ DANIEL PATRICIO</v>
      </c>
      <c r="C419" s="91">
        <f>'Informe Kelly'!E412</f>
        <v>40647</v>
      </c>
      <c r="D419" s="96">
        <f t="shared" si="12"/>
        <v>212</v>
      </c>
      <c r="E419" s="85" t="str">
        <f>VLOOKUP(A419,Ingreso!K:P,6,FALSE)</f>
        <v>Turno A</v>
      </c>
      <c r="F419" s="85" t="str">
        <f>IF('Informe Kelly'!H412=$A$2,'Informe Kelly'!F412,"")</f>
        <v/>
      </c>
      <c r="G419" s="85">
        <f>IF('Informe Kelly'!H412=$A$3,'Informe Kelly'!F412,"")</f>
        <v>0.63626157407407413</v>
      </c>
      <c r="H419" s="85">
        <f>IF(C419=C417,0,IF(D419=D418,0,(HLOOKUP(C419,Ingreso!$AN$10:$AU$260,VLOOKUP(A419,Ingreso!$AL$11:$AM$260,2,FALSE)))/24))</f>
        <v>0</v>
      </c>
      <c r="I419" s="77">
        <f t="shared" si="13"/>
        <v>0</v>
      </c>
    </row>
    <row r="420" spans="1:9">
      <c r="A420" s="85" t="str">
        <f>VLOOKUP('Informe Kelly'!A413,Base!A:B,2,FALSE)</f>
        <v>10.835.391-0</v>
      </c>
      <c r="B420" s="85" t="str">
        <f>VLOOKUP('Informe Kelly'!A413,Base!A:G,7,FALSE)</f>
        <v>SANCHEZ VASQUEZ DANIEL PATRICIO</v>
      </c>
      <c r="C420" s="91">
        <f>'Informe Kelly'!E413</f>
        <v>40648</v>
      </c>
      <c r="D420" s="96">
        <f t="shared" si="12"/>
        <v>213</v>
      </c>
      <c r="E420" s="85" t="str">
        <f>VLOOKUP(A420,Ingreso!K:P,6,FALSE)</f>
        <v>Turno A</v>
      </c>
      <c r="F420" s="85" t="str">
        <f>IF('Informe Kelly'!H413=$A$2,'Informe Kelly'!F413,"")</f>
        <v/>
      </c>
      <c r="G420" s="85">
        <f>IF('Informe Kelly'!H413=$A$3,'Informe Kelly'!F413,"")</f>
        <v>0.63063657407407414</v>
      </c>
      <c r="H420" s="85">
        <f>IF(C420=C418,0,IF(D420=D419,0,(HLOOKUP(C420,Ingreso!$AN$10:$AU$260,VLOOKUP(A420,Ingreso!$AL$11:$AM$260,2,FALSE)))/24))</f>
        <v>0</v>
      </c>
      <c r="I420" s="77">
        <f t="shared" si="13"/>
        <v>0.3125</v>
      </c>
    </row>
    <row r="421" spans="1:9">
      <c r="A421" s="85" t="str">
        <f>VLOOKUP('Informe Kelly'!A414,Base!A:B,2,FALSE)</f>
        <v>10.835.391-0</v>
      </c>
      <c r="B421" s="85" t="str">
        <f>VLOOKUP('Informe Kelly'!A414,Base!A:G,7,FALSE)</f>
        <v>SANCHEZ VASQUEZ DANIEL PATRICIO</v>
      </c>
      <c r="C421" s="91">
        <f>'Informe Kelly'!E414</f>
        <v>40648</v>
      </c>
      <c r="D421" s="96">
        <f t="shared" si="12"/>
        <v>213</v>
      </c>
      <c r="E421" s="85" t="str">
        <f>VLOOKUP(A421,Ingreso!K:P,6,FALSE)</f>
        <v>Turno A</v>
      </c>
      <c r="F421" s="85">
        <f>IF('Informe Kelly'!H414=$A$2,'Informe Kelly'!F414,"")</f>
        <v>0.33862268518518518</v>
      </c>
      <c r="G421" s="85" t="str">
        <f>IF('Informe Kelly'!H414=$A$3,'Informe Kelly'!F414,"")</f>
        <v/>
      </c>
      <c r="H421" s="85">
        <f>IF(C421=C419,0,IF(D421=D420,0,(HLOOKUP(C421,Ingreso!$AN$10:$AU$260,VLOOKUP(A421,Ingreso!$AL$11:$AM$260,2,FALSE)))/24))</f>
        <v>0</v>
      </c>
      <c r="I421" s="77">
        <f t="shared" si="13"/>
        <v>0</v>
      </c>
    </row>
    <row r="422" spans="1:9">
      <c r="A422" s="85" t="str">
        <f>VLOOKUP('Informe Kelly'!A415,Base!A:B,2,FALSE)</f>
        <v>10.835.391-0</v>
      </c>
      <c r="B422" s="85" t="str">
        <f>VLOOKUP('Informe Kelly'!A415,Base!A:G,7,FALSE)</f>
        <v>SANCHEZ VASQUEZ DANIEL PATRICIO</v>
      </c>
      <c r="C422" s="91">
        <f>'Informe Kelly'!E415</f>
        <v>40649</v>
      </c>
      <c r="D422" s="96">
        <f t="shared" si="12"/>
        <v>214</v>
      </c>
      <c r="E422" s="85" t="str">
        <f>VLOOKUP(A422,Ingreso!K:P,6,FALSE)</f>
        <v>Turno A</v>
      </c>
      <c r="F422" s="85">
        <f>IF('Informe Kelly'!H415=$A$2,'Informe Kelly'!F415,"")</f>
        <v>0.30953703703703705</v>
      </c>
      <c r="G422" s="85" t="str">
        <f>IF('Informe Kelly'!H415=$A$3,'Informe Kelly'!F415,"")</f>
        <v/>
      </c>
      <c r="H422" s="85">
        <f>IF(C422=C420,0,IF(D422=D421,0,(HLOOKUP(C422,Ingreso!$AN$10:$AU$260,VLOOKUP(A422,Ingreso!$AL$11:$AM$260,2,FALSE)))/24))</f>
        <v>0</v>
      </c>
      <c r="I422" s="77">
        <f t="shared" si="13"/>
        <v>0.3125</v>
      </c>
    </row>
    <row r="423" spans="1:9">
      <c r="A423" s="85" t="str">
        <f>VLOOKUP('Informe Kelly'!A416,Base!A:B,2,FALSE)</f>
        <v>10.835.391-0</v>
      </c>
      <c r="B423" s="85" t="str">
        <f>VLOOKUP('Informe Kelly'!A416,Base!A:G,7,FALSE)</f>
        <v>SANCHEZ VASQUEZ DANIEL PATRICIO</v>
      </c>
      <c r="C423" s="91">
        <f>'Informe Kelly'!E416</f>
        <v>40649</v>
      </c>
      <c r="D423" s="96">
        <f t="shared" si="12"/>
        <v>214</v>
      </c>
      <c r="E423" s="85" t="str">
        <f>VLOOKUP(A423,Ingreso!K:P,6,FALSE)</f>
        <v>Turno A</v>
      </c>
      <c r="F423" s="85" t="str">
        <f>IF('Informe Kelly'!H416=$A$2,'Informe Kelly'!F416,"")</f>
        <v/>
      </c>
      <c r="G423" s="85">
        <f>IF('Informe Kelly'!H416=$A$3,'Informe Kelly'!F416,"")</f>
        <v>0.62766203703703705</v>
      </c>
      <c r="H423" s="85">
        <f>IF(C423=C421,0,IF(D423=D422,0,(HLOOKUP(C423,Ingreso!$AN$10:$AU$260,VLOOKUP(A423,Ingreso!$AL$11:$AM$260,2,FALSE)))/24))</f>
        <v>0</v>
      </c>
      <c r="I423" s="77">
        <f t="shared" si="13"/>
        <v>0</v>
      </c>
    </row>
    <row r="424" spans="1:9">
      <c r="A424" s="85" t="str">
        <f>VLOOKUP('Informe Kelly'!A417,Base!A:B,2,FALSE)</f>
        <v>10.849.486-7</v>
      </c>
      <c r="B424" s="85" t="str">
        <f>VLOOKUP('Informe Kelly'!A417,Base!A:G,7,FALSE)</f>
        <v>VALDENEGRO  GARRIDO, ELVIO</v>
      </c>
      <c r="C424" s="91">
        <f>'Informe Kelly'!E417</f>
        <v>40644</v>
      </c>
      <c r="D424" s="96">
        <f t="shared" si="12"/>
        <v>215</v>
      </c>
      <c r="E424" s="85" t="e">
        <f>VLOOKUP(A424,Ingreso!K:P,6,FALSE)</f>
        <v>#N/A</v>
      </c>
      <c r="F424" s="85">
        <f>IF('Informe Kelly'!H417=$A$2,'Informe Kelly'!F417,"")</f>
        <v>0.60629629629629633</v>
      </c>
      <c r="G424" s="85" t="str">
        <f>IF('Informe Kelly'!H417=$A$3,'Informe Kelly'!F417,"")</f>
        <v/>
      </c>
      <c r="H424" s="85" t="e">
        <f>IF(C424=C422,0,IF(D424=D423,0,(HLOOKUP(C424,Ingreso!$AN$10:$AU$260,VLOOKUP(A424,Ingreso!$AL$11:$AM$260,2,FALSE)))/24))</f>
        <v>#N/A</v>
      </c>
      <c r="I424" s="77" t="e">
        <f t="shared" si="13"/>
        <v>#N/A</v>
      </c>
    </row>
    <row r="425" spans="1:9">
      <c r="A425" s="85" t="str">
        <f>VLOOKUP('Informe Kelly'!A418,Base!A:B,2,FALSE)</f>
        <v>10.849.486-7</v>
      </c>
      <c r="B425" s="85" t="str">
        <f>VLOOKUP('Informe Kelly'!A418,Base!A:G,7,FALSE)</f>
        <v>VALDENEGRO  GARRIDO, ELVIO</v>
      </c>
      <c r="C425" s="91">
        <f>'Informe Kelly'!E418</f>
        <v>40644</v>
      </c>
      <c r="D425" s="96">
        <f t="shared" si="12"/>
        <v>215</v>
      </c>
      <c r="E425" s="85" t="e">
        <f>VLOOKUP(A425,Ingreso!K:P,6,FALSE)</f>
        <v>#N/A</v>
      </c>
      <c r="F425" s="85" t="str">
        <f>IF('Informe Kelly'!H418=$A$2,'Informe Kelly'!F418,"")</f>
        <v/>
      </c>
      <c r="G425" s="85">
        <f>IF('Informe Kelly'!H418=$A$3,'Informe Kelly'!F418,"")</f>
        <v>0.94922453703703702</v>
      </c>
      <c r="H425" s="85">
        <f>IF(C425=C423,0,IF(D425=D424,0,(HLOOKUP(C425,Ingreso!$AN$10:$AU$260,VLOOKUP(A425,Ingreso!$AL$11:$AM$260,2,FALSE)))/24))</f>
        <v>0</v>
      </c>
      <c r="I425" s="77">
        <f t="shared" si="13"/>
        <v>0</v>
      </c>
    </row>
    <row r="426" spans="1:9">
      <c r="A426" s="85" t="str">
        <f>VLOOKUP('Informe Kelly'!A419,Base!A:B,2,FALSE)</f>
        <v>10.849.486-7</v>
      </c>
      <c r="B426" s="85" t="str">
        <f>VLOOKUP('Informe Kelly'!A419,Base!A:G,7,FALSE)</f>
        <v>VALDENEGRO  GARRIDO, ELVIO</v>
      </c>
      <c r="C426" s="91">
        <f>'Informe Kelly'!E419</f>
        <v>40645</v>
      </c>
      <c r="D426" s="96">
        <f t="shared" si="12"/>
        <v>216</v>
      </c>
      <c r="E426" s="85" t="e">
        <f>VLOOKUP(A426,Ingreso!K:P,6,FALSE)</f>
        <v>#N/A</v>
      </c>
      <c r="F426" s="85">
        <f>IF('Informe Kelly'!H419=$A$2,'Informe Kelly'!F419,"")</f>
        <v>0.60417824074074067</v>
      </c>
      <c r="G426" s="85" t="str">
        <f>IF('Informe Kelly'!H419=$A$3,'Informe Kelly'!F419,"")</f>
        <v/>
      </c>
      <c r="H426" s="85" t="e">
        <f>IF(C426=C424,0,IF(D426=D425,0,(HLOOKUP(C426,Ingreso!$AN$10:$AU$260,VLOOKUP(A426,Ingreso!$AL$11:$AM$260,2,FALSE)))/24))</f>
        <v>#N/A</v>
      </c>
      <c r="I426" s="77" t="e">
        <f t="shared" si="13"/>
        <v>#N/A</v>
      </c>
    </row>
    <row r="427" spans="1:9">
      <c r="A427" s="85" t="str">
        <f>VLOOKUP('Informe Kelly'!A420,Base!A:B,2,FALSE)</f>
        <v>10.849.486-7</v>
      </c>
      <c r="B427" s="85" t="str">
        <f>VLOOKUP('Informe Kelly'!A420,Base!A:G,7,FALSE)</f>
        <v>VALDENEGRO  GARRIDO, ELVIO</v>
      </c>
      <c r="C427" s="91">
        <f>'Informe Kelly'!E420</f>
        <v>40645</v>
      </c>
      <c r="D427" s="96">
        <f t="shared" si="12"/>
        <v>216</v>
      </c>
      <c r="E427" s="85" t="e">
        <f>VLOOKUP(A427,Ingreso!K:P,6,FALSE)</f>
        <v>#N/A</v>
      </c>
      <c r="F427" s="85" t="str">
        <f>IF('Informe Kelly'!H420=$A$2,'Informe Kelly'!F420,"")</f>
        <v/>
      </c>
      <c r="G427" s="85">
        <f>IF('Informe Kelly'!H420=$A$3,'Informe Kelly'!F420,"")</f>
        <v>0.94848379629629631</v>
      </c>
      <c r="H427" s="85">
        <f>IF(C427=C425,0,IF(D427=D426,0,(HLOOKUP(C427,Ingreso!$AN$10:$AU$260,VLOOKUP(A427,Ingreso!$AL$11:$AM$260,2,FALSE)))/24))</f>
        <v>0</v>
      </c>
      <c r="I427" s="77">
        <f t="shared" si="13"/>
        <v>0</v>
      </c>
    </row>
    <row r="428" spans="1:9">
      <c r="A428" s="85" t="str">
        <f>VLOOKUP('Informe Kelly'!A421,Base!A:B,2,FALSE)</f>
        <v>10.849.486-7</v>
      </c>
      <c r="B428" s="85" t="str">
        <f>VLOOKUP('Informe Kelly'!A421,Base!A:G,7,FALSE)</f>
        <v>VALDENEGRO  GARRIDO, ELVIO</v>
      </c>
      <c r="C428" s="91">
        <f>'Informe Kelly'!E421</f>
        <v>40646</v>
      </c>
      <c r="D428" s="96">
        <f t="shared" si="12"/>
        <v>217</v>
      </c>
      <c r="E428" s="85" t="e">
        <f>VLOOKUP(A428,Ingreso!K:P,6,FALSE)</f>
        <v>#N/A</v>
      </c>
      <c r="F428" s="85">
        <f>IF('Informe Kelly'!H421=$A$2,'Informe Kelly'!F421,"")</f>
        <v>0.54260416666666667</v>
      </c>
      <c r="G428" s="85" t="str">
        <f>IF('Informe Kelly'!H421=$A$3,'Informe Kelly'!F421,"")</f>
        <v/>
      </c>
      <c r="H428" s="85" t="e">
        <f>IF(C428=C426,0,IF(D428=D427,0,(HLOOKUP(C428,Ingreso!$AN$10:$AU$260,VLOOKUP(A428,Ingreso!$AL$11:$AM$260,2,FALSE)))/24))</f>
        <v>#N/A</v>
      </c>
      <c r="I428" s="77" t="e">
        <f t="shared" si="13"/>
        <v>#N/A</v>
      </c>
    </row>
    <row r="429" spans="1:9">
      <c r="A429" s="85" t="str">
        <f>VLOOKUP('Informe Kelly'!A422,Base!A:B,2,FALSE)</f>
        <v>10.849.486-7</v>
      </c>
      <c r="B429" s="85" t="str">
        <f>VLOOKUP('Informe Kelly'!A422,Base!A:G,7,FALSE)</f>
        <v>VALDENEGRO  GARRIDO, ELVIO</v>
      </c>
      <c r="C429" s="91">
        <f>'Informe Kelly'!E422</f>
        <v>40646</v>
      </c>
      <c r="D429" s="96">
        <f t="shared" si="12"/>
        <v>217</v>
      </c>
      <c r="E429" s="85" t="e">
        <f>VLOOKUP(A429,Ingreso!K:P,6,FALSE)</f>
        <v>#N/A</v>
      </c>
      <c r="F429" s="85" t="str">
        <f>IF('Informe Kelly'!H422=$A$2,'Informe Kelly'!F422,"")</f>
        <v/>
      </c>
      <c r="G429" s="85">
        <f>IF('Informe Kelly'!H422=$A$3,'Informe Kelly'!F422,"")</f>
        <v>0.94996527777777784</v>
      </c>
      <c r="H429" s="85">
        <f>IF(C429=C427,0,IF(D429=D428,0,(HLOOKUP(C429,Ingreso!$AN$10:$AU$260,VLOOKUP(A429,Ingreso!$AL$11:$AM$260,2,FALSE)))/24))</f>
        <v>0</v>
      </c>
      <c r="I429" s="77">
        <f t="shared" si="13"/>
        <v>0</v>
      </c>
    </row>
    <row r="430" spans="1:9">
      <c r="A430" s="85" t="str">
        <f>VLOOKUP('Informe Kelly'!A423,Base!A:B,2,FALSE)</f>
        <v>10.849.486-7</v>
      </c>
      <c r="B430" s="85" t="str">
        <f>VLOOKUP('Informe Kelly'!A423,Base!A:G,7,FALSE)</f>
        <v>VALDENEGRO  GARRIDO, ELVIO</v>
      </c>
      <c r="C430" s="91">
        <f>'Informe Kelly'!E423</f>
        <v>40647</v>
      </c>
      <c r="D430" s="96">
        <f t="shared" si="12"/>
        <v>218</v>
      </c>
      <c r="E430" s="85" t="e">
        <f>VLOOKUP(A430,Ingreso!K:P,6,FALSE)</f>
        <v>#N/A</v>
      </c>
      <c r="F430" s="85">
        <f>IF('Informe Kelly'!H423=$A$2,'Informe Kelly'!F423,"")</f>
        <v>0.60456018518518517</v>
      </c>
      <c r="G430" s="85" t="str">
        <f>IF('Informe Kelly'!H423=$A$3,'Informe Kelly'!F423,"")</f>
        <v/>
      </c>
      <c r="H430" s="85" t="e">
        <f>IF(C430=C428,0,IF(D430=D429,0,(HLOOKUP(C430,Ingreso!$AN$10:$AU$260,VLOOKUP(A430,Ingreso!$AL$11:$AM$260,2,FALSE)))/24))</f>
        <v>#N/A</v>
      </c>
      <c r="I430" s="77" t="e">
        <f t="shared" si="13"/>
        <v>#N/A</v>
      </c>
    </row>
    <row r="431" spans="1:9">
      <c r="A431" s="85" t="str">
        <f>VLOOKUP('Informe Kelly'!A424,Base!A:B,2,FALSE)</f>
        <v>10.849.486-7</v>
      </c>
      <c r="B431" s="85" t="str">
        <f>VLOOKUP('Informe Kelly'!A424,Base!A:G,7,FALSE)</f>
        <v>VALDENEGRO  GARRIDO, ELVIO</v>
      </c>
      <c r="C431" s="91">
        <f>'Informe Kelly'!E424</f>
        <v>40647</v>
      </c>
      <c r="D431" s="96">
        <f t="shared" si="12"/>
        <v>218</v>
      </c>
      <c r="E431" s="85" t="e">
        <f>VLOOKUP(A431,Ingreso!K:P,6,FALSE)</f>
        <v>#N/A</v>
      </c>
      <c r="F431" s="85" t="str">
        <f>IF('Informe Kelly'!H424=$A$2,'Informe Kelly'!F424,"")</f>
        <v/>
      </c>
      <c r="G431" s="85">
        <f>IF('Informe Kelly'!H424=$A$3,'Informe Kelly'!F424,"")</f>
        <v>0.95010416666666664</v>
      </c>
      <c r="H431" s="85">
        <f>IF(C431=C429,0,IF(D431=D430,0,(HLOOKUP(C431,Ingreso!$AN$10:$AU$260,VLOOKUP(A431,Ingreso!$AL$11:$AM$260,2,FALSE)))/24))</f>
        <v>0</v>
      </c>
      <c r="I431" s="77">
        <f t="shared" si="13"/>
        <v>0</v>
      </c>
    </row>
    <row r="432" spans="1:9">
      <c r="A432" s="85" t="str">
        <f>VLOOKUP('Informe Kelly'!A425,Base!A:B,2,FALSE)</f>
        <v>10.849.486-7</v>
      </c>
      <c r="B432" s="85" t="str">
        <f>VLOOKUP('Informe Kelly'!A425,Base!A:G,7,FALSE)</f>
        <v>VALDENEGRO  GARRIDO, ELVIO</v>
      </c>
      <c r="C432" s="91">
        <f>'Informe Kelly'!E425</f>
        <v>40648</v>
      </c>
      <c r="D432" s="96">
        <f t="shared" si="12"/>
        <v>219</v>
      </c>
      <c r="E432" s="85" t="e">
        <f>VLOOKUP(A432,Ingreso!K:P,6,FALSE)</f>
        <v>#N/A</v>
      </c>
      <c r="F432" s="85" t="str">
        <f>IF('Informe Kelly'!H425=$A$2,'Informe Kelly'!F425,"")</f>
        <v/>
      </c>
      <c r="G432" s="85">
        <f>IF('Informe Kelly'!H425=$A$3,'Informe Kelly'!F425,"")</f>
        <v>0.95008101851851856</v>
      </c>
      <c r="H432" s="85" t="e">
        <f>IF(C432=C430,0,IF(D432=D431,0,(HLOOKUP(C432,Ingreso!$AN$10:$AU$260,VLOOKUP(A432,Ingreso!$AL$11:$AM$260,2,FALSE)))/24))</f>
        <v>#N/A</v>
      </c>
      <c r="I432" s="77" t="e">
        <f t="shared" si="13"/>
        <v>#N/A</v>
      </c>
    </row>
    <row r="433" spans="1:9">
      <c r="A433" s="85" t="str">
        <f>VLOOKUP('Informe Kelly'!A426,Base!A:B,2,FALSE)</f>
        <v>10.849.486-7</v>
      </c>
      <c r="B433" s="85" t="str">
        <f>VLOOKUP('Informe Kelly'!A426,Base!A:G,7,FALSE)</f>
        <v>VALDENEGRO  GARRIDO, ELVIO</v>
      </c>
      <c r="C433" s="91">
        <f>'Informe Kelly'!E426</f>
        <v>40648</v>
      </c>
      <c r="D433" s="96">
        <f t="shared" si="12"/>
        <v>219</v>
      </c>
      <c r="E433" s="85" t="e">
        <f>VLOOKUP(A433,Ingreso!K:P,6,FALSE)</f>
        <v>#N/A</v>
      </c>
      <c r="F433" s="85">
        <f>IF('Informe Kelly'!H426=$A$2,'Informe Kelly'!F426,"")</f>
        <v>0.60755787037037035</v>
      </c>
      <c r="G433" s="85" t="str">
        <f>IF('Informe Kelly'!H426=$A$3,'Informe Kelly'!F426,"")</f>
        <v/>
      </c>
      <c r="H433" s="85">
        <f>IF(C433=C431,0,IF(D433=D432,0,(HLOOKUP(C433,Ingreso!$AN$10:$AU$260,VLOOKUP(A433,Ingreso!$AL$11:$AM$260,2,FALSE)))/24))</f>
        <v>0</v>
      </c>
      <c r="I433" s="77">
        <f t="shared" si="13"/>
        <v>0</v>
      </c>
    </row>
    <row r="434" spans="1:9">
      <c r="A434" s="85" t="str">
        <f>VLOOKUP('Informe Kelly'!A427,Base!A:B,2,FALSE)</f>
        <v>10.849.486-7</v>
      </c>
      <c r="B434" s="85" t="str">
        <f>VLOOKUP('Informe Kelly'!A427,Base!A:G,7,FALSE)</f>
        <v>VALDENEGRO  GARRIDO, ELVIO</v>
      </c>
      <c r="C434" s="91">
        <f>'Informe Kelly'!E427</f>
        <v>40649</v>
      </c>
      <c r="D434" s="96">
        <f t="shared" si="12"/>
        <v>220</v>
      </c>
      <c r="E434" s="85" t="e">
        <f>VLOOKUP(A434,Ingreso!K:P,6,FALSE)</f>
        <v>#N/A</v>
      </c>
      <c r="F434" s="85">
        <f>IF('Informe Kelly'!H427=$A$2,'Informe Kelly'!F427,"")</f>
        <v>0.61503472222222222</v>
      </c>
      <c r="G434" s="85" t="str">
        <f>IF('Informe Kelly'!H427=$A$3,'Informe Kelly'!F427,"")</f>
        <v/>
      </c>
      <c r="H434" s="85" t="e">
        <f>IF(C434=C432,0,IF(D434=D433,0,(HLOOKUP(C434,Ingreso!$AN$10:$AU$260,VLOOKUP(A434,Ingreso!$AL$11:$AM$260,2,FALSE)))/24))</f>
        <v>#N/A</v>
      </c>
      <c r="I434" s="77" t="e">
        <f t="shared" si="13"/>
        <v>#N/A</v>
      </c>
    </row>
    <row r="435" spans="1:9">
      <c r="A435" s="85" t="str">
        <f>VLOOKUP('Informe Kelly'!A428,Base!A:B,2,FALSE)</f>
        <v>10.849.486-7</v>
      </c>
      <c r="B435" s="85" t="str">
        <f>VLOOKUP('Informe Kelly'!A428,Base!A:G,7,FALSE)</f>
        <v>VALDENEGRO  GARRIDO, ELVIO</v>
      </c>
      <c r="C435" s="91">
        <f>'Informe Kelly'!E428</f>
        <v>40649</v>
      </c>
      <c r="D435" s="96">
        <f t="shared" si="12"/>
        <v>220</v>
      </c>
      <c r="E435" s="85" t="e">
        <f>VLOOKUP(A435,Ingreso!K:P,6,FALSE)</f>
        <v>#N/A</v>
      </c>
      <c r="F435" s="85" t="str">
        <f>IF('Informe Kelly'!H428=$A$2,'Informe Kelly'!F428,"")</f>
        <v/>
      </c>
      <c r="G435" s="85">
        <f>IF('Informe Kelly'!H428=$A$3,'Informe Kelly'!F428,"")</f>
        <v>0.955011574074074</v>
      </c>
      <c r="H435" s="85">
        <f>IF(C435=C433,0,IF(D435=D434,0,(HLOOKUP(C435,Ingreso!$AN$10:$AU$260,VLOOKUP(A435,Ingreso!$AL$11:$AM$260,2,FALSE)))/24))</f>
        <v>0</v>
      </c>
      <c r="I435" s="77">
        <f t="shared" si="13"/>
        <v>0</v>
      </c>
    </row>
    <row r="436" spans="1:9">
      <c r="A436" s="85" t="str">
        <f>VLOOKUP('Informe Kelly'!A429,Base!A:B,2,FALSE)</f>
        <v>10.869.222-7</v>
      </c>
      <c r="B436" s="85" t="str">
        <f>VLOOKUP('Informe Kelly'!A429,Base!A:G,7,FALSE)</f>
        <v>MADRID PINTO MARCO ANTONIO</v>
      </c>
      <c r="C436" s="91">
        <f>'Informe Kelly'!E429</f>
        <v>40645</v>
      </c>
      <c r="D436" s="96">
        <f t="shared" si="12"/>
        <v>221</v>
      </c>
      <c r="E436" s="85" t="str">
        <f>VLOOKUP(A436,Ingreso!K:P,6,FALSE)</f>
        <v>Turno B</v>
      </c>
      <c r="F436" s="85">
        <f>IF('Informe Kelly'!H429=$A$2,'Informe Kelly'!F429,"")</f>
        <v>0.61715277777777777</v>
      </c>
      <c r="G436" s="85" t="str">
        <f>IF('Informe Kelly'!H429=$A$3,'Informe Kelly'!F429,"")</f>
        <v/>
      </c>
      <c r="H436" s="85">
        <f>IF(C436=C434,0,IF(D436=D435,0,(HLOOKUP(C436,Ingreso!$AN$10:$AU$260,VLOOKUP(A436,Ingreso!$AL$11:$AM$260,2,FALSE)))/24))</f>
        <v>0</v>
      </c>
      <c r="I436" s="77">
        <f t="shared" si="13"/>
        <v>0.3125</v>
      </c>
    </row>
    <row r="437" spans="1:9">
      <c r="A437" s="85" t="str">
        <f>VLOOKUP('Informe Kelly'!A430,Base!A:B,2,FALSE)</f>
        <v>10.869.222-7</v>
      </c>
      <c r="B437" s="85" t="str">
        <f>VLOOKUP('Informe Kelly'!A430,Base!A:G,7,FALSE)</f>
        <v>MADRID PINTO MARCO ANTONIO</v>
      </c>
      <c r="C437" s="91">
        <f>'Informe Kelly'!E430</f>
        <v>40645</v>
      </c>
      <c r="D437" s="96">
        <f t="shared" si="12"/>
        <v>221</v>
      </c>
      <c r="E437" s="85" t="str">
        <f>VLOOKUP(A437,Ingreso!K:P,6,FALSE)</f>
        <v>Turno B</v>
      </c>
      <c r="F437" s="85" t="str">
        <f>IF('Informe Kelly'!H430=$A$2,'Informe Kelly'!F430,"")</f>
        <v/>
      </c>
      <c r="G437" s="85">
        <f>IF('Informe Kelly'!H430=$A$3,'Informe Kelly'!F430,"")</f>
        <v>0.93587962962962967</v>
      </c>
      <c r="H437" s="85">
        <f>IF(C437=C435,0,IF(D437=D436,0,(HLOOKUP(C437,Ingreso!$AN$10:$AU$260,VLOOKUP(A437,Ingreso!$AL$11:$AM$260,2,FALSE)))/24))</f>
        <v>0</v>
      </c>
      <c r="I437" s="77">
        <f t="shared" si="13"/>
        <v>0</v>
      </c>
    </row>
    <row r="438" spans="1:9">
      <c r="A438" s="85" t="str">
        <f>VLOOKUP('Informe Kelly'!A431,Base!A:B,2,FALSE)</f>
        <v>10.869.222-7</v>
      </c>
      <c r="B438" s="85" t="str">
        <f>VLOOKUP('Informe Kelly'!A431,Base!A:G,7,FALSE)</f>
        <v>MADRID PINTO MARCO ANTONIO</v>
      </c>
      <c r="C438" s="91">
        <f>'Informe Kelly'!E431</f>
        <v>40646</v>
      </c>
      <c r="D438" s="96">
        <f t="shared" si="12"/>
        <v>222</v>
      </c>
      <c r="E438" s="85" t="str">
        <f>VLOOKUP(A438,Ingreso!K:P,6,FALSE)</f>
        <v>Turno B</v>
      </c>
      <c r="F438" s="85">
        <f>IF('Informe Kelly'!H431=$A$2,'Informe Kelly'!F431,"")</f>
        <v>0.61866898148148153</v>
      </c>
      <c r="G438" s="85" t="str">
        <f>IF('Informe Kelly'!H431=$A$3,'Informe Kelly'!F431,"")</f>
        <v/>
      </c>
      <c r="H438" s="85">
        <f>IF(C438=C436,0,IF(D438=D437,0,(HLOOKUP(C438,Ingreso!$AN$10:$AU$260,VLOOKUP(A438,Ingreso!$AL$11:$AM$260,2,FALSE)))/24))</f>
        <v>0</v>
      </c>
      <c r="I438" s="77">
        <f t="shared" si="13"/>
        <v>0.3125</v>
      </c>
    </row>
    <row r="439" spans="1:9">
      <c r="A439" s="85" t="str">
        <f>VLOOKUP('Informe Kelly'!A432,Base!A:B,2,FALSE)</f>
        <v>10.869.222-7</v>
      </c>
      <c r="B439" s="85" t="str">
        <f>VLOOKUP('Informe Kelly'!A432,Base!A:G,7,FALSE)</f>
        <v>MADRID PINTO MARCO ANTONIO</v>
      </c>
      <c r="C439" s="91">
        <f>'Informe Kelly'!E432</f>
        <v>40646</v>
      </c>
      <c r="D439" s="96">
        <f t="shared" si="12"/>
        <v>222</v>
      </c>
      <c r="E439" s="85" t="str">
        <f>VLOOKUP(A439,Ingreso!K:P,6,FALSE)</f>
        <v>Turno B</v>
      </c>
      <c r="F439" s="85" t="str">
        <f>IF('Informe Kelly'!H432=$A$2,'Informe Kelly'!F432,"")</f>
        <v/>
      </c>
      <c r="G439" s="85">
        <f>IF('Informe Kelly'!H432=$A$3,'Informe Kelly'!F432,"")</f>
        <v>0.93429398148148157</v>
      </c>
      <c r="H439" s="85">
        <f>IF(C439=C437,0,IF(D439=D438,0,(HLOOKUP(C439,Ingreso!$AN$10:$AU$260,VLOOKUP(A439,Ingreso!$AL$11:$AM$260,2,FALSE)))/24))</f>
        <v>0</v>
      </c>
      <c r="I439" s="77">
        <f t="shared" si="13"/>
        <v>0</v>
      </c>
    </row>
    <row r="440" spans="1:9">
      <c r="A440" s="85" t="str">
        <f>VLOOKUP('Informe Kelly'!A433,Base!A:B,2,FALSE)</f>
        <v>10.869.222-7</v>
      </c>
      <c r="B440" s="85" t="str">
        <f>VLOOKUP('Informe Kelly'!A433,Base!A:G,7,FALSE)</f>
        <v>MADRID PINTO MARCO ANTONIO</v>
      </c>
      <c r="C440" s="91">
        <f>'Informe Kelly'!E433</f>
        <v>40647</v>
      </c>
      <c r="D440" s="96">
        <f t="shared" si="12"/>
        <v>223</v>
      </c>
      <c r="E440" s="85" t="str">
        <f>VLOOKUP(A440,Ingreso!K:P,6,FALSE)</f>
        <v>Turno B</v>
      </c>
      <c r="F440" s="85">
        <f>IF('Informe Kelly'!H433=$A$2,'Informe Kelly'!F433,"")</f>
        <v>0.62002314814814818</v>
      </c>
      <c r="G440" s="85" t="str">
        <f>IF('Informe Kelly'!H433=$A$3,'Informe Kelly'!F433,"")</f>
        <v/>
      </c>
      <c r="H440" s="85">
        <f>IF(C440=C438,0,IF(D440=D439,0,(HLOOKUP(C440,Ingreso!$AN$10:$AU$260,VLOOKUP(A440,Ingreso!$AL$11:$AM$260,2,FALSE)))/24))</f>
        <v>0</v>
      </c>
      <c r="I440" s="77">
        <f t="shared" si="13"/>
        <v>0.3125</v>
      </c>
    </row>
    <row r="441" spans="1:9">
      <c r="A441" s="85" t="str">
        <f>VLOOKUP('Informe Kelly'!A434,Base!A:B,2,FALSE)</f>
        <v>10.869.222-7</v>
      </c>
      <c r="B441" s="85" t="str">
        <f>VLOOKUP('Informe Kelly'!A434,Base!A:G,7,FALSE)</f>
        <v>MADRID PINTO MARCO ANTONIO</v>
      </c>
      <c r="C441" s="91">
        <f>'Informe Kelly'!E434</f>
        <v>40647</v>
      </c>
      <c r="D441" s="96">
        <f t="shared" si="12"/>
        <v>223</v>
      </c>
      <c r="E441" s="85" t="str">
        <f>VLOOKUP(A441,Ingreso!K:P,6,FALSE)</f>
        <v>Turno B</v>
      </c>
      <c r="F441" s="85" t="str">
        <f>IF('Informe Kelly'!H434=$A$2,'Informe Kelly'!F434,"")</f>
        <v/>
      </c>
      <c r="G441" s="85">
        <f>IF('Informe Kelly'!H434=$A$3,'Informe Kelly'!F434,"")</f>
        <v>0.93570601851851853</v>
      </c>
      <c r="H441" s="85">
        <f>IF(C441=C439,0,IF(D441=D440,0,(HLOOKUP(C441,Ingreso!$AN$10:$AU$260,VLOOKUP(A441,Ingreso!$AL$11:$AM$260,2,FALSE)))/24))</f>
        <v>0</v>
      </c>
      <c r="I441" s="77">
        <f t="shared" si="13"/>
        <v>0</v>
      </c>
    </row>
    <row r="442" spans="1:9">
      <c r="A442" s="85" t="str">
        <f>VLOOKUP('Informe Kelly'!A435,Base!A:B,2,FALSE)</f>
        <v>10.869.222-7</v>
      </c>
      <c r="B442" s="85" t="str">
        <f>VLOOKUP('Informe Kelly'!A435,Base!A:G,7,FALSE)</f>
        <v>MADRID PINTO MARCO ANTONIO</v>
      </c>
      <c r="C442" s="91">
        <f>'Informe Kelly'!E435</f>
        <v>40648</v>
      </c>
      <c r="D442" s="96">
        <f t="shared" si="12"/>
        <v>224</v>
      </c>
      <c r="E442" s="85" t="str">
        <f>VLOOKUP(A442,Ingreso!K:P,6,FALSE)</f>
        <v>Turno B</v>
      </c>
      <c r="F442" s="85">
        <f>IF('Informe Kelly'!H435=$A$2,'Informe Kelly'!F435,"")</f>
        <v>0.61910879629629634</v>
      </c>
      <c r="G442" s="85" t="str">
        <f>IF('Informe Kelly'!H435=$A$3,'Informe Kelly'!F435,"")</f>
        <v/>
      </c>
      <c r="H442" s="85">
        <f>IF(C442=C440,0,IF(D442=D441,0,(HLOOKUP(C442,Ingreso!$AN$10:$AU$260,VLOOKUP(A442,Ingreso!$AL$11:$AM$260,2,FALSE)))/24))</f>
        <v>0</v>
      </c>
      <c r="I442" s="77">
        <f t="shared" si="13"/>
        <v>0.3125</v>
      </c>
    </row>
    <row r="443" spans="1:9">
      <c r="A443" s="85" t="str">
        <f>VLOOKUP('Informe Kelly'!A436,Base!A:B,2,FALSE)</f>
        <v>10.869.222-7</v>
      </c>
      <c r="B443" s="85" t="str">
        <f>VLOOKUP('Informe Kelly'!A436,Base!A:G,7,FALSE)</f>
        <v>MADRID PINTO MARCO ANTONIO</v>
      </c>
      <c r="C443" s="91">
        <f>'Informe Kelly'!E436</f>
        <v>40648</v>
      </c>
      <c r="D443" s="96">
        <f t="shared" si="12"/>
        <v>224</v>
      </c>
      <c r="E443" s="85" t="str">
        <f>VLOOKUP(A443,Ingreso!K:P,6,FALSE)</f>
        <v>Turno B</v>
      </c>
      <c r="F443" s="85" t="str">
        <f>IF('Informe Kelly'!H436=$A$2,'Informe Kelly'!F436,"")</f>
        <v/>
      </c>
      <c r="G443" s="85">
        <f>IF('Informe Kelly'!H436=$A$3,'Informe Kelly'!F436,"")</f>
        <v>0.93467592592592597</v>
      </c>
      <c r="H443" s="85">
        <f>IF(C443=C441,0,IF(D443=D442,0,(HLOOKUP(C443,Ingreso!$AN$10:$AU$260,VLOOKUP(A443,Ingreso!$AL$11:$AM$260,2,FALSE)))/24))</f>
        <v>0</v>
      </c>
      <c r="I443" s="77">
        <f t="shared" si="13"/>
        <v>0</v>
      </c>
    </row>
    <row r="444" spans="1:9">
      <c r="A444" s="85" t="str">
        <f>VLOOKUP('Informe Kelly'!A437,Base!A:B,2,FALSE)</f>
        <v>10.869.222-7</v>
      </c>
      <c r="B444" s="85" t="str">
        <f>VLOOKUP('Informe Kelly'!A437,Base!A:G,7,FALSE)</f>
        <v>MADRID PINTO MARCO ANTONIO</v>
      </c>
      <c r="C444" s="91">
        <f>'Informe Kelly'!E437</f>
        <v>40649</v>
      </c>
      <c r="D444" s="96">
        <f t="shared" si="12"/>
        <v>225</v>
      </c>
      <c r="E444" s="85" t="str">
        <f>VLOOKUP(A444,Ingreso!K:P,6,FALSE)</f>
        <v>Turno B</v>
      </c>
      <c r="F444" s="85" t="str">
        <f>IF('Informe Kelly'!H437=$A$2,'Informe Kelly'!F437,"")</f>
        <v/>
      </c>
      <c r="G444" s="85">
        <f>IF('Informe Kelly'!H437=$A$3,'Informe Kelly'!F437,"")</f>
        <v>0.93452546296296291</v>
      </c>
      <c r="H444" s="85">
        <f>IF(C444=C442,0,IF(D444=D443,0,(HLOOKUP(C444,Ingreso!$AN$10:$AU$260,VLOOKUP(A444,Ingreso!$AL$11:$AM$260,2,FALSE)))/24))</f>
        <v>0</v>
      </c>
      <c r="I444" s="77">
        <f t="shared" si="13"/>
        <v>0.3125</v>
      </c>
    </row>
    <row r="445" spans="1:9">
      <c r="A445" s="85" t="str">
        <f>VLOOKUP('Informe Kelly'!A438,Base!A:B,2,FALSE)</f>
        <v>10.869.222-7</v>
      </c>
      <c r="B445" s="85" t="str">
        <f>VLOOKUP('Informe Kelly'!A438,Base!A:G,7,FALSE)</f>
        <v>MADRID PINTO MARCO ANTONIO</v>
      </c>
      <c r="C445" s="91">
        <f>'Informe Kelly'!E438</f>
        <v>40649</v>
      </c>
      <c r="D445" s="96">
        <f t="shared" si="12"/>
        <v>225</v>
      </c>
      <c r="E445" s="85" t="str">
        <f>VLOOKUP(A445,Ingreso!K:P,6,FALSE)</f>
        <v>Turno B</v>
      </c>
      <c r="F445" s="85">
        <f>IF('Informe Kelly'!H438=$A$2,'Informe Kelly'!F438,"")</f>
        <v>0.60996527777777776</v>
      </c>
      <c r="G445" s="85" t="str">
        <f>IF('Informe Kelly'!H438=$A$3,'Informe Kelly'!F438,"")</f>
        <v/>
      </c>
      <c r="H445" s="85">
        <f>IF(C445=C443,0,IF(D445=D444,0,(HLOOKUP(C445,Ingreso!$AN$10:$AU$260,VLOOKUP(A445,Ingreso!$AL$11:$AM$260,2,FALSE)))/24))</f>
        <v>0</v>
      </c>
      <c r="I445" s="77">
        <f t="shared" si="13"/>
        <v>0</v>
      </c>
    </row>
    <row r="446" spans="1:9">
      <c r="A446" s="85" t="str">
        <f>VLOOKUP('Informe Kelly'!A439,Base!A:B,2,FALSE)</f>
        <v>10.970.380-K</v>
      </c>
      <c r="B446" s="85" t="str">
        <f>VLOOKUP('Informe Kelly'!A439,Base!A:G,7,FALSE)</f>
        <v>LEIVA MUÑOZ JUAN ENRIQUE</v>
      </c>
      <c r="C446" s="91">
        <f>'Informe Kelly'!E439</f>
        <v>40644</v>
      </c>
      <c r="D446" s="96">
        <f t="shared" si="12"/>
        <v>226</v>
      </c>
      <c r="E446" s="85" t="str">
        <f>VLOOKUP(A446,Ingreso!K:P,6,FALSE)</f>
        <v>Turno C</v>
      </c>
      <c r="F446" s="85">
        <f>IF('Informe Kelly'!H439=$A$2,'Informe Kelly'!F439,"")</f>
        <v>0.92774305555555558</v>
      </c>
      <c r="G446" s="85" t="str">
        <f>IF('Informe Kelly'!H439=$A$3,'Informe Kelly'!F439,"")</f>
        <v/>
      </c>
      <c r="H446" s="85">
        <f>IF(C446=C444,0,IF(D446=D445,0,(HLOOKUP(C446,Ingreso!$AN$10:$AU$260,VLOOKUP(A446,Ingreso!$AL$11:$AM$260,2,FALSE)))/24))</f>
        <v>0</v>
      </c>
      <c r="I446" s="77">
        <f t="shared" si="13"/>
        <v>0.375</v>
      </c>
    </row>
    <row r="447" spans="1:9">
      <c r="A447" s="85" t="str">
        <f>VLOOKUP('Informe Kelly'!A440,Base!A:B,2,FALSE)</f>
        <v>10.970.380-K</v>
      </c>
      <c r="B447" s="85" t="str">
        <f>VLOOKUP('Informe Kelly'!A440,Base!A:G,7,FALSE)</f>
        <v>LEIVA MUÑOZ JUAN ENRIQUE</v>
      </c>
      <c r="C447" s="91">
        <f>'Informe Kelly'!E440</f>
        <v>40645</v>
      </c>
      <c r="D447" s="96">
        <f t="shared" si="12"/>
        <v>227</v>
      </c>
      <c r="E447" s="85" t="str">
        <f>VLOOKUP(A447,Ingreso!K:P,6,FALSE)</f>
        <v>Turno C</v>
      </c>
      <c r="F447" s="85" t="str">
        <f>IF('Informe Kelly'!H440=$A$2,'Informe Kelly'!F440,"")</f>
        <v/>
      </c>
      <c r="G447" s="85">
        <f>IF('Informe Kelly'!H440=$A$3,'Informe Kelly'!F440,"")</f>
        <v>0.31631944444444443</v>
      </c>
      <c r="H447" s="85">
        <f>IF(C447=C445,0,IF(D447=D446,0,(HLOOKUP(C447,Ingreso!$AN$10:$AU$260,VLOOKUP(A447,Ingreso!$AL$11:$AM$260,2,FALSE)))/24))</f>
        <v>0</v>
      </c>
      <c r="I447" s="77">
        <f t="shared" si="13"/>
        <v>0.375</v>
      </c>
    </row>
    <row r="448" spans="1:9">
      <c r="A448" s="85" t="str">
        <f>VLOOKUP('Informe Kelly'!A441,Base!A:B,2,FALSE)</f>
        <v>10.970.380-K</v>
      </c>
      <c r="B448" s="85" t="str">
        <f>VLOOKUP('Informe Kelly'!A441,Base!A:G,7,FALSE)</f>
        <v>LEIVA MUÑOZ JUAN ENRIQUE</v>
      </c>
      <c r="C448" s="91">
        <f>'Informe Kelly'!E441</f>
        <v>40645</v>
      </c>
      <c r="D448" s="96">
        <f t="shared" si="12"/>
        <v>227</v>
      </c>
      <c r="E448" s="85" t="str">
        <f>VLOOKUP(A448,Ingreso!K:P,6,FALSE)</f>
        <v>Turno C</v>
      </c>
      <c r="F448" s="85">
        <f>IF('Informe Kelly'!H441=$A$2,'Informe Kelly'!F441,"")</f>
        <v>0.92920138888888892</v>
      </c>
      <c r="G448" s="85" t="str">
        <f>IF('Informe Kelly'!H441=$A$3,'Informe Kelly'!F441,"")</f>
        <v/>
      </c>
      <c r="H448" s="85">
        <f>IF(C448=C446,0,IF(D448=D447,0,(HLOOKUP(C448,Ingreso!$AN$10:$AU$260,VLOOKUP(A448,Ingreso!$AL$11:$AM$260,2,FALSE)))/24))</f>
        <v>0</v>
      </c>
      <c r="I448" s="77">
        <f t="shared" si="13"/>
        <v>0</v>
      </c>
    </row>
    <row r="449" spans="1:9">
      <c r="A449" s="85" t="str">
        <f>VLOOKUP('Informe Kelly'!A442,Base!A:B,2,FALSE)</f>
        <v>10.970.380-K</v>
      </c>
      <c r="B449" s="85" t="str">
        <f>VLOOKUP('Informe Kelly'!A442,Base!A:G,7,FALSE)</f>
        <v>LEIVA MUÑOZ JUAN ENRIQUE</v>
      </c>
      <c r="C449" s="91">
        <f>'Informe Kelly'!E442</f>
        <v>40646</v>
      </c>
      <c r="D449" s="96">
        <f t="shared" si="12"/>
        <v>228</v>
      </c>
      <c r="E449" s="85" t="str">
        <f>VLOOKUP(A449,Ingreso!K:P,6,FALSE)</f>
        <v>Turno C</v>
      </c>
      <c r="F449" s="85" t="str">
        <f>IF('Informe Kelly'!H442=$A$2,'Informe Kelly'!F442,"")</f>
        <v/>
      </c>
      <c r="G449" s="85">
        <f>IF('Informe Kelly'!H442=$A$3,'Informe Kelly'!F442,"")</f>
        <v>0.31649305555555557</v>
      </c>
      <c r="H449" s="85">
        <f>IF(C449=C447,0,IF(D449=D448,0,(HLOOKUP(C449,Ingreso!$AN$10:$AU$260,VLOOKUP(A449,Ingreso!$AL$11:$AM$260,2,FALSE)))/24))</f>
        <v>0</v>
      </c>
      <c r="I449" s="77">
        <f t="shared" si="13"/>
        <v>0.375</v>
      </c>
    </row>
    <row r="450" spans="1:9">
      <c r="A450" s="85" t="str">
        <f>VLOOKUP('Informe Kelly'!A443,Base!A:B,2,FALSE)</f>
        <v>10.970.380-K</v>
      </c>
      <c r="B450" s="85" t="str">
        <f>VLOOKUP('Informe Kelly'!A443,Base!A:G,7,FALSE)</f>
        <v>LEIVA MUÑOZ JUAN ENRIQUE</v>
      </c>
      <c r="C450" s="91">
        <f>'Informe Kelly'!E443</f>
        <v>40646</v>
      </c>
      <c r="D450" s="96">
        <f t="shared" si="12"/>
        <v>228</v>
      </c>
      <c r="E450" s="85" t="str">
        <f>VLOOKUP(A450,Ingreso!K:P,6,FALSE)</f>
        <v>Turno C</v>
      </c>
      <c r="F450" s="85">
        <f>IF('Informe Kelly'!H443=$A$2,'Informe Kelly'!F443,"")</f>
        <v>0.92723379629629632</v>
      </c>
      <c r="G450" s="85" t="str">
        <f>IF('Informe Kelly'!H443=$A$3,'Informe Kelly'!F443,"")</f>
        <v/>
      </c>
      <c r="H450" s="85">
        <f>IF(C450=C448,0,IF(D450=D449,0,(HLOOKUP(C450,Ingreso!$AN$10:$AU$260,VLOOKUP(A450,Ingreso!$AL$11:$AM$260,2,FALSE)))/24))</f>
        <v>0</v>
      </c>
      <c r="I450" s="77">
        <f t="shared" si="13"/>
        <v>0</v>
      </c>
    </row>
    <row r="451" spans="1:9">
      <c r="A451" s="85" t="str">
        <f>VLOOKUP('Informe Kelly'!A444,Base!A:B,2,FALSE)</f>
        <v>10.970.380-K</v>
      </c>
      <c r="B451" s="85" t="str">
        <f>VLOOKUP('Informe Kelly'!A444,Base!A:G,7,FALSE)</f>
        <v>LEIVA MUÑOZ JUAN ENRIQUE</v>
      </c>
      <c r="C451" s="91">
        <f>'Informe Kelly'!E444</f>
        <v>40647</v>
      </c>
      <c r="D451" s="96">
        <f t="shared" si="12"/>
        <v>229</v>
      </c>
      <c r="E451" s="85" t="str">
        <f>VLOOKUP(A451,Ingreso!K:P,6,FALSE)</f>
        <v>Turno C</v>
      </c>
      <c r="F451" s="85" t="str">
        <f>IF('Informe Kelly'!H444=$A$2,'Informe Kelly'!F444,"")</f>
        <v/>
      </c>
      <c r="G451" s="85">
        <f>IF('Informe Kelly'!H444=$A$3,'Informe Kelly'!F444,"")</f>
        <v>0.31503472222222223</v>
      </c>
      <c r="H451" s="85">
        <f>IF(C451=C449,0,IF(D451=D450,0,(HLOOKUP(C451,Ingreso!$AN$10:$AU$260,VLOOKUP(A451,Ingreso!$AL$11:$AM$260,2,FALSE)))/24))</f>
        <v>0</v>
      </c>
      <c r="I451" s="77">
        <f t="shared" si="13"/>
        <v>0.375</v>
      </c>
    </row>
    <row r="452" spans="1:9">
      <c r="A452" s="85" t="str">
        <f>VLOOKUP('Informe Kelly'!A445,Base!A:B,2,FALSE)</f>
        <v>10.970.380-K</v>
      </c>
      <c r="B452" s="85" t="str">
        <f>VLOOKUP('Informe Kelly'!A445,Base!A:G,7,FALSE)</f>
        <v>LEIVA MUÑOZ JUAN ENRIQUE</v>
      </c>
      <c r="C452" s="91">
        <f>'Informe Kelly'!E445</f>
        <v>40647</v>
      </c>
      <c r="D452" s="96">
        <f t="shared" si="12"/>
        <v>229</v>
      </c>
      <c r="E452" s="85" t="str">
        <f>VLOOKUP(A452,Ingreso!K:P,6,FALSE)</f>
        <v>Turno C</v>
      </c>
      <c r="F452" s="85">
        <f>IF('Informe Kelly'!H445=$A$2,'Informe Kelly'!F445,"")</f>
        <v>0.92983796296296306</v>
      </c>
      <c r="G452" s="85" t="str">
        <f>IF('Informe Kelly'!H445=$A$3,'Informe Kelly'!F445,"")</f>
        <v/>
      </c>
      <c r="H452" s="85">
        <f>IF(C452=C450,0,IF(D452=D451,0,(HLOOKUP(C452,Ingreso!$AN$10:$AU$260,VLOOKUP(A452,Ingreso!$AL$11:$AM$260,2,FALSE)))/24))</f>
        <v>0</v>
      </c>
      <c r="I452" s="77">
        <f t="shared" si="13"/>
        <v>0</v>
      </c>
    </row>
    <row r="453" spans="1:9">
      <c r="A453" s="85" t="str">
        <f>VLOOKUP('Informe Kelly'!A446,Base!A:B,2,FALSE)</f>
        <v>10.970.380-K</v>
      </c>
      <c r="B453" s="85" t="str">
        <f>VLOOKUP('Informe Kelly'!A446,Base!A:G,7,FALSE)</f>
        <v>LEIVA MUÑOZ JUAN ENRIQUE</v>
      </c>
      <c r="C453" s="91">
        <f>'Informe Kelly'!E446</f>
        <v>40648</v>
      </c>
      <c r="D453" s="96">
        <f t="shared" si="12"/>
        <v>230</v>
      </c>
      <c r="E453" s="85" t="str">
        <f>VLOOKUP(A453,Ingreso!K:P,6,FALSE)</f>
        <v>Turno C</v>
      </c>
      <c r="F453" s="85">
        <f>IF('Informe Kelly'!H446=$A$2,'Informe Kelly'!F446,"")</f>
        <v>0.92983796296296306</v>
      </c>
      <c r="G453" s="85" t="str">
        <f>IF('Informe Kelly'!H446=$A$3,'Informe Kelly'!F446,"")</f>
        <v/>
      </c>
      <c r="H453" s="85">
        <f>IF(C453=C451,0,IF(D453=D452,0,(HLOOKUP(C453,Ingreso!$AN$10:$AU$260,VLOOKUP(A453,Ingreso!$AL$11:$AM$260,2,FALSE)))/24))</f>
        <v>0</v>
      </c>
      <c r="I453" s="77">
        <f t="shared" si="13"/>
        <v>0.375</v>
      </c>
    </row>
    <row r="454" spans="1:9">
      <c r="A454" s="85" t="str">
        <f>VLOOKUP('Informe Kelly'!A447,Base!A:B,2,FALSE)</f>
        <v>10.970.380-K</v>
      </c>
      <c r="B454" s="85" t="str">
        <f>VLOOKUP('Informe Kelly'!A447,Base!A:G,7,FALSE)</f>
        <v>LEIVA MUÑOZ JUAN ENRIQUE</v>
      </c>
      <c r="C454" s="91">
        <f>'Informe Kelly'!E447</f>
        <v>40648</v>
      </c>
      <c r="D454" s="96">
        <f t="shared" si="12"/>
        <v>230</v>
      </c>
      <c r="E454" s="85" t="str">
        <f>VLOOKUP(A454,Ingreso!K:P,6,FALSE)</f>
        <v>Turno C</v>
      </c>
      <c r="F454" s="85" t="str">
        <f>IF('Informe Kelly'!H447=$A$2,'Informe Kelly'!F447,"")</f>
        <v/>
      </c>
      <c r="G454" s="85">
        <f>IF('Informe Kelly'!H447=$A$3,'Informe Kelly'!F447,"")</f>
        <v>0.31793981481481481</v>
      </c>
      <c r="H454" s="85">
        <f>IF(C454=C452,0,IF(D454=D453,0,(HLOOKUP(C454,Ingreso!$AN$10:$AU$260,VLOOKUP(A454,Ingreso!$AL$11:$AM$260,2,FALSE)))/24))</f>
        <v>0</v>
      </c>
      <c r="I454" s="77">
        <f t="shared" si="13"/>
        <v>0</v>
      </c>
    </row>
    <row r="455" spans="1:9">
      <c r="A455" s="85" t="str">
        <f>VLOOKUP('Informe Kelly'!A448,Base!A:B,2,FALSE)</f>
        <v>10.970.380-K</v>
      </c>
      <c r="B455" s="85" t="str">
        <f>VLOOKUP('Informe Kelly'!A448,Base!A:G,7,FALSE)</f>
        <v>LEIVA MUÑOZ JUAN ENRIQUE</v>
      </c>
      <c r="C455" s="91">
        <f>'Informe Kelly'!E448</f>
        <v>40649</v>
      </c>
      <c r="D455" s="96">
        <f t="shared" si="12"/>
        <v>231</v>
      </c>
      <c r="E455" s="85" t="str">
        <f>VLOOKUP(A455,Ingreso!K:P,6,FALSE)</f>
        <v>Turno C</v>
      </c>
      <c r="F455" s="85" t="str">
        <f>IF('Informe Kelly'!H448=$A$2,'Informe Kelly'!F448,"")</f>
        <v/>
      </c>
      <c r="G455" s="85">
        <f>IF('Informe Kelly'!H448=$A$3,'Informe Kelly'!F448,"")</f>
        <v>0.31675925925925924</v>
      </c>
      <c r="H455" s="85">
        <f>IF(C455=C453,0,IF(D455=D454,0,(HLOOKUP(C455,Ingreso!$AN$10:$AU$260,VLOOKUP(A455,Ingreso!$AL$11:$AM$260,2,FALSE)))/24))</f>
        <v>0</v>
      </c>
      <c r="I455" s="77">
        <f t="shared" si="13"/>
        <v>0.375</v>
      </c>
    </row>
    <row r="456" spans="1:9">
      <c r="A456" s="85" t="str">
        <f>VLOOKUP('Informe Kelly'!A449,Base!A:B,2,FALSE)</f>
        <v>11.124.307-7</v>
      </c>
      <c r="B456" s="85" t="str">
        <f>VLOOKUP('Informe Kelly'!A449,Base!A:G,7,FALSE)</f>
        <v>MUÑOZ QUENPUL JOSE ENRIQUE</v>
      </c>
      <c r="C456" s="91">
        <f>'Informe Kelly'!E449</f>
        <v>40644</v>
      </c>
      <c r="D456" s="96">
        <f t="shared" si="12"/>
        <v>232</v>
      </c>
      <c r="E456" s="85" t="str">
        <f>VLOOKUP(A456,Ingreso!K:P,6,FALSE)</f>
        <v>Turno C</v>
      </c>
      <c r="F456" s="85">
        <f>IF('Informe Kelly'!H449=$A$2,'Informe Kelly'!F449,"")</f>
        <v>0.91951388888888885</v>
      </c>
      <c r="G456" s="85" t="str">
        <f>IF('Informe Kelly'!H449=$A$3,'Informe Kelly'!F449,"")</f>
        <v/>
      </c>
      <c r="H456" s="85">
        <f>IF(C456=C454,0,IF(D456=D455,0,(HLOOKUP(C456,Ingreso!$AN$10:$AU$260,VLOOKUP(A456,Ingreso!$AL$11:$AM$260,2,FALSE)))/24))</f>
        <v>0</v>
      </c>
      <c r="I456" s="77">
        <f t="shared" si="13"/>
        <v>0.375</v>
      </c>
    </row>
    <row r="457" spans="1:9">
      <c r="A457" s="85" t="str">
        <f>VLOOKUP('Informe Kelly'!A450,Base!A:B,2,FALSE)</f>
        <v>11.124.307-7</v>
      </c>
      <c r="B457" s="85" t="str">
        <f>VLOOKUP('Informe Kelly'!A450,Base!A:G,7,FALSE)</f>
        <v>MUÑOZ QUENPUL JOSE ENRIQUE</v>
      </c>
      <c r="C457" s="91">
        <f>'Informe Kelly'!E450</f>
        <v>40645</v>
      </c>
      <c r="D457" s="96">
        <f t="shared" ref="D457:D520" si="14">IF(C456=C457,IF(C457=C454,D456,IF(C457=C455,D456+1,D456)),D456+1)</f>
        <v>233</v>
      </c>
      <c r="E457" s="85" t="str">
        <f>VLOOKUP(A457,Ingreso!K:P,6,FALSE)</f>
        <v>Turno C</v>
      </c>
      <c r="F457" s="85" t="str">
        <f>IF('Informe Kelly'!H450=$A$2,'Informe Kelly'!F450,"")</f>
        <v/>
      </c>
      <c r="G457" s="85">
        <f>IF('Informe Kelly'!H450=$A$3,'Informe Kelly'!F450,"")</f>
        <v>0.32444444444444448</v>
      </c>
      <c r="H457" s="85">
        <f>IF(C457=C455,0,IF(D457=D456,0,(HLOOKUP(C457,Ingreso!$AN$10:$AU$260,VLOOKUP(A457,Ingreso!$AL$11:$AM$260,2,FALSE)))/24))</f>
        <v>0</v>
      </c>
      <c r="I457" s="77">
        <f t="shared" si="13"/>
        <v>0.375</v>
      </c>
    </row>
    <row r="458" spans="1:9">
      <c r="A458" s="85" t="str">
        <f>VLOOKUP('Informe Kelly'!A451,Base!A:B,2,FALSE)</f>
        <v>11.124.307-7</v>
      </c>
      <c r="B458" s="85" t="str">
        <f>VLOOKUP('Informe Kelly'!A451,Base!A:G,7,FALSE)</f>
        <v>MUÑOZ QUENPUL JOSE ENRIQUE</v>
      </c>
      <c r="C458" s="91">
        <f>'Informe Kelly'!E451</f>
        <v>40645</v>
      </c>
      <c r="D458" s="96">
        <f t="shared" si="14"/>
        <v>233</v>
      </c>
      <c r="E458" s="85" t="str">
        <f>VLOOKUP(A458,Ingreso!K:P,6,FALSE)</f>
        <v>Turno C</v>
      </c>
      <c r="F458" s="85">
        <f>IF('Informe Kelly'!H451=$A$2,'Informe Kelly'!F451,"")</f>
        <v>0.91824074074074069</v>
      </c>
      <c r="G458" s="85" t="str">
        <f>IF('Informe Kelly'!H451=$A$3,'Informe Kelly'!F451,"")</f>
        <v/>
      </c>
      <c r="H458" s="85">
        <f>IF(C458=C456,0,IF(D458=D457,0,(HLOOKUP(C458,Ingreso!$AN$10:$AU$260,VLOOKUP(A458,Ingreso!$AL$11:$AM$260,2,FALSE)))/24))</f>
        <v>0</v>
      </c>
      <c r="I458" s="77">
        <f t="shared" ref="I458:I521" si="15">IF(C458=C456,0,IF(D458=D457,0,(VLOOKUP(E458,$C$2:$D$5,2,FALSE))))</f>
        <v>0</v>
      </c>
    </row>
    <row r="459" spans="1:9">
      <c r="A459" s="85" t="str">
        <f>VLOOKUP('Informe Kelly'!A452,Base!A:B,2,FALSE)</f>
        <v>11.124.307-7</v>
      </c>
      <c r="B459" s="85" t="str">
        <f>VLOOKUP('Informe Kelly'!A452,Base!A:G,7,FALSE)</f>
        <v>MUÑOZ QUENPUL JOSE ENRIQUE</v>
      </c>
      <c r="C459" s="91">
        <f>'Informe Kelly'!E452</f>
        <v>40646</v>
      </c>
      <c r="D459" s="96">
        <f t="shared" si="14"/>
        <v>234</v>
      </c>
      <c r="E459" s="85" t="str">
        <f>VLOOKUP(A459,Ingreso!K:P,6,FALSE)</f>
        <v>Turno C</v>
      </c>
      <c r="F459" s="85" t="str">
        <f>IF('Informe Kelly'!H452=$A$2,'Informe Kelly'!F452,"")</f>
        <v/>
      </c>
      <c r="G459" s="85">
        <f>IF('Informe Kelly'!H452=$A$3,'Informe Kelly'!F452,"")</f>
        <v>0.326087962962963</v>
      </c>
      <c r="H459" s="85">
        <f>IF(C459=C457,0,IF(D459=D458,0,(HLOOKUP(C459,Ingreso!$AN$10:$AU$260,VLOOKUP(A459,Ingreso!$AL$11:$AM$260,2,FALSE)))/24))</f>
        <v>0</v>
      </c>
      <c r="I459" s="77">
        <f t="shared" si="15"/>
        <v>0.375</v>
      </c>
    </row>
    <row r="460" spans="1:9">
      <c r="A460" s="85" t="str">
        <f>VLOOKUP('Informe Kelly'!A453,Base!A:B,2,FALSE)</f>
        <v>11.124.307-7</v>
      </c>
      <c r="B460" s="85" t="str">
        <f>VLOOKUP('Informe Kelly'!A453,Base!A:G,7,FALSE)</f>
        <v>MUÑOZ QUENPUL JOSE ENRIQUE</v>
      </c>
      <c r="C460" s="91">
        <f>'Informe Kelly'!E453</f>
        <v>40646</v>
      </c>
      <c r="D460" s="96">
        <f t="shared" si="14"/>
        <v>234</v>
      </c>
      <c r="E460" s="85" t="str">
        <f>VLOOKUP(A460,Ingreso!K:P,6,FALSE)</f>
        <v>Turno C</v>
      </c>
      <c r="F460" s="85">
        <f>IF('Informe Kelly'!H453=$A$2,'Informe Kelly'!F453,"")</f>
        <v>0.91820601851851846</v>
      </c>
      <c r="G460" s="85" t="str">
        <f>IF('Informe Kelly'!H453=$A$3,'Informe Kelly'!F453,"")</f>
        <v/>
      </c>
      <c r="H460" s="85">
        <f>IF(C460=C458,0,IF(D460=D459,0,(HLOOKUP(C460,Ingreso!$AN$10:$AU$260,VLOOKUP(A460,Ingreso!$AL$11:$AM$260,2,FALSE)))/24))</f>
        <v>0</v>
      </c>
      <c r="I460" s="77">
        <f t="shared" si="15"/>
        <v>0</v>
      </c>
    </row>
    <row r="461" spans="1:9">
      <c r="A461" s="85" t="str">
        <f>VLOOKUP('Informe Kelly'!A454,Base!A:B,2,FALSE)</f>
        <v>11.124.307-7</v>
      </c>
      <c r="B461" s="85" t="str">
        <f>VLOOKUP('Informe Kelly'!A454,Base!A:G,7,FALSE)</f>
        <v>MUÑOZ QUENPUL JOSE ENRIQUE</v>
      </c>
      <c r="C461" s="91">
        <f>'Informe Kelly'!E454</f>
        <v>40647</v>
      </c>
      <c r="D461" s="96">
        <f t="shared" si="14"/>
        <v>235</v>
      </c>
      <c r="E461" s="85" t="str">
        <f>VLOOKUP(A461,Ingreso!K:P,6,FALSE)</f>
        <v>Turno C</v>
      </c>
      <c r="F461" s="85" t="str">
        <f>IF('Informe Kelly'!H454=$A$2,'Informe Kelly'!F454,"")</f>
        <v/>
      </c>
      <c r="G461" s="85">
        <f>IF('Informe Kelly'!H454=$A$3,'Informe Kelly'!F454,"")</f>
        <v>0.32765046296296296</v>
      </c>
      <c r="H461" s="85">
        <f>IF(C461=C459,0,IF(D461=D460,0,(HLOOKUP(C461,Ingreso!$AN$10:$AU$260,VLOOKUP(A461,Ingreso!$AL$11:$AM$260,2,FALSE)))/24))</f>
        <v>0</v>
      </c>
      <c r="I461" s="77">
        <f t="shared" si="15"/>
        <v>0.375</v>
      </c>
    </row>
    <row r="462" spans="1:9">
      <c r="A462" s="85" t="str">
        <f>VLOOKUP('Informe Kelly'!A455,Base!A:B,2,FALSE)</f>
        <v>11.124.307-7</v>
      </c>
      <c r="B462" s="85" t="str">
        <f>VLOOKUP('Informe Kelly'!A455,Base!A:G,7,FALSE)</f>
        <v>MUÑOZ QUENPUL JOSE ENRIQUE</v>
      </c>
      <c r="C462" s="91">
        <f>'Informe Kelly'!E455</f>
        <v>40647</v>
      </c>
      <c r="D462" s="96">
        <f t="shared" si="14"/>
        <v>235</v>
      </c>
      <c r="E462" s="85" t="str">
        <f>VLOOKUP(A462,Ingreso!K:P,6,FALSE)</f>
        <v>Turno C</v>
      </c>
      <c r="F462" s="85">
        <f>IF('Informe Kelly'!H455=$A$2,'Informe Kelly'!F455,"")</f>
        <v>0.91942129629629632</v>
      </c>
      <c r="G462" s="85" t="str">
        <f>IF('Informe Kelly'!H455=$A$3,'Informe Kelly'!F455,"")</f>
        <v/>
      </c>
      <c r="H462" s="85">
        <f>IF(C462=C460,0,IF(D462=D461,0,(HLOOKUP(C462,Ingreso!$AN$10:$AU$260,VLOOKUP(A462,Ingreso!$AL$11:$AM$260,2,FALSE)))/24))</f>
        <v>0</v>
      </c>
      <c r="I462" s="77">
        <f t="shared" si="15"/>
        <v>0</v>
      </c>
    </row>
    <row r="463" spans="1:9">
      <c r="A463" s="85" t="str">
        <f>VLOOKUP('Informe Kelly'!A456,Base!A:B,2,FALSE)</f>
        <v>11.124.307-7</v>
      </c>
      <c r="B463" s="85" t="str">
        <f>VLOOKUP('Informe Kelly'!A456,Base!A:G,7,FALSE)</f>
        <v>MUÑOZ QUENPUL JOSE ENRIQUE</v>
      </c>
      <c r="C463" s="91">
        <f>'Informe Kelly'!E456</f>
        <v>40647</v>
      </c>
      <c r="D463" s="96">
        <f t="shared" si="14"/>
        <v>236</v>
      </c>
      <c r="E463" s="85" t="str">
        <f>VLOOKUP(A463,Ingreso!K:P,6,FALSE)</f>
        <v>Turno C</v>
      </c>
      <c r="F463" s="85">
        <f>IF('Informe Kelly'!H456=$A$2,'Informe Kelly'!F456,"")</f>
        <v>0.92704861111111114</v>
      </c>
      <c r="G463" s="85" t="str">
        <f>IF('Informe Kelly'!H456=$A$3,'Informe Kelly'!F456,"")</f>
        <v/>
      </c>
      <c r="H463" s="85">
        <f>IF(C463=C461,0,IF(D463=D462,0,(HLOOKUP(C463,Ingreso!$AN$10:$AU$260,VLOOKUP(A463,Ingreso!$AL$11:$AM$260,2,FALSE)))/24))</f>
        <v>0</v>
      </c>
      <c r="I463" s="77">
        <f t="shared" si="15"/>
        <v>0</v>
      </c>
    </row>
    <row r="464" spans="1:9">
      <c r="A464" s="85" t="str">
        <f>VLOOKUP('Informe Kelly'!A457,Base!A:B,2,FALSE)</f>
        <v>11.124.307-7</v>
      </c>
      <c r="B464" s="85" t="str">
        <f>VLOOKUP('Informe Kelly'!A457,Base!A:G,7,FALSE)</f>
        <v>MUÑOZ QUENPUL JOSE ENRIQUE</v>
      </c>
      <c r="C464" s="91">
        <f>'Informe Kelly'!E457</f>
        <v>40648</v>
      </c>
      <c r="D464" s="96">
        <f t="shared" si="14"/>
        <v>237</v>
      </c>
      <c r="E464" s="85" t="str">
        <f>VLOOKUP(A464,Ingreso!K:P,6,FALSE)</f>
        <v>Turno C</v>
      </c>
      <c r="F464" s="85">
        <f>IF('Informe Kelly'!H457=$A$2,'Informe Kelly'!F457,"")</f>
        <v>0.92092592592592604</v>
      </c>
      <c r="G464" s="85" t="str">
        <f>IF('Informe Kelly'!H457=$A$3,'Informe Kelly'!F457,"")</f>
        <v/>
      </c>
      <c r="H464" s="85">
        <f>IF(C464=C462,0,IF(D464=D463,0,(HLOOKUP(C464,Ingreso!$AN$10:$AU$260,VLOOKUP(A464,Ingreso!$AL$11:$AM$260,2,FALSE)))/24))</f>
        <v>0</v>
      </c>
      <c r="I464" s="77">
        <f t="shared" si="15"/>
        <v>0.375</v>
      </c>
    </row>
    <row r="465" spans="1:9">
      <c r="A465" s="85" t="str">
        <f>VLOOKUP('Informe Kelly'!A458,Base!A:B,2,FALSE)</f>
        <v>11.124.307-7</v>
      </c>
      <c r="B465" s="85" t="str">
        <f>VLOOKUP('Informe Kelly'!A458,Base!A:G,7,FALSE)</f>
        <v>MUÑOZ QUENPUL JOSE ENRIQUE</v>
      </c>
      <c r="C465" s="91">
        <f>'Informe Kelly'!E458</f>
        <v>40648</v>
      </c>
      <c r="D465" s="96">
        <f t="shared" si="14"/>
        <v>237</v>
      </c>
      <c r="E465" s="85" t="str">
        <f>VLOOKUP(A465,Ingreso!K:P,6,FALSE)</f>
        <v>Turno C</v>
      </c>
      <c r="F465" s="85" t="str">
        <f>IF('Informe Kelly'!H458=$A$2,'Informe Kelly'!F458,"")</f>
        <v/>
      </c>
      <c r="G465" s="85">
        <f>IF('Informe Kelly'!H458=$A$3,'Informe Kelly'!F458,"")</f>
        <v>0.32392361111111112</v>
      </c>
      <c r="H465" s="85">
        <f>IF(C465=C463,0,IF(D465=D464,0,(HLOOKUP(C465,Ingreso!$AN$10:$AU$260,VLOOKUP(A465,Ingreso!$AL$11:$AM$260,2,FALSE)))/24))</f>
        <v>0</v>
      </c>
      <c r="I465" s="77">
        <f t="shared" si="15"/>
        <v>0</v>
      </c>
    </row>
    <row r="466" spans="1:9">
      <c r="A466" s="85" t="str">
        <f>VLOOKUP('Informe Kelly'!A459,Base!A:B,2,FALSE)</f>
        <v>11.124.307-7</v>
      </c>
      <c r="B466" s="85" t="str">
        <f>VLOOKUP('Informe Kelly'!A459,Base!A:G,7,FALSE)</f>
        <v>MUÑOZ QUENPUL JOSE ENRIQUE</v>
      </c>
      <c r="C466" s="91">
        <f>'Informe Kelly'!E459</f>
        <v>40649</v>
      </c>
      <c r="D466" s="96">
        <f t="shared" si="14"/>
        <v>238</v>
      </c>
      <c r="E466" s="85" t="str">
        <f>VLOOKUP(A466,Ingreso!K:P,6,FALSE)</f>
        <v>Turno C</v>
      </c>
      <c r="F466" s="85" t="str">
        <f>IF('Informe Kelly'!H459=$A$2,'Informe Kelly'!F459,"")</f>
        <v/>
      </c>
      <c r="G466" s="85">
        <f>IF('Informe Kelly'!H459=$A$3,'Informe Kelly'!F459,"")</f>
        <v>0.32577546296296295</v>
      </c>
      <c r="H466" s="85">
        <f>IF(C466=C464,0,IF(D466=D465,0,(HLOOKUP(C466,Ingreso!$AN$10:$AU$260,VLOOKUP(A466,Ingreso!$AL$11:$AM$260,2,FALSE)))/24))</f>
        <v>0</v>
      </c>
      <c r="I466" s="77">
        <f t="shared" si="15"/>
        <v>0.375</v>
      </c>
    </row>
    <row r="467" spans="1:9">
      <c r="A467" s="85" t="str">
        <f>VLOOKUP('Informe Kelly'!A460,Base!A:B,2,FALSE)</f>
        <v>11.267.594-9</v>
      </c>
      <c r="B467" s="85" t="str">
        <f>VLOOKUP('Informe Kelly'!A460,Base!A:G,7,FALSE)</f>
        <v>ESPINOZA MORENO JOAQUIN</v>
      </c>
      <c r="C467" s="91">
        <f>'Informe Kelly'!E460</f>
        <v>40644</v>
      </c>
      <c r="D467" s="96">
        <f t="shared" si="14"/>
        <v>239</v>
      </c>
      <c r="E467" s="85" t="str">
        <f>VLOOKUP(A467,Ingreso!K:P,6,FALSE)</f>
        <v>Admin</v>
      </c>
      <c r="F467" s="85">
        <f>IF('Informe Kelly'!H460=$A$2,'Informe Kelly'!F460,"")</f>
        <v>0.29038194444444443</v>
      </c>
      <c r="G467" s="85" t="str">
        <f>IF('Informe Kelly'!H460=$A$3,'Informe Kelly'!F460,"")</f>
        <v/>
      </c>
      <c r="H467" s="85">
        <f>IF(C467=C465,0,IF(D467=D466,0,(HLOOKUP(C467,Ingreso!$AN$10:$AU$260,VLOOKUP(A467,Ingreso!$AL$11:$AM$260,2,FALSE)))/24))</f>
        <v>8.3333333333333329E-2</v>
      </c>
      <c r="I467" s="77">
        <f t="shared" si="15"/>
        <v>0.41666666666666669</v>
      </c>
    </row>
    <row r="468" spans="1:9">
      <c r="A468" s="85" t="str">
        <f>VLOOKUP('Informe Kelly'!A461,Base!A:B,2,FALSE)</f>
        <v>11.267.594-9</v>
      </c>
      <c r="B468" s="85" t="str">
        <f>VLOOKUP('Informe Kelly'!A461,Base!A:G,7,FALSE)</f>
        <v>ESPINOZA MORENO JOAQUIN</v>
      </c>
      <c r="C468" s="91">
        <f>'Informe Kelly'!E461</f>
        <v>40644</v>
      </c>
      <c r="D468" s="96">
        <f t="shared" si="14"/>
        <v>239</v>
      </c>
      <c r="E468" s="85" t="str">
        <f>VLOOKUP(A468,Ingreso!K:P,6,FALSE)</f>
        <v>Admin</v>
      </c>
      <c r="F468" s="85" t="str">
        <f>IF('Informe Kelly'!H461=$A$2,'Informe Kelly'!F461,"")</f>
        <v/>
      </c>
      <c r="G468" s="85">
        <f>IF('Informe Kelly'!H461=$A$3,'Informe Kelly'!F461,"")</f>
        <v>0.80787037037037035</v>
      </c>
      <c r="H468" s="85">
        <f>IF(C468=C466,0,IF(D468=D467,0,(HLOOKUP(C468,Ingreso!$AN$10:$AU$260,VLOOKUP(A468,Ingreso!$AL$11:$AM$260,2,FALSE)))/24))</f>
        <v>0</v>
      </c>
      <c r="I468" s="77">
        <f t="shared" si="15"/>
        <v>0</v>
      </c>
    </row>
    <row r="469" spans="1:9">
      <c r="A469" s="85" t="str">
        <f>VLOOKUP('Informe Kelly'!A462,Base!A:B,2,FALSE)</f>
        <v>11.267.594-9</v>
      </c>
      <c r="B469" s="85" t="str">
        <f>VLOOKUP('Informe Kelly'!A462,Base!A:G,7,FALSE)</f>
        <v>ESPINOZA MORENO JOAQUIN</v>
      </c>
      <c r="C469" s="91">
        <f>'Informe Kelly'!E462</f>
        <v>40645</v>
      </c>
      <c r="D469" s="96">
        <f t="shared" si="14"/>
        <v>240</v>
      </c>
      <c r="E469" s="85" t="str">
        <f>VLOOKUP(A469,Ingreso!K:P,6,FALSE)</f>
        <v>Admin</v>
      </c>
      <c r="F469" s="85">
        <f>IF('Informe Kelly'!H462=$A$2,'Informe Kelly'!F462,"")</f>
        <v>0.2902777777777778</v>
      </c>
      <c r="G469" s="85" t="str">
        <f>IF('Informe Kelly'!H462=$A$3,'Informe Kelly'!F462,"")</f>
        <v/>
      </c>
      <c r="H469" s="85">
        <f>IF(C469=C467,0,IF(D469=D468,0,(HLOOKUP(C469,Ingreso!$AN$10:$AU$260,VLOOKUP(A469,Ingreso!$AL$11:$AM$260,2,FALSE)))/24))</f>
        <v>8.3333333333333329E-2</v>
      </c>
      <c r="I469" s="77">
        <f t="shared" si="15"/>
        <v>0.41666666666666669</v>
      </c>
    </row>
    <row r="470" spans="1:9">
      <c r="A470" s="85" t="str">
        <f>VLOOKUP('Informe Kelly'!A463,Base!A:B,2,FALSE)</f>
        <v>11.267.594-9</v>
      </c>
      <c r="B470" s="85" t="str">
        <f>VLOOKUP('Informe Kelly'!A463,Base!A:G,7,FALSE)</f>
        <v>ESPINOZA MORENO JOAQUIN</v>
      </c>
      <c r="C470" s="91">
        <f>'Informe Kelly'!E463</f>
        <v>40645</v>
      </c>
      <c r="D470" s="96">
        <f t="shared" si="14"/>
        <v>240</v>
      </c>
      <c r="E470" s="85" t="str">
        <f>VLOOKUP(A470,Ingreso!K:P,6,FALSE)</f>
        <v>Admin</v>
      </c>
      <c r="F470" s="85" t="str">
        <f>IF('Informe Kelly'!H463=$A$2,'Informe Kelly'!F463,"")</f>
        <v/>
      </c>
      <c r="G470" s="85">
        <f>IF('Informe Kelly'!H463=$A$3,'Informe Kelly'!F463,"")</f>
        <v>0.8016550925925926</v>
      </c>
      <c r="H470" s="85">
        <f>IF(C470=C468,0,IF(D470=D469,0,(HLOOKUP(C470,Ingreso!$AN$10:$AU$260,VLOOKUP(A470,Ingreso!$AL$11:$AM$260,2,FALSE)))/24))</f>
        <v>0</v>
      </c>
      <c r="I470" s="77">
        <f t="shared" si="15"/>
        <v>0</v>
      </c>
    </row>
    <row r="471" spans="1:9">
      <c r="A471" s="85" t="str">
        <f>VLOOKUP('Informe Kelly'!A464,Base!A:B,2,FALSE)</f>
        <v>11.267.594-9</v>
      </c>
      <c r="B471" s="85" t="str">
        <f>VLOOKUP('Informe Kelly'!A464,Base!A:G,7,FALSE)</f>
        <v>ESPINOZA MORENO JOAQUIN</v>
      </c>
      <c r="C471" s="91">
        <f>'Informe Kelly'!E464</f>
        <v>40646</v>
      </c>
      <c r="D471" s="96">
        <f t="shared" si="14"/>
        <v>241</v>
      </c>
      <c r="E471" s="85" t="str">
        <f>VLOOKUP(A471,Ingreso!K:P,6,FALSE)</f>
        <v>Admin</v>
      </c>
      <c r="F471" s="85">
        <f>IF('Informe Kelly'!H464=$A$2,'Informe Kelly'!F464,"")</f>
        <v>0.29542824074074076</v>
      </c>
      <c r="G471" s="85" t="str">
        <f>IF('Informe Kelly'!H464=$A$3,'Informe Kelly'!F464,"")</f>
        <v/>
      </c>
      <c r="H471" s="85">
        <f>IF(C471=C469,0,IF(D471=D470,0,(HLOOKUP(C471,Ingreso!$AN$10:$AU$260,VLOOKUP(A471,Ingreso!$AL$11:$AM$260,2,FALSE)))/24))</f>
        <v>8.3333333333333329E-2</v>
      </c>
      <c r="I471" s="77">
        <f t="shared" si="15"/>
        <v>0.41666666666666669</v>
      </c>
    </row>
    <row r="472" spans="1:9">
      <c r="A472" s="85" t="str">
        <f>VLOOKUP('Informe Kelly'!A465,Base!A:B,2,FALSE)</f>
        <v>11.267.594-9</v>
      </c>
      <c r="B472" s="85" t="str">
        <f>VLOOKUP('Informe Kelly'!A465,Base!A:G,7,FALSE)</f>
        <v>ESPINOZA MORENO JOAQUIN</v>
      </c>
      <c r="C472" s="91">
        <f>'Informe Kelly'!E465</f>
        <v>40646</v>
      </c>
      <c r="D472" s="96">
        <f t="shared" si="14"/>
        <v>241</v>
      </c>
      <c r="E472" s="85" t="str">
        <f>VLOOKUP(A472,Ingreso!K:P,6,FALSE)</f>
        <v>Admin</v>
      </c>
      <c r="F472" s="85" t="str">
        <f>IF('Informe Kelly'!H465=$A$2,'Informe Kelly'!F465,"")</f>
        <v/>
      </c>
      <c r="G472" s="85">
        <f>IF('Informe Kelly'!H465=$A$3,'Informe Kelly'!F465,"")</f>
        <v>0.80835648148148154</v>
      </c>
      <c r="H472" s="85">
        <f>IF(C472=C470,0,IF(D472=D471,0,(HLOOKUP(C472,Ingreso!$AN$10:$AU$260,VLOOKUP(A472,Ingreso!$AL$11:$AM$260,2,FALSE)))/24))</f>
        <v>0</v>
      </c>
      <c r="I472" s="77">
        <f t="shared" si="15"/>
        <v>0</v>
      </c>
    </row>
    <row r="473" spans="1:9">
      <c r="A473" s="85" t="str">
        <f>VLOOKUP('Informe Kelly'!A466,Base!A:B,2,FALSE)</f>
        <v>11.267.594-9</v>
      </c>
      <c r="B473" s="85" t="str">
        <f>VLOOKUP('Informe Kelly'!A466,Base!A:G,7,FALSE)</f>
        <v>ESPINOZA MORENO JOAQUIN</v>
      </c>
      <c r="C473" s="91">
        <f>'Informe Kelly'!E466</f>
        <v>40647</v>
      </c>
      <c r="D473" s="96">
        <f t="shared" si="14"/>
        <v>242</v>
      </c>
      <c r="E473" s="85" t="str">
        <f>VLOOKUP(A473,Ingreso!K:P,6,FALSE)</f>
        <v>Admin</v>
      </c>
      <c r="F473" s="85">
        <f>IF('Informe Kelly'!H466=$A$2,'Informe Kelly'!F466,"")</f>
        <v>0.29956018518518518</v>
      </c>
      <c r="G473" s="85" t="str">
        <f>IF('Informe Kelly'!H466=$A$3,'Informe Kelly'!F466,"")</f>
        <v/>
      </c>
      <c r="H473" s="85">
        <f>IF(C473=C471,0,IF(D473=D472,0,(HLOOKUP(C473,Ingreso!$AN$10:$AU$260,VLOOKUP(A473,Ingreso!$AL$11:$AM$260,2,FALSE)))/24))</f>
        <v>8.3333333333333329E-2</v>
      </c>
      <c r="I473" s="77">
        <f t="shared" si="15"/>
        <v>0.41666666666666669</v>
      </c>
    </row>
    <row r="474" spans="1:9">
      <c r="A474" s="85" t="str">
        <f>VLOOKUP('Informe Kelly'!A467,Base!A:B,2,FALSE)</f>
        <v>11.267.594-9</v>
      </c>
      <c r="B474" s="85" t="str">
        <f>VLOOKUP('Informe Kelly'!A467,Base!A:G,7,FALSE)</f>
        <v>ESPINOZA MORENO JOAQUIN</v>
      </c>
      <c r="C474" s="91">
        <f>'Informe Kelly'!E467</f>
        <v>40647</v>
      </c>
      <c r="D474" s="96">
        <f t="shared" si="14"/>
        <v>242</v>
      </c>
      <c r="E474" s="85" t="str">
        <f>VLOOKUP(A474,Ingreso!K:P,6,FALSE)</f>
        <v>Admin</v>
      </c>
      <c r="F474" s="85" t="str">
        <f>IF('Informe Kelly'!H467=$A$2,'Informe Kelly'!F467,"")</f>
        <v/>
      </c>
      <c r="G474" s="85">
        <f>IF('Informe Kelly'!H467=$A$3,'Informe Kelly'!F467,"")</f>
        <v>0.81098379629629624</v>
      </c>
      <c r="H474" s="85">
        <f>IF(C474=C472,0,IF(D474=D473,0,(HLOOKUP(C474,Ingreso!$AN$10:$AU$260,VLOOKUP(A474,Ingreso!$AL$11:$AM$260,2,FALSE)))/24))</f>
        <v>0</v>
      </c>
      <c r="I474" s="77">
        <f t="shared" si="15"/>
        <v>0</v>
      </c>
    </row>
    <row r="475" spans="1:9">
      <c r="A475" s="85" t="str">
        <f>VLOOKUP('Informe Kelly'!A468,Base!A:B,2,FALSE)</f>
        <v>11.267.594-9</v>
      </c>
      <c r="B475" s="85" t="str">
        <f>VLOOKUP('Informe Kelly'!A468,Base!A:G,7,FALSE)</f>
        <v>ESPINOZA MORENO JOAQUIN</v>
      </c>
      <c r="C475" s="91">
        <f>'Informe Kelly'!E468</f>
        <v>40648</v>
      </c>
      <c r="D475" s="96">
        <f t="shared" si="14"/>
        <v>243</v>
      </c>
      <c r="E475" s="85" t="str">
        <f>VLOOKUP(A475,Ingreso!K:P,6,FALSE)</f>
        <v>Admin</v>
      </c>
      <c r="F475" s="85" t="str">
        <f>IF('Informe Kelly'!H468=$A$2,'Informe Kelly'!F468,"")</f>
        <v/>
      </c>
      <c r="G475" s="85">
        <f>IF('Informe Kelly'!H468=$A$3,'Informe Kelly'!F468,"")</f>
        <v>0.73178240740740741</v>
      </c>
      <c r="H475" s="85">
        <f>IF(C475=C473,0,IF(D475=D474,0,(HLOOKUP(C475,Ingreso!$AN$10:$AU$260,VLOOKUP(A475,Ingreso!$AL$11:$AM$260,2,FALSE)))/24))</f>
        <v>0</v>
      </c>
      <c r="I475" s="77">
        <f t="shared" si="15"/>
        <v>0.41666666666666669</v>
      </c>
    </row>
    <row r="476" spans="1:9">
      <c r="A476" s="85" t="str">
        <f>VLOOKUP('Informe Kelly'!A469,Base!A:B,2,FALSE)</f>
        <v>11.267.594-9</v>
      </c>
      <c r="B476" s="85" t="str">
        <f>VLOOKUP('Informe Kelly'!A469,Base!A:G,7,FALSE)</f>
        <v>ESPINOZA MORENO JOAQUIN</v>
      </c>
      <c r="C476" s="91">
        <f>'Informe Kelly'!E469</f>
        <v>40648</v>
      </c>
      <c r="D476" s="96">
        <f t="shared" si="14"/>
        <v>243</v>
      </c>
      <c r="E476" s="85" t="str">
        <f>VLOOKUP(A476,Ingreso!K:P,6,FALSE)</f>
        <v>Admin</v>
      </c>
      <c r="F476" s="85">
        <f>IF('Informe Kelly'!H469=$A$2,'Informe Kelly'!F469,"")</f>
        <v>0.29302083333333334</v>
      </c>
      <c r="G476" s="85" t="str">
        <f>IF('Informe Kelly'!H469=$A$3,'Informe Kelly'!F469,"")</f>
        <v/>
      </c>
      <c r="H476" s="85">
        <f>IF(C476=C474,0,IF(D476=D475,0,(HLOOKUP(C476,Ingreso!$AN$10:$AU$260,VLOOKUP(A476,Ingreso!$AL$11:$AM$260,2,FALSE)))/24))</f>
        <v>0</v>
      </c>
      <c r="I476" s="77">
        <f t="shared" si="15"/>
        <v>0</v>
      </c>
    </row>
    <row r="477" spans="1:9">
      <c r="A477" s="85" t="str">
        <f>VLOOKUP('Informe Kelly'!A470,Base!A:B,2,FALSE)</f>
        <v>11.306.351-3</v>
      </c>
      <c r="B477" s="85" t="str">
        <f>VLOOKUP('Informe Kelly'!A470,Base!A:G,7,FALSE)</f>
        <v>MANQUIAN NORIEGA RUBEN MARCO</v>
      </c>
      <c r="C477" s="91">
        <f>'Informe Kelly'!E470</f>
        <v>40644</v>
      </c>
      <c r="D477" s="96">
        <f t="shared" si="14"/>
        <v>244</v>
      </c>
      <c r="E477" s="85" t="str">
        <f>VLOOKUP(A477,Ingreso!K:P,6,FALSE)</f>
        <v>Turno A</v>
      </c>
      <c r="F477" s="85">
        <f>IF('Informe Kelly'!H470=$A$2,'Informe Kelly'!F470,"")</f>
        <v>0.26571759259259259</v>
      </c>
      <c r="G477" s="85" t="str">
        <f>IF('Informe Kelly'!H470=$A$3,'Informe Kelly'!F470,"")</f>
        <v/>
      </c>
      <c r="H477" s="85">
        <f>IF(C477=C475,0,IF(D477=D476,0,(HLOOKUP(C477,Ingreso!$AN$10:$AU$260,VLOOKUP(A477,Ingreso!$AL$11:$AM$260,2,FALSE)))/24))</f>
        <v>0</v>
      </c>
      <c r="I477" s="77">
        <f t="shared" si="15"/>
        <v>0.3125</v>
      </c>
    </row>
    <row r="478" spans="1:9">
      <c r="A478" s="85" t="str">
        <f>VLOOKUP('Informe Kelly'!A471,Base!A:B,2,FALSE)</f>
        <v>11.306.351-3</v>
      </c>
      <c r="B478" s="85" t="str">
        <f>VLOOKUP('Informe Kelly'!A471,Base!A:G,7,FALSE)</f>
        <v>MANQUIAN NORIEGA RUBEN MARCO</v>
      </c>
      <c r="C478" s="91">
        <f>'Informe Kelly'!E471</f>
        <v>40644</v>
      </c>
      <c r="D478" s="96">
        <f t="shared" si="14"/>
        <v>244</v>
      </c>
      <c r="E478" s="85" t="str">
        <f>VLOOKUP(A478,Ingreso!K:P,6,FALSE)</f>
        <v>Turno A</v>
      </c>
      <c r="F478" s="85" t="str">
        <f>IF('Informe Kelly'!H471=$A$2,'Informe Kelly'!F471,"")</f>
        <v/>
      </c>
      <c r="G478" s="85">
        <f>IF('Informe Kelly'!H471=$A$3,'Informe Kelly'!F471,"")</f>
        <v>0.63773148148148151</v>
      </c>
      <c r="H478" s="85">
        <f>IF(C478=C476,0,IF(D478=D477,0,(HLOOKUP(C478,Ingreso!$AN$10:$AU$260,VLOOKUP(A478,Ingreso!$AL$11:$AM$260,2,FALSE)))/24))</f>
        <v>0</v>
      </c>
      <c r="I478" s="77">
        <f t="shared" si="15"/>
        <v>0</v>
      </c>
    </row>
    <row r="479" spans="1:9">
      <c r="A479" s="85" t="str">
        <f>VLOOKUP('Informe Kelly'!A472,Base!A:B,2,FALSE)</f>
        <v>11.306.351-3</v>
      </c>
      <c r="B479" s="85" t="str">
        <f>VLOOKUP('Informe Kelly'!A472,Base!A:G,7,FALSE)</f>
        <v>MANQUIAN NORIEGA RUBEN MARCO</v>
      </c>
      <c r="C479" s="91">
        <f>'Informe Kelly'!E472</f>
        <v>40645</v>
      </c>
      <c r="D479" s="96">
        <f t="shared" si="14"/>
        <v>245</v>
      </c>
      <c r="E479" s="85" t="str">
        <f>VLOOKUP(A479,Ingreso!K:P,6,FALSE)</f>
        <v>Turno A</v>
      </c>
      <c r="F479" s="85">
        <f>IF('Informe Kelly'!H472=$A$2,'Informe Kelly'!F472,"")</f>
        <v>0.26922453703703703</v>
      </c>
      <c r="G479" s="85" t="str">
        <f>IF('Informe Kelly'!H472=$A$3,'Informe Kelly'!F472,"")</f>
        <v/>
      </c>
      <c r="H479" s="85">
        <f>IF(C479=C477,0,IF(D479=D478,0,(HLOOKUP(C479,Ingreso!$AN$10:$AU$260,VLOOKUP(A479,Ingreso!$AL$11:$AM$260,2,FALSE)))/24))</f>
        <v>0</v>
      </c>
      <c r="I479" s="77">
        <f t="shared" si="15"/>
        <v>0.3125</v>
      </c>
    </row>
    <row r="480" spans="1:9">
      <c r="A480" s="85" t="str">
        <f>VLOOKUP('Informe Kelly'!A473,Base!A:B,2,FALSE)</f>
        <v>11.306.351-3</v>
      </c>
      <c r="B480" s="85" t="str">
        <f>VLOOKUP('Informe Kelly'!A473,Base!A:G,7,FALSE)</f>
        <v>MANQUIAN NORIEGA RUBEN MARCO</v>
      </c>
      <c r="C480" s="91">
        <f>'Informe Kelly'!E473</f>
        <v>40645</v>
      </c>
      <c r="D480" s="96">
        <f t="shared" si="14"/>
        <v>245</v>
      </c>
      <c r="E480" s="85" t="str">
        <f>VLOOKUP(A480,Ingreso!K:P,6,FALSE)</f>
        <v>Turno A</v>
      </c>
      <c r="F480" s="85" t="str">
        <f>IF('Informe Kelly'!H473=$A$2,'Informe Kelly'!F473,"")</f>
        <v/>
      </c>
      <c r="G480" s="85">
        <f>IF('Informe Kelly'!H473=$A$3,'Informe Kelly'!F473,"")</f>
        <v>0.63364583333333335</v>
      </c>
      <c r="H480" s="85">
        <f>IF(C480=C478,0,IF(D480=D479,0,(HLOOKUP(C480,Ingreso!$AN$10:$AU$260,VLOOKUP(A480,Ingreso!$AL$11:$AM$260,2,FALSE)))/24))</f>
        <v>0</v>
      </c>
      <c r="I480" s="77">
        <f t="shared" si="15"/>
        <v>0</v>
      </c>
    </row>
    <row r="481" spans="1:9">
      <c r="A481" s="85" t="str">
        <f>VLOOKUP('Informe Kelly'!A474,Base!A:B,2,FALSE)</f>
        <v>11.306.351-3</v>
      </c>
      <c r="B481" s="85" t="str">
        <f>VLOOKUP('Informe Kelly'!A474,Base!A:G,7,FALSE)</f>
        <v>MANQUIAN NORIEGA RUBEN MARCO</v>
      </c>
      <c r="C481" s="91">
        <f>'Informe Kelly'!E474</f>
        <v>40646</v>
      </c>
      <c r="D481" s="96">
        <f t="shared" si="14"/>
        <v>246</v>
      </c>
      <c r="E481" s="85" t="str">
        <f>VLOOKUP(A481,Ingreso!K:P,6,FALSE)</f>
        <v>Turno A</v>
      </c>
      <c r="F481" s="85">
        <f>IF('Informe Kelly'!H474=$A$2,'Informe Kelly'!F474,"")</f>
        <v>0.27212962962962961</v>
      </c>
      <c r="G481" s="85" t="str">
        <f>IF('Informe Kelly'!H474=$A$3,'Informe Kelly'!F474,"")</f>
        <v/>
      </c>
      <c r="H481" s="85">
        <f>IF(C481=C479,0,IF(D481=D480,0,(HLOOKUP(C481,Ingreso!$AN$10:$AU$260,VLOOKUP(A481,Ingreso!$AL$11:$AM$260,2,FALSE)))/24))</f>
        <v>0</v>
      </c>
      <c r="I481" s="77">
        <f t="shared" si="15"/>
        <v>0.3125</v>
      </c>
    </row>
    <row r="482" spans="1:9">
      <c r="A482" s="85" t="str">
        <f>VLOOKUP('Informe Kelly'!A475,Base!A:B,2,FALSE)</f>
        <v>11.306.351-3</v>
      </c>
      <c r="B482" s="85" t="str">
        <f>VLOOKUP('Informe Kelly'!A475,Base!A:G,7,FALSE)</f>
        <v>MANQUIAN NORIEGA RUBEN MARCO</v>
      </c>
      <c r="C482" s="91">
        <f>'Informe Kelly'!E475</f>
        <v>40646</v>
      </c>
      <c r="D482" s="96">
        <f t="shared" si="14"/>
        <v>246</v>
      </c>
      <c r="E482" s="85" t="str">
        <f>VLOOKUP(A482,Ingreso!K:P,6,FALSE)</f>
        <v>Turno A</v>
      </c>
      <c r="F482" s="85" t="str">
        <f>IF('Informe Kelly'!H475=$A$2,'Informe Kelly'!F475,"")</f>
        <v/>
      </c>
      <c r="G482" s="85">
        <f>IF('Informe Kelly'!H475=$A$3,'Informe Kelly'!F475,"")</f>
        <v>0.63534722222222217</v>
      </c>
      <c r="H482" s="85">
        <f>IF(C482=C480,0,IF(D482=D481,0,(HLOOKUP(C482,Ingreso!$AN$10:$AU$260,VLOOKUP(A482,Ingreso!$AL$11:$AM$260,2,FALSE)))/24))</f>
        <v>0</v>
      </c>
      <c r="I482" s="77">
        <f t="shared" si="15"/>
        <v>0</v>
      </c>
    </row>
    <row r="483" spans="1:9">
      <c r="A483" s="85" t="str">
        <f>VLOOKUP('Informe Kelly'!A476,Base!A:B,2,FALSE)</f>
        <v>11.306.351-3</v>
      </c>
      <c r="B483" s="85" t="str">
        <f>VLOOKUP('Informe Kelly'!A476,Base!A:G,7,FALSE)</f>
        <v>MANQUIAN NORIEGA RUBEN MARCO</v>
      </c>
      <c r="C483" s="91">
        <f>'Informe Kelly'!E476</f>
        <v>40647</v>
      </c>
      <c r="D483" s="96">
        <f t="shared" si="14"/>
        <v>247</v>
      </c>
      <c r="E483" s="85" t="str">
        <f>VLOOKUP(A483,Ingreso!K:P,6,FALSE)</f>
        <v>Turno A</v>
      </c>
      <c r="F483" s="85">
        <f>IF('Informe Kelly'!H476=$A$2,'Informe Kelly'!F476,"")</f>
        <v>0.2726851851851852</v>
      </c>
      <c r="G483" s="85" t="str">
        <f>IF('Informe Kelly'!H476=$A$3,'Informe Kelly'!F476,"")</f>
        <v/>
      </c>
      <c r="H483" s="85">
        <f>IF(C483=C481,0,IF(D483=D482,0,(HLOOKUP(C483,Ingreso!$AN$10:$AU$260,VLOOKUP(A483,Ingreso!$AL$11:$AM$260,2,FALSE)))/24))</f>
        <v>0</v>
      </c>
      <c r="I483" s="77">
        <f t="shared" si="15"/>
        <v>0.3125</v>
      </c>
    </row>
    <row r="484" spans="1:9">
      <c r="A484" s="85" t="str">
        <f>VLOOKUP('Informe Kelly'!A477,Base!A:B,2,FALSE)</f>
        <v>11.306.351-3</v>
      </c>
      <c r="B484" s="85" t="str">
        <f>VLOOKUP('Informe Kelly'!A477,Base!A:G,7,FALSE)</f>
        <v>MANQUIAN NORIEGA RUBEN MARCO</v>
      </c>
      <c r="C484" s="91">
        <f>'Informe Kelly'!E477</f>
        <v>40647</v>
      </c>
      <c r="D484" s="96">
        <f t="shared" si="14"/>
        <v>247</v>
      </c>
      <c r="E484" s="85" t="str">
        <f>VLOOKUP(A484,Ingreso!K:P,6,FALSE)</f>
        <v>Turno A</v>
      </c>
      <c r="F484" s="85" t="str">
        <f>IF('Informe Kelly'!H477=$A$2,'Informe Kelly'!F477,"")</f>
        <v/>
      </c>
      <c r="G484" s="85">
        <f>IF('Informe Kelly'!H477=$A$3,'Informe Kelly'!F477,"")</f>
        <v>0.63653935185185184</v>
      </c>
      <c r="H484" s="85">
        <f>IF(C484=C482,0,IF(D484=D483,0,(HLOOKUP(C484,Ingreso!$AN$10:$AU$260,VLOOKUP(A484,Ingreso!$AL$11:$AM$260,2,FALSE)))/24))</f>
        <v>0</v>
      </c>
      <c r="I484" s="77">
        <f t="shared" si="15"/>
        <v>0</v>
      </c>
    </row>
    <row r="485" spans="1:9">
      <c r="A485" s="85" t="str">
        <f>VLOOKUP('Informe Kelly'!A478,Base!A:B,2,FALSE)</f>
        <v>11.306.351-3</v>
      </c>
      <c r="B485" s="85" t="str">
        <f>VLOOKUP('Informe Kelly'!A478,Base!A:G,7,FALSE)</f>
        <v>MANQUIAN NORIEGA RUBEN MARCO</v>
      </c>
      <c r="C485" s="91">
        <f>'Informe Kelly'!E478</f>
        <v>40648</v>
      </c>
      <c r="D485" s="96">
        <f t="shared" si="14"/>
        <v>248</v>
      </c>
      <c r="E485" s="85" t="str">
        <f>VLOOKUP(A485,Ingreso!K:P,6,FALSE)</f>
        <v>Turno A</v>
      </c>
      <c r="F485" s="85" t="str">
        <f>IF('Informe Kelly'!H478=$A$2,'Informe Kelly'!F478,"")</f>
        <v/>
      </c>
      <c r="G485" s="85">
        <f>IF('Informe Kelly'!H478=$A$3,'Informe Kelly'!F478,"")</f>
        <v>0.63401620370370371</v>
      </c>
      <c r="H485" s="85">
        <f>IF(C485=C483,0,IF(D485=D484,0,(HLOOKUP(C485,Ingreso!$AN$10:$AU$260,VLOOKUP(A485,Ingreso!$AL$11:$AM$260,2,FALSE)))/24))</f>
        <v>0</v>
      </c>
      <c r="I485" s="77">
        <f t="shared" si="15"/>
        <v>0.3125</v>
      </c>
    </row>
    <row r="486" spans="1:9">
      <c r="A486" s="85" t="str">
        <f>VLOOKUP('Informe Kelly'!A479,Base!A:B,2,FALSE)</f>
        <v>11.306.351-3</v>
      </c>
      <c r="B486" s="85" t="str">
        <f>VLOOKUP('Informe Kelly'!A479,Base!A:G,7,FALSE)</f>
        <v>MANQUIAN NORIEGA RUBEN MARCO</v>
      </c>
      <c r="C486" s="91">
        <f>'Informe Kelly'!E479</f>
        <v>40648</v>
      </c>
      <c r="D486" s="96">
        <f t="shared" si="14"/>
        <v>248</v>
      </c>
      <c r="E486" s="85" t="str">
        <f>VLOOKUP(A486,Ingreso!K:P,6,FALSE)</f>
        <v>Turno A</v>
      </c>
      <c r="F486" s="85">
        <f>IF('Informe Kelly'!H479=$A$2,'Informe Kelly'!F479,"")</f>
        <v>0.27447916666666666</v>
      </c>
      <c r="G486" s="85" t="str">
        <f>IF('Informe Kelly'!H479=$A$3,'Informe Kelly'!F479,"")</f>
        <v/>
      </c>
      <c r="H486" s="85">
        <f>IF(C486=C484,0,IF(D486=D485,0,(HLOOKUP(C486,Ingreso!$AN$10:$AU$260,VLOOKUP(A486,Ingreso!$AL$11:$AM$260,2,FALSE)))/24))</f>
        <v>0</v>
      </c>
      <c r="I486" s="77">
        <f t="shared" si="15"/>
        <v>0</v>
      </c>
    </row>
    <row r="487" spans="1:9">
      <c r="A487" s="85" t="str">
        <f>VLOOKUP('Informe Kelly'!A480,Base!A:B,2,FALSE)</f>
        <v>11.306.351-3</v>
      </c>
      <c r="B487" s="85" t="str">
        <f>VLOOKUP('Informe Kelly'!A480,Base!A:G,7,FALSE)</f>
        <v>MANQUIAN NORIEGA RUBEN MARCO</v>
      </c>
      <c r="C487" s="91">
        <f>'Informe Kelly'!E480</f>
        <v>40649</v>
      </c>
      <c r="D487" s="96">
        <f t="shared" si="14"/>
        <v>249</v>
      </c>
      <c r="E487" s="85" t="str">
        <f>VLOOKUP(A487,Ingreso!K:P,6,FALSE)</f>
        <v>Turno A</v>
      </c>
      <c r="F487" s="85">
        <f>IF('Informe Kelly'!H480=$A$2,'Informe Kelly'!F480,"")</f>
        <v>0.27232638888888888</v>
      </c>
      <c r="G487" s="85" t="str">
        <f>IF('Informe Kelly'!H480=$A$3,'Informe Kelly'!F480,"")</f>
        <v/>
      </c>
      <c r="H487" s="85">
        <f>IF(C487=C485,0,IF(D487=D486,0,(HLOOKUP(C487,Ingreso!$AN$10:$AU$260,VLOOKUP(A487,Ingreso!$AL$11:$AM$260,2,FALSE)))/24))</f>
        <v>0</v>
      </c>
      <c r="I487" s="77">
        <f t="shared" si="15"/>
        <v>0.3125</v>
      </c>
    </row>
    <row r="488" spans="1:9">
      <c r="A488" s="85" t="str">
        <f>VLOOKUP('Informe Kelly'!A481,Base!A:B,2,FALSE)</f>
        <v>11.306.351-3</v>
      </c>
      <c r="B488" s="85" t="str">
        <f>VLOOKUP('Informe Kelly'!A481,Base!A:G,7,FALSE)</f>
        <v>MANQUIAN NORIEGA RUBEN MARCO</v>
      </c>
      <c r="C488" s="91">
        <f>'Informe Kelly'!E481</f>
        <v>40649</v>
      </c>
      <c r="D488" s="96">
        <f t="shared" si="14"/>
        <v>249</v>
      </c>
      <c r="E488" s="85" t="str">
        <f>VLOOKUP(A488,Ingreso!K:P,6,FALSE)</f>
        <v>Turno A</v>
      </c>
      <c r="F488" s="85" t="str">
        <f>IF('Informe Kelly'!H481=$A$2,'Informe Kelly'!F481,"")</f>
        <v/>
      </c>
      <c r="G488" s="85">
        <f>IF('Informe Kelly'!H481=$A$3,'Informe Kelly'!F481,"")</f>
        <v>0.6328125</v>
      </c>
      <c r="H488" s="85">
        <f>IF(C488=C486,0,IF(D488=D487,0,(HLOOKUP(C488,Ingreso!$AN$10:$AU$260,VLOOKUP(A488,Ingreso!$AL$11:$AM$260,2,FALSE)))/24))</f>
        <v>0</v>
      </c>
      <c r="I488" s="77">
        <f t="shared" si="15"/>
        <v>0</v>
      </c>
    </row>
    <row r="489" spans="1:9">
      <c r="A489" s="85" t="str">
        <f>VLOOKUP('Informe Kelly'!A482,Base!A:B,2,FALSE)</f>
        <v>11.325.204-9</v>
      </c>
      <c r="B489" s="85" t="str">
        <f>VLOOKUP('Informe Kelly'!A482,Base!A:G,7,FALSE)</f>
        <v>ALVARADO MARTINEZ LUIS ALBERTO</v>
      </c>
      <c r="C489" s="91">
        <f>'Informe Kelly'!E482</f>
        <v>40644</v>
      </c>
      <c r="D489" s="96">
        <f t="shared" si="14"/>
        <v>250</v>
      </c>
      <c r="E489" s="85" t="str">
        <f>VLOOKUP(A489,Ingreso!K:P,6,FALSE)</f>
        <v>Turno C</v>
      </c>
      <c r="F489" s="85">
        <f>IF('Informe Kelly'!H482=$A$2,'Informe Kelly'!F482,"")</f>
        <v>1.1111111111111111E-3</v>
      </c>
      <c r="G489" s="85" t="str">
        <f>IF('Informe Kelly'!H482=$A$3,'Informe Kelly'!F482,"")</f>
        <v/>
      </c>
      <c r="H489" s="85">
        <f>IF(C489=C487,0,IF(D489=D488,0,(HLOOKUP(C489,Ingreso!$AN$10:$AU$260,VLOOKUP(A489,Ingreso!$AL$11:$AM$260,2,FALSE)))/24))</f>
        <v>0.3125</v>
      </c>
      <c r="I489" s="77">
        <f t="shared" si="15"/>
        <v>0.375</v>
      </c>
    </row>
    <row r="490" spans="1:9">
      <c r="A490" s="85" t="str">
        <f>VLOOKUP('Informe Kelly'!A483,Base!A:B,2,FALSE)</f>
        <v>11.325.204-9</v>
      </c>
      <c r="B490" s="85" t="str">
        <f>VLOOKUP('Informe Kelly'!A483,Base!A:G,7,FALSE)</f>
        <v>ALVARADO MARTINEZ LUIS ALBERTO</v>
      </c>
      <c r="C490" s="91">
        <f>'Informe Kelly'!E483</f>
        <v>40644</v>
      </c>
      <c r="D490" s="96">
        <f t="shared" si="14"/>
        <v>250</v>
      </c>
      <c r="E490" s="85" t="str">
        <f>VLOOKUP(A490,Ingreso!K:P,6,FALSE)</f>
        <v>Turno C</v>
      </c>
      <c r="F490" s="85" t="str">
        <f>IF('Informe Kelly'!H483=$A$2,'Informe Kelly'!F483,"")</f>
        <v/>
      </c>
      <c r="G490" s="85">
        <f>IF('Informe Kelly'!H483=$A$3,'Informe Kelly'!F483,"")</f>
        <v>0.31119212962962967</v>
      </c>
      <c r="H490" s="85">
        <f>IF(C490=C488,0,IF(D490=D489,0,(HLOOKUP(C490,Ingreso!$AN$10:$AU$260,VLOOKUP(A490,Ingreso!$AL$11:$AM$260,2,FALSE)))/24))</f>
        <v>0</v>
      </c>
      <c r="I490" s="77">
        <f t="shared" si="15"/>
        <v>0</v>
      </c>
    </row>
    <row r="491" spans="1:9">
      <c r="A491" s="85" t="str">
        <f>VLOOKUP('Informe Kelly'!A484,Base!A:B,2,FALSE)</f>
        <v>11.325.204-9</v>
      </c>
      <c r="B491" s="85" t="str">
        <f>VLOOKUP('Informe Kelly'!A484,Base!A:G,7,FALSE)</f>
        <v>ALVARADO MARTINEZ LUIS ALBERTO</v>
      </c>
      <c r="C491" s="91">
        <f>'Informe Kelly'!E484</f>
        <v>40644</v>
      </c>
      <c r="D491" s="96">
        <f t="shared" si="14"/>
        <v>251</v>
      </c>
      <c r="E491" s="85" t="str">
        <f>VLOOKUP(A491,Ingreso!K:P,6,FALSE)</f>
        <v>Turno C</v>
      </c>
      <c r="F491" s="85">
        <f>IF('Informe Kelly'!H484=$A$2,'Informe Kelly'!F484,"")</f>
        <v>0.93616898148148142</v>
      </c>
      <c r="G491" s="85" t="str">
        <f>IF('Informe Kelly'!H484=$A$3,'Informe Kelly'!F484,"")</f>
        <v/>
      </c>
      <c r="H491" s="85">
        <f>IF(C491=C489,0,IF(D491=D490,0,(HLOOKUP(C491,Ingreso!$AN$10:$AU$260,VLOOKUP(A491,Ingreso!$AL$11:$AM$260,2,FALSE)))/24))</f>
        <v>0</v>
      </c>
      <c r="I491" s="77">
        <f t="shared" si="15"/>
        <v>0</v>
      </c>
    </row>
    <row r="492" spans="1:9">
      <c r="A492" s="85" t="str">
        <f>VLOOKUP('Informe Kelly'!A485,Base!A:B,2,FALSE)</f>
        <v>11.325.204-9</v>
      </c>
      <c r="B492" s="85" t="str">
        <f>VLOOKUP('Informe Kelly'!A485,Base!A:G,7,FALSE)</f>
        <v>ALVARADO MARTINEZ LUIS ALBERTO</v>
      </c>
      <c r="C492" s="91">
        <f>'Informe Kelly'!E485</f>
        <v>40645</v>
      </c>
      <c r="D492" s="96">
        <f t="shared" si="14"/>
        <v>252</v>
      </c>
      <c r="E492" s="85" t="str">
        <f>VLOOKUP(A492,Ingreso!K:P,6,FALSE)</f>
        <v>Turno C</v>
      </c>
      <c r="F492" s="85" t="str">
        <f>IF('Informe Kelly'!H485=$A$2,'Informe Kelly'!F485,"")</f>
        <v/>
      </c>
      <c r="G492" s="85">
        <f>IF('Informe Kelly'!H485=$A$3,'Informe Kelly'!F485,"")</f>
        <v>0.31472222222222224</v>
      </c>
      <c r="H492" s="85">
        <f>IF(C492=C490,0,IF(D492=D491,0,(HLOOKUP(C492,Ingreso!$AN$10:$AU$260,VLOOKUP(A492,Ingreso!$AL$11:$AM$260,2,FALSE)))/24))</f>
        <v>0</v>
      </c>
      <c r="I492" s="77">
        <f t="shared" si="15"/>
        <v>0.375</v>
      </c>
    </row>
    <row r="493" spans="1:9">
      <c r="A493" s="85" t="str">
        <f>VLOOKUP('Informe Kelly'!A486,Base!A:B,2,FALSE)</f>
        <v>11.325.204-9</v>
      </c>
      <c r="B493" s="85" t="str">
        <f>VLOOKUP('Informe Kelly'!A486,Base!A:G,7,FALSE)</f>
        <v>ALVARADO MARTINEZ LUIS ALBERTO</v>
      </c>
      <c r="C493" s="91">
        <f>'Informe Kelly'!E486</f>
        <v>40645</v>
      </c>
      <c r="D493" s="96">
        <f t="shared" si="14"/>
        <v>252</v>
      </c>
      <c r="E493" s="85" t="str">
        <f>VLOOKUP(A493,Ingreso!K:P,6,FALSE)</f>
        <v>Turno C</v>
      </c>
      <c r="F493" s="85">
        <f>IF('Informe Kelly'!H486=$A$2,'Informe Kelly'!F486,"")</f>
        <v>0.93530092592592595</v>
      </c>
      <c r="G493" s="85" t="str">
        <f>IF('Informe Kelly'!H486=$A$3,'Informe Kelly'!F486,"")</f>
        <v/>
      </c>
      <c r="H493" s="85">
        <f>IF(C493=C491,0,IF(D493=D492,0,(HLOOKUP(C493,Ingreso!$AN$10:$AU$260,VLOOKUP(A493,Ingreso!$AL$11:$AM$260,2,FALSE)))/24))</f>
        <v>0</v>
      </c>
      <c r="I493" s="77">
        <f t="shared" si="15"/>
        <v>0</v>
      </c>
    </row>
    <row r="494" spans="1:9">
      <c r="A494" s="85" t="str">
        <f>VLOOKUP('Informe Kelly'!A487,Base!A:B,2,FALSE)</f>
        <v>11.325.204-9</v>
      </c>
      <c r="B494" s="85" t="str">
        <f>VLOOKUP('Informe Kelly'!A487,Base!A:G,7,FALSE)</f>
        <v>ALVARADO MARTINEZ LUIS ALBERTO</v>
      </c>
      <c r="C494" s="91">
        <f>'Informe Kelly'!E487</f>
        <v>40646</v>
      </c>
      <c r="D494" s="96">
        <f t="shared" si="14"/>
        <v>253</v>
      </c>
      <c r="E494" s="85" t="str">
        <f>VLOOKUP(A494,Ingreso!K:P,6,FALSE)</f>
        <v>Turno C</v>
      </c>
      <c r="F494" s="85" t="str">
        <f>IF('Informe Kelly'!H487=$A$2,'Informe Kelly'!F487,"")</f>
        <v/>
      </c>
      <c r="G494" s="85">
        <f>IF('Informe Kelly'!H487=$A$3,'Informe Kelly'!F487,"")</f>
        <v>0.31687500000000002</v>
      </c>
      <c r="H494" s="85">
        <f>IF(C494=C492,0,IF(D494=D493,0,(HLOOKUP(C494,Ingreso!$AN$10:$AU$260,VLOOKUP(A494,Ingreso!$AL$11:$AM$260,2,FALSE)))/24))</f>
        <v>0</v>
      </c>
      <c r="I494" s="77">
        <f t="shared" si="15"/>
        <v>0.375</v>
      </c>
    </row>
    <row r="495" spans="1:9">
      <c r="A495" s="85" t="str">
        <f>VLOOKUP('Informe Kelly'!A488,Base!A:B,2,FALSE)</f>
        <v>11.347.053-4</v>
      </c>
      <c r="B495" s="85" t="str">
        <f>VLOOKUP('Informe Kelly'!A488,Base!A:G,7,FALSE)</f>
        <v>CRUZ ROMERO LUISA ISABEL</v>
      </c>
      <c r="C495" s="91">
        <f>'Informe Kelly'!E488</f>
        <v>40644</v>
      </c>
      <c r="D495" s="96">
        <f t="shared" si="14"/>
        <v>254</v>
      </c>
      <c r="E495" s="85" t="str">
        <f>VLOOKUP(A495,Ingreso!K:P,6,FALSE)</f>
        <v>Turno B</v>
      </c>
      <c r="F495" s="85">
        <f>IF('Informe Kelly'!H488=$A$2,'Informe Kelly'!F488,"")</f>
        <v>0.62167824074074074</v>
      </c>
      <c r="G495" s="85" t="str">
        <f>IF('Informe Kelly'!H488=$A$3,'Informe Kelly'!F488,"")</f>
        <v/>
      </c>
      <c r="H495" s="85">
        <f>IF(C495=C493,0,IF(D495=D494,0,(HLOOKUP(C495,Ingreso!$AN$10:$AU$260,VLOOKUP(A495,Ingreso!$AL$11:$AM$260,2,FALSE)))/24))</f>
        <v>0</v>
      </c>
      <c r="I495" s="77">
        <f t="shared" si="15"/>
        <v>0.3125</v>
      </c>
    </row>
    <row r="496" spans="1:9">
      <c r="A496" s="85" t="str">
        <f>VLOOKUP('Informe Kelly'!A489,Base!A:B,2,FALSE)</f>
        <v>11.347.053-4</v>
      </c>
      <c r="B496" s="85" t="str">
        <f>VLOOKUP('Informe Kelly'!A489,Base!A:G,7,FALSE)</f>
        <v>CRUZ ROMERO LUISA ISABEL</v>
      </c>
      <c r="C496" s="91">
        <f>'Informe Kelly'!E489</f>
        <v>40644</v>
      </c>
      <c r="D496" s="96">
        <f t="shared" si="14"/>
        <v>254</v>
      </c>
      <c r="E496" s="85" t="str">
        <f>VLOOKUP(A496,Ingreso!K:P,6,FALSE)</f>
        <v>Turno B</v>
      </c>
      <c r="F496" s="85" t="str">
        <f>IF('Informe Kelly'!H489=$A$2,'Informe Kelly'!F489,"")</f>
        <v/>
      </c>
      <c r="G496" s="85">
        <f>IF('Informe Kelly'!H489=$A$3,'Informe Kelly'!F489,"")</f>
        <v>0.94493055555555561</v>
      </c>
      <c r="H496" s="85">
        <f>IF(C496=C494,0,IF(D496=D495,0,(HLOOKUP(C496,Ingreso!$AN$10:$AU$260,VLOOKUP(A496,Ingreso!$AL$11:$AM$260,2,FALSE)))/24))</f>
        <v>0</v>
      </c>
      <c r="I496" s="77">
        <f t="shared" si="15"/>
        <v>0</v>
      </c>
    </row>
    <row r="497" spans="1:9">
      <c r="A497" s="85" t="str">
        <f>VLOOKUP('Informe Kelly'!A490,Base!A:B,2,FALSE)</f>
        <v>11.347.053-4</v>
      </c>
      <c r="B497" s="85" t="str">
        <f>VLOOKUP('Informe Kelly'!A490,Base!A:G,7,FALSE)</f>
        <v>CRUZ ROMERO LUISA ISABEL</v>
      </c>
      <c r="C497" s="91">
        <f>'Informe Kelly'!E490</f>
        <v>40645</v>
      </c>
      <c r="D497" s="96">
        <f t="shared" si="14"/>
        <v>255</v>
      </c>
      <c r="E497" s="85" t="str">
        <f>VLOOKUP(A497,Ingreso!K:P,6,FALSE)</f>
        <v>Turno B</v>
      </c>
      <c r="F497" s="85">
        <f>IF('Informe Kelly'!H490=$A$2,'Informe Kelly'!F490,"")</f>
        <v>0.61546296296296299</v>
      </c>
      <c r="G497" s="85" t="str">
        <f>IF('Informe Kelly'!H490=$A$3,'Informe Kelly'!F490,"")</f>
        <v/>
      </c>
      <c r="H497" s="85">
        <f>IF(C497=C495,0,IF(D497=D496,0,(HLOOKUP(C497,Ingreso!$AN$10:$AU$260,VLOOKUP(A497,Ingreso!$AL$11:$AM$260,2,FALSE)))/24))</f>
        <v>0</v>
      </c>
      <c r="I497" s="77">
        <f t="shared" si="15"/>
        <v>0.3125</v>
      </c>
    </row>
    <row r="498" spans="1:9">
      <c r="A498" s="85" t="str">
        <f>VLOOKUP('Informe Kelly'!A491,Base!A:B,2,FALSE)</f>
        <v>11.347.053-4</v>
      </c>
      <c r="B498" s="85" t="str">
        <f>VLOOKUP('Informe Kelly'!A491,Base!A:G,7,FALSE)</f>
        <v>CRUZ ROMERO LUISA ISABEL</v>
      </c>
      <c r="C498" s="91">
        <f>'Informe Kelly'!E491</f>
        <v>40645</v>
      </c>
      <c r="D498" s="96">
        <f t="shared" si="14"/>
        <v>255</v>
      </c>
      <c r="E498" s="85" t="str">
        <f>VLOOKUP(A498,Ingreso!K:P,6,FALSE)</f>
        <v>Turno B</v>
      </c>
      <c r="F498" s="85" t="str">
        <f>IF('Informe Kelly'!H491=$A$2,'Informe Kelly'!F491,"")</f>
        <v/>
      </c>
      <c r="G498" s="85">
        <f>IF('Informe Kelly'!H491=$A$3,'Informe Kelly'!F491,"")</f>
        <v>0.94528935185185192</v>
      </c>
      <c r="H498" s="85">
        <f>IF(C498=C496,0,IF(D498=D497,0,(HLOOKUP(C498,Ingreso!$AN$10:$AU$260,VLOOKUP(A498,Ingreso!$AL$11:$AM$260,2,FALSE)))/24))</f>
        <v>0</v>
      </c>
      <c r="I498" s="77">
        <f t="shared" si="15"/>
        <v>0</v>
      </c>
    </row>
    <row r="499" spans="1:9">
      <c r="A499" s="85" t="str">
        <f>VLOOKUP('Informe Kelly'!A492,Base!A:B,2,FALSE)</f>
        <v>11.347.053-4</v>
      </c>
      <c r="B499" s="85" t="str">
        <f>VLOOKUP('Informe Kelly'!A492,Base!A:G,7,FALSE)</f>
        <v>CRUZ ROMERO LUISA ISABEL</v>
      </c>
      <c r="C499" s="91">
        <f>'Informe Kelly'!E492</f>
        <v>40646</v>
      </c>
      <c r="D499" s="96">
        <f t="shared" si="14"/>
        <v>256</v>
      </c>
      <c r="E499" s="85" t="str">
        <f>VLOOKUP(A499,Ingreso!K:P,6,FALSE)</f>
        <v>Turno B</v>
      </c>
      <c r="F499" s="85">
        <f>IF('Informe Kelly'!H492=$A$2,'Informe Kelly'!F492,"")</f>
        <v>0.61871527777777779</v>
      </c>
      <c r="G499" s="85" t="str">
        <f>IF('Informe Kelly'!H492=$A$3,'Informe Kelly'!F492,"")</f>
        <v/>
      </c>
      <c r="H499" s="85">
        <f>IF(C499=C497,0,IF(D499=D498,0,(HLOOKUP(C499,Ingreso!$AN$10:$AU$260,VLOOKUP(A499,Ingreso!$AL$11:$AM$260,2,FALSE)))/24))</f>
        <v>0</v>
      </c>
      <c r="I499" s="77">
        <f t="shared" si="15"/>
        <v>0.3125</v>
      </c>
    </row>
    <row r="500" spans="1:9">
      <c r="A500" s="85" t="str">
        <f>VLOOKUP('Informe Kelly'!A493,Base!A:B,2,FALSE)</f>
        <v>11.347.053-4</v>
      </c>
      <c r="B500" s="85" t="str">
        <f>VLOOKUP('Informe Kelly'!A493,Base!A:G,7,FALSE)</f>
        <v>CRUZ ROMERO LUISA ISABEL</v>
      </c>
      <c r="C500" s="91">
        <f>'Informe Kelly'!E493</f>
        <v>40646</v>
      </c>
      <c r="D500" s="96">
        <f t="shared" si="14"/>
        <v>256</v>
      </c>
      <c r="E500" s="85" t="str">
        <f>VLOOKUP(A500,Ingreso!K:P,6,FALSE)</f>
        <v>Turno B</v>
      </c>
      <c r="F500" s="85" t="str">
        <f>IF('Informe Kelly'!H493=$A$2,'Informe Kelly'!F493,"")</f>
        <v/>
      </c>
      <c r="G500" s="85">
        <f>IF('Informe Kelly'!H493=$A$3,'Informe Kelly'!F493,"")</f>
        <v>0.94495370370370368</v>
      </c>
      <c r="H500" s="85">
        <f>IF(C500=C498,0,IF(D500=D499,0,(HLOOKUP(C500,Ingreso!$AN$10:$AU$260,VLOOKUP(A500,Ingreso!$AL$11:$AM$260,2,FALSE)))/24))</f>
        <v>0</v>
      </c>
      <c r="I500" s="77">
        <f t="shared" si="15"/>
        <v>0</v>
      </c>
    </row>
    <row r="501" spans="1:9">
      <c r="A501" s="85" t="str">
        <f>VLOOKUP('Informe Kelly'!A494,Base!A:B,2,FALSE)</f>
        <v>11.347.053-4</v>
      </c>
      <c r="B501" s="85" t="str">
        <f>VLOOKUP('Informe Kelly'!A494,Base!A:G,7,FALSE)</f>
        <v>CRUZ ROMERO LUISA ISABEL</v>
      </c>
      <c r="C501" s="91">
        <f>'Informe Kelly'!E494</f>
        <v>40647</v>
      </c>
      <c r="D501" s="96">
        <f t="shared" si="14"/>
        <v>257</v>
      </c>
      <c r="E501" s="85" t="str">
        <f>VLOOKUP(A501,Ingreso!K:P,6,FALSE)</f>
        <v>Turno B</v>
      </c>
      <c r="F501" s="85">
        <f>IF('Informe Kelly'!H494=$A$2,'Informe Kelly'!F494,"")</f>
        <v>0.62449074074074074</v>
      </c>
      <c r="G501" s="85" t="str">
        <f>IF('Informe Kelly'!H494=$A$3,'Informe Kelly'!F494,"")</f>
        <v/>
      </c>
      <c r="H501" s="85">
        <f>IF(C501=C499,0,IF(D501=D500,0,(HLOOKUP(C501,Ingreso!$AN$10:$AU$260,VLOOKUP(A501,Ingreso!$AL$11:$AM$260,2,FALSE)))/24))</f>
        <v>0</v>
      </c>
      <c r="I501" s="77">
        <f t="shared" si="15"/>
        <v>0.3125</v>
      </c>
    </row>
    <row r="502" spans="1:9">
      <c r="A502" s="85" t="str">
        <f>VLOOKUP('Informe Kelly'!A495,Base!A:B,2,FALSE)</f>
        <v>11.347.053-4</v>
      </c>
      <c r="B502" s="85" t="str">
        <f>VLOOKUP('Informe Kelly'!A495,Base!A:G,7,FALSE)</f>
        <v>CRUZ ROMERO LUISA ISABEL</v>
      </c>
      <c r="C502" s="91">
        <f>'Informe Kelly'!E495</f>
        <v>40647</v>
      </c>
      <c r="D502" s="96">
        <f t="shared" si="14"/>
        <v>257</v>
      </c>
      <c r="E502" s="85" t="str">
        <f>VLOOKUP(A502,Ingreso!K:P,6,FALSE)</f>
        <v>Turno B</v>
      </c>
      <c r="F502" s="85" t="str">
        <f>IF('Informe Kelly'!H495=$A$2,'Informe Kelly'!F495,"")</f>
        <v/>
      </c>
      <c r="G502" s="85">
        <f>IF('Informe Kelly'!H495=$A$3,'Informe Kelly'!F495,"")</f>
        <v>0.93994212962962964</v>
      </c>
      <c r="H502" s="85">
        <f>IF(C502=C500,0,IF(D502=D501,0,(HLOOKUP(C502,Ingreso!$AN$10:$AU$260,VLOOKUP(A502,Ingreso!$AL$11:$AM$260,2,FALSE)))/24))</f>
        <v>0</v>
      </c>
      <c r="I502" s="77">
        <f t="shared" si="15"/>
        <v>0</v>
      </c>
    </row>
    <row r="503" spans="1:9">
      <c r="A503" s="85" t="str">
        <f>VLOOKUP('Informe Kelly'!A496,Base!A:B,2,FALSE)</f>
        <v>11.347.053-4</v>
      </c>
      <c r="B503" s="85" t="str">
        <f>VLOOKUP('Informe Kelly'!A496,Base!A:G,7,FALSE)</f>
        <v>CRUZ ROMERO LUISA ISABEL</v>
      </c>
      <c r="C503" s="91">
        <f>'Informe Kelly'!E496</f>
        <v>40648</v>
      </c>
      <c r="D503" s="96">
        <f t="shared" si="14"/>
        <v>258</v>
      </c>
      <c r="E503" s="85" t="str">
        <f>VLOOKUP(A503,Ingreso!K:P,6,FALSE)</f>
        <v>Turno B</v>
      </c>
      <c r="F503" s="85" t="str">
        <f>IF('Informe Kelly'!H496=$A$2,'Informe Kelly'!F496,"")</f>
        <v/>
      </c>
      <c r="G503" s="85">
        <f>IF('Informe Kelly'!H496=$A$3,'Informe Kelly'!F496,"")</f>
        <v>0.94780092592592602</v>
      </c>
      <c r="H503" s="85">
        <f>IF(C503=C501,0,IF(D503=D502,0,(HLOOKUP(C503,Ingreso!$AN$10:$AU$260,VLOOKUP(A503,Ingreso!$AL$11:$AM$260,2,FALSE)))/24))</f>
        <v>0</v>
      </c>
      <c r="I503" s="77">
        <f t="shared" si="15"/>
        <v>0.3125</v>
      </c>
    </row>
    <row r="504" spans="1:9">
      <c r="A504" s="85" t="str">
        <f>VLOOKUP('Informe Kelly'!A497,Base!A:B,2,FALSE)</f>
        <v>11.347.053-4</v>
      </c>
      <c r="B504" s="85" t="str">
        <f>VLOOKUP('Informe Kelly'!A497,Base!A:G,7,FALSE)</f>
        <v>CRUZ ROMERO LUISA ISABEL</v>
      </c>
      <c r="C504" s="91">
        <f>'Informe Kelly'!E497</f>
        <v>40648</v>
      </c>
      <c r="D504" s="96">
        <f t="shared" si="14"/>
        <v>258</v>
      </c>
      <c r="E504" s="85" t="str">
        <f>VLOOKUP(A504,Ingreso!K:P,6,FALSE)</f>
        <v>Turno B</v>
      </c>
      <c r="F504" s="85">
        <f>IF('Informe Kelly'!H497=$A$2,'Informe Kelly'!F497,"")</f>
        <v>0.60665509259259254</v>
      </c>
      <c r="G504" s="85" t="str">
        <f>IF('Informe Kelly'!H497=$A$3,'Informe Kelly'!F497,"")</f>
        <v/>
      </c>
      <c r="H504" s="85">
        <f>IF(C504=C502,0,IF(D504=D503,0,(HLOOKUP(C504,Ingreso!$AN$10:$AU$260,VLOOKUP(A504,Ingreso!$AL$11:$AM$260,2,FALSE)))/24))</f>
        <v>0</v>
      </c>
      <c r="I504" s="77">
        <f t="shared" si="15"/>
        <v>0</v>
      </c>
    </row>
    <row r="505" spans="1:9">
      <c r="A505" s="85" t="str">
        <f>VLOOKUP('Informe Kelly'!A498,Base!A:B,2,FALSE)</f>
        <v>11.347.053-4</v>
      </c>
      <c r="B505" s="85" t="str">
        <f>VLOOKUP('Informe Kelly'!A498,Base!A:G,7,FALSE)</f>
        <v>CRUZ ROMERO LUISA ISABEL</v>
      </c>
      <c r="C505" s="91">
        <f>'Informe Kelly'!E498</f>
        <v>40649</v>
      </c>
      <c r="D505" s="96">
        <f t="shared" si="14"/>
        <v>259</v>
      </c>
      <c r="E505" s="85" t="str">
        <f>VLOOKUP(A505,Ingreso!K:P,6,FALSE)</f>
        <v>Turno B</v>
      </c>
      <c r="F505" s="85">
        <f>IF('Informe Kelly'!H498=$A$2,'Informe Kelly'!F498,"")</f>
        <v>0.65135416666666668</v>
      </c>
      <c r="G505" s="85" t="str">
        <f>IF('Informe Kelly'!H498=$A$3,'Informe Kelly'!F498,"")</f>
        <v/>
      </c>
      <c r="H505" s="85">
        <f>IF(C505=C503,0,IF(D505=D504,0,(HLOOKUP(C505,Ingreso!$AN$10:$AU$260,VLOOKUP(A505,Ingreso!$AL$11:$AM$260,2,FALSE)))/24))</f>
        <v>0</v>
      </c>
      <c r="I505" s="77">
        <f t="shared" si="15"/>
        <v>0.3125</v>
      </c>
    </row>
    <row r="506" spans="1:9">
      <c r="A506" s="85" t="str">
        <f>VLOOKUP('Informe Kelly'!A499,Base!A:B,2,FALSE)</f>
        <v>11.347.053-4</v>
      </c>
      <c r="B506" s="85" t="str">
        <f>VLOOKUP('Informe Kelly'!A499,Base!A:G,7,FALSE)</f>
        <v>CRUZ ROMERO LUISA ISABEL</v>
      </c>
      <c r="C506" s="91">
        <f>'Informe Kelly'!E499</f>
        <v>40649</v>
      </c>
      <c r="D506" s="96">
        <f t="shared" si="14"/>
        <v>259</v>
      </c>
      <c r="E506" s="85" t="str">
        <f>VLOOKUP(A506,Ingreso!K:P,6,FALSE)</f>
        <v>Turno B</v>
      </c>
      <c r="F506" s="85" t="str">
        <f>IF('Informe Kelly'!H499=$A$2,'Informe Kelly'!F499,"")</f>
        <v/>
      </c>
      <c r="G506" s="85">
        <f>IF('Informe Kelly'!H499=$A$3,'Informe Kelly'!F499,"")</f>
        <v>0.9331828703703704</v>
      </c>
      <c r="H506" s="85">
        <f>IF(C506=C504,0,IF(D506=D505,0,(HLOOKUP(C506,Ingreso!$AN$10:$AU$260,VLOOKUP(A506,Ingreso!$AL$11:$AM$260,2,FALSE)))/24))</f>
        <v>0</v>
      </c>
      <c r="I506" s="77">
        <f t="shared" si="15"/>
        <v>0</v>
      </c>
    </row>
    <row r="507" spans="1:9">
      <c r="A507" s="85" t="str">
        <f>VLOOKUP('Informe Kelly'!A500,Base!A:B,2,FALSE)</f>
        <v>11.370.436-5</v>
      </c>
      <c r="B507" s="85" t="str">
        <f>VLOOKUP('Informe Kelly'!A500,Base!A:G,7,FALSE)</f>
        <v>MARDONES ALVARADO LUIS HUMBERTO</v>
      </c>
      <c r="C507" s="91">
        <f>'Informe Kelly'!E500</f>
        <v>40644</v>
      </c>
      <c r="D507" s="96">
        <f t="shared" si="14"/>
        <v>260</v>
      </c>
      <c r="E507" s="85" t="str">
        <f>VLOOKUP(A507,Ingreso!K:P,6,FALSE)</f>
        <v>Turno C</v>
      </c>
      <c r="F507" s="85">
        <f>IF('Informe Kelly'!H500=$A$2,'Informe Kelly'!F500,"")</f>
        <v>0.91861111111111116</v>
      </c>
      <c r="G507" s="85" t="str">
        <f>IF('Informe Kelly'!H500=$A$3,'Informe Kelly'!F500,"")</f>
        <v/>
      </c>
      <c r="H507" s="85">
        <f>IF(C507=C505,0,IF(D507=D506,0,(HLOOKUP(C507,Ingreso!$AN$10:$AU$260,VLOOKUP(A507,Ingreso!$AL$11:$AM$260,2,FALSE)))/24))</f>
        <v>0</v>
      </c>
      <c r="I507" s="77">
        <f t="shared" si="15"/>
        <v>0.375</v>
      </c>
    </row>
    <row r="508" spans="1:9">
      <c r="A508" s="85" t="str">
        <f>VLOOKUP('Informe Kelly'!A501,Base!A:B,2,FALSE)</f>
        <v>11.370.436-5</v>
      </c>
      <c r="B508" s="85" t="str">
        <f>VLOOKUP('Informe Kelly'!A501,Base!A:G,7,FALSE)</f>
        <v>MARDONES ALVARADO LUIS HUMBERTO</v>
      </c>
      <c r="C508" s="91">
        <f>'Informe Kelly'!E501</f>
        <v>40645</v>
      </c>
      <c r="D508" s="96">
        <f t="shared" si="14"/>
        <v>261</v>
      </c>
      <c r="E508" s="85" t="str">
        <f>VLOOKUP(A508,Ingreso!K:P,6,FALSE)</f>
        <v>Turno C</v>
      </c>
      <c r="F508" s="85" t="str">
        <f>IF('Informe Kelly'!H501=$A$2,'Informe Kelly'!F501,"")</f>
        <v/>
      </c>
      <c r="G508" s="85">
        <f>IF('Informe Kelly'!H501=$A$3,'Informe Kelly'!F501,"")</f>
        <v>0.31866898148148148</v>
      </c>
      <c r="H508" s="85">
        <f>IF(C508=C506,0,IF(D508=D507,0,(HLOOKUP(C508,Ingreso!$AN$10:$AU$260,VLOOKUP(A508,Ingreso!$AL$11:$AM$260,2,FALSE)))/24))</f>
        <v>0</v>
      </c>
      <c r="I508" s="77">
        <f t="shared" si="15"/>
        <v>0.375</v>
      </c>
    </row>
    <row r="509" spans="1:9">
      <c r="A509" s="85" t="str">
        <f>VLOOKUP('Informe Kelly'!A502,Base!A:B,2,FALSE)</f>
        <v>11.370.436-5</v>
      </c>
      <c r="B509" s="85" t="str">
        <f>VLOOKUP('Informe Kelly'!A502,Base!A:G,7,FALSE)</f>
        <v>MARDONES ALVARADO LUIS HUMBERTO</v>
      </c>
      <c r="C509" s="91">
        <f>'Informe Kelly'!E502</f>
        <v>40645</v>
      </c>
      <c r="D509" s="96">
        <f t="shared" si="14"/>
        <v>261</v>
      </c>
      <c r="E509" s="85" t="str">
        <f>VLOOKUP(A509,Ingreso!K:P,6,FALSE)</f>
        <v>Turno C</v>
      </c>
      <c r="F509" s="85">
        <f>IF('Informe Kelly'!H502=$A$2,'Informe Kelly'!F502,"")</f>
        <v>0.91828703703703696</v>
      </c>
      <c r="G509" s="85" t="str">
        <f>IF('Informe Kelly'!H502=$A$3,'Informe Kelly'!F502,"")</f>
        <v/>
      </c>
      <c r="H509" s="85">
        <f>IF(C509=C507,0,IF(D509=D508,0,(HLOOKUP(C509,Ingreso!$AN$10:$AU$260,VLOOKUP(A509,Ingreso!$AL$11:$AM$260,2,FALSE)))/24))</f>
        <v>0</v>
      </c>
      <c r="I509" s="77">
        <f t="shared" si="15"/>
        <v>0</v>
      </c>
    </row>
    <row r="510" spans="1:9">
      <c r="A510" s="85" t="str">
        <f>VLOOKUP('Informe Kelly'!A503,Base!A:B,2,FALSE)</f>
        <v>11.370.436-5</v>
      </c>
      <c r="B510" s="85" t="str">
        <f>VLOOKUP('Informe Kelly'!A503,Base!A:G,7,FALSE)</f>
        <v>MARDONES ALVARADO LUIS HUMBERTO</v>
      </c>
      <c r="C510" s="91">
        <f>'Informe Kelly'!E503</f>
        <v>40646</v>
      </c>
      <c r="D510" s="96">
        <f t="shared" si="14"/>
        <v>262</v>
      </c>
      <c r="E510" s="85" t="str">
        <f>VLOOKUP(A510,Ingreso!K:P,6,FALSE)</f>
        <v>Turno C</v>
      </c>
      <c r="F510" s="85" t="str">
        <f>IF('Informe Kelly'!H503=$A$2,'Informe Kelly'!F503,"")</f>
        <v/>
      </c>
      <c r="G510" s="85">
        <f>IF('Informe Kelly'!H503=$A$3,'Informe Kelly'!F503,"")</f>
        <v>0.32143518518518516</v>
      </c>
      <c r="H510" s="85">
        <f>IF(C510=C508,0,IF(D510=D509,0,(HLOOKUP(C510,Ingreso!$AN$10:$AU$260,VLOOKUP(A510,Ingreso!$AL$11:$AM$260,2,FALSE)))/24))</f>
        <v>0</v>
      </c>
      <c r="I510" s="77">
        <f t="shared" si="15"/>
        <v>0.375</v>
      </c>
    </row>
    <row r="511" spans="1:9">
      <c r="A511" s="85" t="str">
        <f>VLOOKUP('Informe Kelly'!A504,Base!A:B,2,FALSE)</f>
        <v>11.370.436-5</v>
      </c>
      <c r="B511" s="85" t="str">
        <f>VLOOKUP('Informe Kelly'!A504,Base!A:G,7,FALSE)</f>
        <v>MARDONES ALVARADO LUIS HUMBERTO</v>
      </c>
      <c r="C511" s="91">
        <f>'Informe Kelly'!E504</f>
        <v>40646</v>
      </c>
      <c r="D511" s="96">
        <f t="shared" si="14"/>
        <v>262</v>
      </c>
      <c r="E511" s="85" t="str">
        <f>VLOOKUP(A511,Ingreso!K:P,6,FALSE)</f>
        <v>Turno C</v>
      </c>
      <c r="F511" s="85">
        <f>IF('Informe Kelly'!H504=$A$2,'Informe Kelly'!F504,"")</f>
        <v>0.91770833333333324</v>
      </c>
      <c r="G511" s="85" t="str">
        <f>IF('Informe Kelly'!H504=$A$3,'Informe Kelly'!F504,"")</f>
        <v/>
      </c>
      <c r="H511" s="85">
        <f>IF(C511=C509,0,IF(D511=D510,0,(HLOOKUP(C511,Ingreso!$AN$10:$AU$260,VLOOKUP(A511,Ingreso!$AL$11:$AM$260,2,FALSE)))/24))</f>
        <v>0</v>
      </c>
      <c r="I511" s="77">
        <f t="shared" si="15"/>
        <v>0</v>
      </c>
    </row>
    <row r="512" spans="1:9">
      <c r="A512" s="85" t="str">
        <f>VLOOKUP('Informe Kelly'!A505,Base!A:B,2,FALSE)</f>
        <v>11.370.436-5</v>
      </c>
      <c r="B512" s="85" t="str">
        <f>VLOOKUP('Informe Kelly'!A505,Base!A:G,7,FALSE)</f>
        <v>MARDONES ALVARADO LUIS HUMBERTO</v>
      </c>
      <c r="C512" s="91">
        <f>'Informe Kelly'!E505</f>
        <v>40647</v>
      </c>
      <c r="D512" s="96">
        <f t="shared" si="14"/>
        <v>263</v>
      </c>
      <c r="E512" s="85" t="str">
        <f>VLOOKUP(A512,Ingreso!K:P,6,FALSE)</f>
        <v>Turno C</v>
      </c>
      <c r="F512" s="85" t="str">
        <f>IF('Informe Kelly'!H505=$A$2,'Informe Kelly'!F505,"")</f>
        <v/>
      </c>
      <c r="G512" s="85">
        <f>IF('Informe Kelly'!H505=$A$3,'Informe Kelly'!F505,"")</f>
        <v>0.32011574074074073</v>
      </c>
      <c r="H512" s="85">
        <f>IF(C512=C510,0,IF(D512=D511,0,(HLOOKUP(C512,Ingreso!$AN$10:$AU$260,VLOOKUP(A512,Ingreso!$AL$11:$AM$260,2,FALSE)))/24))</f>
        <v>0</v>
      </c>
      <c r="I512" s="77">
        <f t="shared" si="15"/>
        <v>0.375</v>
      </c>
    </row>
    <row r="513" spans="1:9">
      <c r="A513" s="85" t="str">
        <f>VLOOKUP('Informe Kelly'!A506,Base!A:B,2,FALSE)</f>
        <v>11.370.436-5</v>
      </c>
      <c r="B513" s="85" t="str">
        <f>VLOOKUP('Informe Kelly'!A506,Base!A:G,7,FALSE)</f>
        <v>MARDONES ALVARADO LUIS HUMBERTO</v>
      </c>
      <c r="C513" s="91">
        <f>'Informe Kelly'!E506</f>
        <v>40647</v>
      </c>
      <c r="D513" s="96">
        <f t="shared" si="14"/>
        <v>263</v>
      </c>
      <c r="E513" s="85" t="str">
        <f>VLOOKUP(A513,Ingreso!K:P,6,FALSE)</f>
        <v>Turno C</v>
      </c>
      <c r="F513" s="85">
        <f>IF('Informe Kelly'!H506=$A$2,'Informe Kelly'!F506,"")</f>
        <v>0.91357638888888892</v>
      </c>
      <c r="G513" s="85" t="str">
        <f>IF('Informe Kelly'!H506=$A$3,'Informe Kelly'!F506,"")</f>
        <v/>
      </c>
      <c r="H513" s="85">
        <f>IF(C513=C511,0,IF(D513=D512,0,(HLOOKUP(C513,Ingreso!$AN$10:$AU$260,VLOOKUP(A513,Ingreso!$AL$11:$AM$260,2,FALSE)))/24))</f>
        <v>0</v>
      </c>
      <c r="I513" s="77">
        <f t="shared" si="15"/>
        <v>0</v>
      </c>
    </row>
    <row r="514" spans="1:9">
      <c r="A514" s="85" t="str">
        <f>VLOOKUP('Informe Kelly'!A507,Base!A:B,2,FALSE)</f>
        <v>11.370.436-5</v>
      </c>
      <c r="B514" s="85" t="str">
        <f>VLOOKUP('Informe Kelly'!A507,Base!A:G,7,FALSE)</f>
        <v>MARDONES ALVARADO LUIS HUMBERTO</v>
      </c>
      <c r="C514" s="91">
        <f>'Informe Kelly'!E507</f>
        <v>40648</v>
      </c>
      <c r="D514" s="96">
        <f t="shared" si="14"/>
        <v>264</v>
      </c>
      <c r="E514" s="85" t="str">
        <f>VLOOKUP(A514,Ingreso!K:P,6,FALSE)</f>
        <v>Turno C</v>
      </c>
      <c r="F514" s="85">
        <f>IF('Informe Kelly'!H507=$A$2,'Informe Kelly'!F507,"")</f>
        <v>0.91994212962962962</v>
      </c>
      <c r="G514" s="85" t="str">
        <f>IF('Informe Kelly'!H507=$A$3,'Informe Kelly'!F507,"")</f>
        <v/>
      </c>
      <c r="H514" s="85">
        <f>IF(C514=C512,0,IF(D514=D513,0,(HLOOKUP(C514,Ingreso!$AN$10:$AU$260,VLOOKUP(A514,Ingreso!$AL$11:$AM$260,2,FALSE)))/24))</f>
        <v>0</v>
      </c>
      <c r="I514" s="77">
        <f t="shared" si="15"/>
        <v>0.375</v>
      </c>
    </row>
    <row r="515" spans="1:9">
      <c r="A515" s="85" t="str">
        <f>VLOOKUP('Informe Kelly'!A508,Base!A:B,2,FALSE)</f>
        <v>11.370.436-5</v>
      </c>
      <c r="B515" s="85" t="str">
        <f>VLOOKUP('Informe Kelly'!A508,Base!A:G,7,FALSE)</f>
        <v>MARDONES ALVARADO LUIS HUMBERTO</v>
      </c>
      <c r="C515" s="91">
        <f>'Informe Kelly'!E508</f>
        <v>40648</v>
      </c>
      <c r="D515" s="96">
        <f t="shared" si="14"/>
        <v>264</v>
      </c>
      <c r="E515" s="85" t="str">
        <f>VLOOKUP(A515,Ingreso!K:P,6,FALSE)</f>
        <v>Turno C</v>
      </c>
      <c r="F515" s="85" t="str">
        <f>IF('Informe Kelly'!H508=$A$2,'Informe Kelly'!F508,"")</f>
        <v/>
      </c>
      <c r="G515" s="85">
        <f>IF('Informe Kelly'!H508=$A$3,'Informe Kelly'!F508,"")</f>
        <v>0.32041666666666663</v>
      </c>
      <c r="H515" s="85">
        <f>IF(C515=C513,0,IF(D515=D514,0,(HLOOKUP(C515,Ingreso!$AN$10:$AU$260,VLOOKUP(A515,Ingreso!$AL$11:$AM$260,2,FALSE)))/24))</f>
        <v>0</v>
      </c>
      <c r="I515" s="77">
        <f t="shared" si="15"/>
        <v>0</v>
      </c>
    </row>
    <row r="516" spans="1:9">
      <c r="A516" s="85" t="str">
        <f>VLOOKUP('Informe Kelly'!A509,Base!A:B,2,FALSE)</f>
        <v>11.370.436-5</v>
      </c>
      <c r="B516" s="85" t="str">
        <f>VLOOKUP('Informe Kelly'!A509,Base!A:G,7,FALSE)</f>
        <v>MARDONES ALVARADO LUIS HUMBERTO</v>
      </c>
      <c r="C516" s="91">
        <f>'Informe Kelly'!E509</f>
        <v>40649</v>
      </c>
      <c r="D516" s="96">
        <f t="shared" si="14"/>
        <v>265</v>
      </c>
      <c r="E516" s="85" t="str">
        <f>VLOOKUP(A516,Ingreso!K:P,6,FALSE)</f>
        <v>Turno C</v>
      </c>
      <c r="F516" s="85" t="str">
        <f>IF('Informe Kelly'!H509=$A$2,'Informe Kelly'!F509,"")</f>
        <v/>
      </c>
      <c r="G516" s="85">
        <f>IF('Informe Kelly'!H509=$A$3,'Informe Kelly'!F509,"")</f>
        <v>0.31913194444444443</v>
      </c>
      <c r="H516" s="85">
        <f>IF(C516=C514,0,IF(D516=D515,0,(HLOOKUP(C516,Ingreso!$AN$10:$AU$260,VLOOKUP(A516,Ingreso!$AL$11:$AM$260,2,FALSE)))/24))</f>
        <v>0</v>
      </c>
      <c r="I516" s="77">
        <f t="shared" si="15"/>
        <v>0.375</v>
      </c>
    </row>
    <row r="517" spans="1:9">
      <c r="A517" s="85" t="str">
        <f>VLOOKUP('Informe Kelly'!A510,Base!A:B,2,FALSE)</f>
        <v>11.523.497-8</v>
      </c>
      <c r="B517" s="85" t="str">
        <f>VLOOKUP('Informe Kelly'!A510,Base!A:G,7,FALSE)</f>
        <v>NARVAI DIAZ LUIS</v>
      </c>
      <c r="C517" s="91">
        <f>'Informe Kelly'!E510</f>
        <v>40644</v>
      </c>
      <c r="D517" s="96">
        <f t="shared" si="14"/>
        <v>266</v>
      </c>
      <c r="E517" s="85" t="str">
        <f>VLOOKUP(A517,Ingreso!K:P,6,FALSE)</f>
        <v>Admin</v>
      </c>
      <c r="F517" s="85">
        <f>IF('Informe Kelly'!H510=$A$2,'Informe Kelly'!F510,"")</f>
        <v>0.45630787037037041</v>
      </c>
      <c r="G517" s="85" t="str">
        <f>IF('Informe Kelly'!H510=$A$3,'Informe Kelly'!F510,"")</f>
        <v/>
      </c>
      <c r="H517" s="85">
        <f>IF(C517=C515,0,IF(D517=D516,0,(HLOOKUP(C517,Ingreso!$AN$10:$AU$260,VLOOKUP(A517,Ingreso!$AL$11:$AM$260,2,FALSE)))/24))</f>
        <v>0</v>
      </c>
      <c r="I517" s="77">
        <f t="shared" si="15"/>
        <v>0.41666666666666669</v>
      </c>
    </row>
    <row r="518" spans="1:9">
      <c r="A518" s="85" t="str">
        <f>VLOOKUP('Informe Kelly'!A511,Base!A:B,2,FALSE)</f>
        <v>11.523.497-8</v>
      </c>
      <c r="B518" s="85" t="str">
        <f>VLOOKUP('Informe Kelly'!A511,Base!A:G,7,FALSE)</f>
        <v>NARVAI DIAZ LUIS</v>
      </c>
      <c r="C518" s="91">
        <f>'Informe Kelly'!E511</f>
        <v>40644</v>
      </c>
      <c r="D518" s="96">
        <f t="shared" si="14"/>
        <v>266</v>
      </c>
      <c r="E518" s="85" t="str">
        <f>VLOOKUP(A518,Ingreso!K:P,6,FALSE)</f>
        <v>Admin</v>
      </c>
      <c r="F518" s="85" t="str">
        <f>IF('Informe Kelly'!H511=$A$2,'Informe Kelly'!F511,"")</f>
        <v/>
      </c>
      <c r="G518" s="85">
        <f>IF('Informe Kelly'!H511=$A$3,'Informe Kelly'!F511,"")</f>
        <v>0.81133101851851841</v>
      </c>
      <c r="H518" s="85">
        <f>IF(C518=C516,0,IF(D518=D517,0,(HLOOKUP(C518,Ingreso!$AN$10:$AU$260,VLOOKUP(A518,Ingreso!$AL$11:$AM$260,2,FALSE)))/24))</f>
        <v>0</v>
      </c>
      <c r="I518" s="77">
        <f t="shared" si="15"/>
        <v>0</v>
      </c>
    </row>
    <row r="519" spans="1:9">
      <c r="A519" s="85" t="str">
        <f>VLOOKUP('Informe Kelly'!A512,Base!A:B,2,FALSE)</f>
        <v>11.523.497-8</v>
      </c>
      <c r="B519" s="85" t="str">
        <f>VLOOKUP('Informe Kelly'!A512,Base!A:G,7,FALSE)</f>
        <v>NARVAI DIAZ LUIS</v>
      </c>
      <c r="C519" s="91">
        <f>'Informe Kelly'!E512</f>
        <v>40645</v>
      </c>
      <c r="D519" s="96">
        <f t="shared" si="14"/>
        <v>267</v>
      </c>
      <c r="E519" s="85" t="str">
        <f>VLOOKUP(A519,Ingreso!K:P,6,FALSE)</f>
        <v>Admin</v>
      </c>
      <c r="F519" s="85">
        <f>IF('Informe Kelly'!H512=$A$2,'Informe Kelly'!F512,"")</f>
        <v>0.301875</v>
      </c>
      <c r="G519" s="85" t="str">
        <f>IF('Informe Kelly'!H512=$A$3,'Informe Kelly'!F512,"")</f>
        <v/>
      </c>
      <c r="H519" s="85">
        <f>IF(C519=C517,0,IF(D519=D518,0,(HLOOKUP(C519,Ingreso!$AN$10:$AU$260,VLOOKUP(A519,Ingreso!$AL$11:$AM$260,2,FALSE)))/24))</f>
        <v>8.3333333333333329E-2</v>
      </c>
      <c r="I519" s="77">
        <f t="shared" si="15"/>
        <v>0.41666666666666669</v>
      </c>
    </row>
    <row r="520" spans="1:9">
      <c r="A520" s="85" t="str">
        <f>VLOOKUP('Informe Kelly'!A513,Base!A:B,2,FALSE)</f>
        <v>11.523.497-8</v>
      </c>
      <c r="B520" s="85" t="str">
        <f>VLOOKUP('Informe Kelly'!A513,Base!A:G,7,FALSE)</f>
        <v>NARVAI DIAZ LUIS</v>
      </c>
      <c r="C520" s="91">
        <f>'Informe Kelly'!E513</f>
        <v>40645</v>
      </c>
      <c r="D520" s="96">
        <f t="shared" si="14"/>
        <v>267</v>
      </c>
      <c r="E520" s="85" t="str">
        <f>VLOOKUP(A520,Ingreso!K:P,6,FALSE)</f>
        <v>Admin</v>
      </c>
      <c r="F520" s="85" t="str">
        <f>IF('Informe Kelly'!H513=$A$2,'Informe Kelly'!F513,"")</f>
        <v/>
      </c>
      <c r="G520" s="85">
        <f>IF('Informe Kelly'!H513=$A$3,'Informe Kelly'!F513,"")</f>
        <v>0.80799768518518522</v>
      </c>
      <c r="H520" s="85">
        <f>IF(C520=C518,0,IF(D520=D519,0,(HLOOKUP(C520,Ingreso!$AN$10:$AU$260,VLOOKUP(A520,Ingreso!$AL$11:$AM$260,2,FALSE)))/24))</f>
        <v>0</v>
      </c>
      <c r="I520" s="77">
        <f t="shared" si="15"/>
        <v>0</v>
      </c>
    </row>
    <row r="521" spans="1:9">
      <c r="A521" s="85" t="str">
        <f>VLOOKUP('Informe Kelly'!A514,Base!A:B,2,FALSE)</f>
        <v>11.523.497-8</v>
      </c>
      <c r="B521" s="85" t="str">
        <f>VLOOKUP('Informe Kelly'!A514,Base!A:G,7,FALSE)</f>
        <v>NARVAI DIAZ LUIS</v>
      </c>
      <c r="C521" s="91">
        <f>'Informe Kelly'!E514</f>
        <v>40646</v>
      </c>
      <c r="D521" s="96">
        <f t="shared" ref="D521:D584" si="16">IF(C520=C521,IF(C521=C518,D520,IF(C521=C519,D520+1,D520)),D520+1)</f>
        <v>268</v>
      </c>
      <c r="E521" s="85" t="str">
        <f>VLOOKUP(A521,Ingreso!K:P,6,FALSE)</f>
        <v>Admin</v>
      </c>
      <c r="F521" s="85">
        <f>IF('Informe Kelly'!H514=$A$2,'Informe Kelly'!F514,"")</f>
        <v>0.30016203703703703</v>
      </c>
      <c r="G521" s="85" t="str">
        <f>IF('Informe Kelly'!H514=$A$3,'Informe Kelly'!F514,"")</f>
        <v/>
      </c>
      <c r="H521" s="85">
        <f>IF(C521=C519,0,IF(D521=D520,0,(HLOOKUP(C521,Ingreso!$AN$10:$AU$260,VLOOKUP(A521,Ingreso!$AL$11:$AM$260,2,FALSE)))/24))</f>
        <v>8.3333333333333329E-2</v>
      </c>
      <c r="I521" s="77">
        <f t="shared" si="15"/>
        <v>0.41666666666666669</v>
      </c>
    </row>
    <row r="522" spans="1:9">
      <c r="A522" s="85" t="str">
        <f>VLOOKUP('Informe Kelly'!A515,Base!A:B,2,FALSE)</f>
        <v>11.523.497-8</v>
      </c>
      <c r="B522" s="85" t="str">
        <f>VLOOKUP('Informe Kelly'!A515,Base!A:G,7,FALSE)</f>
        <v>NARVAI DIAZ LUIS</v>
      </c>
      <c r="C522" s="91">
        <f>'Informe Kelly'!E515</f>
        <v>40646</v>
      </c>
      <c r="D522" s="96">
        <f t="shared" si="16"/>
        <v>268</v>
      </c>
      <c r="E522" s="85" t="str">
        <f>VLOOKUP(A522,Ingreso!K:P,6,FALSE)</f>
        <v>Admin</v>
      </c>
      <c r="F522" s="85" t="str">
        <f>IF('Informe Kelly'!H515=$A$2,'Informe Kelly'!F515,"")</f>
        <v/>
      </c>
      <c r="G522" s="85">
        <f>IF('Informe Kelly'!H515=$A$3,'Informe Kelly'!F515,"")</f>
        <v>0.80461805555555566</v>
      </c>
      <c r="H522" s="85">
        <f>IF(C522=C520,0,IF(D522=D521,0,(HLOOKUP(C522,Ingreso!$AN$10:$AU$260,VLOOKUP(A522,Ingreso!$AL$11:$AM$260,2,FALSE)))/24))</f>
        <v>0</v>
      </c>
      <c r="I522" s="77">
        <f t="shared" ref="I522:I585" si="17">IF(C522=C520,0,IF(D522=D521,0,(VLOOKUP(E522,$C$2:$D$5,2,FALSE))))</f>
        <v>0</v>
      </c>
    </row>
    <row r="523" spans="1:9">
      <c r="A523" s="85" t="str">
        <f>VLOOKUP('Informe Kelly'!A516,Base!A:B,2,FALSE)</f>
        <v>11.523.497-8</v>
      </c>
      <c r="B523" s="85" t="str">
        <f>VLOOKUP('Informe Kelly'!A516,Base!A:G,7,FALSE)</f>
        <v>NARVAI DIAZ LUIS</v>
      </c>
      <c r="C523" s="91">
        <f>'Informe Kelly'!E516</f>
        <v>40647</v>
      </c>
      <c r="D523" s="96">
        <f t="shared" si="16"/>
        <v>269</v>
      </c>
      <c r="E523" s="85" t="str">
        <f>VLOOKUP(A523,Ingreso!K:P,6,FALSE)</f>
        <v>Admin</v>
      </c>
      <c r="F523" s="85">
        <f>IF('Informe Kelly'!H516=$A$2,'Informe Kelly'!F516,"")</f>
        <v>0.30615740740740743</v>
      </c>
      <c r="G523" s="85" t="str">
        <f>IF('Informe Kelly'!H516=$A$3,'Informe Kelly'!F516,"")</f>
        <v/>
      </c>
      <c r="H523" s="85">
        <f>IF(C523=C521,0,IF(D523=D522,0,(HLOOKUP(C523,Ingreso!$AN$10:$AU$260,VLOOKUP(A523,Ingreso!$AL$11:$AM$260,2,FALSE)))/24))</f>
        <v>8.3333333333333329E-2</v>
      </c>
      <c r="I523" s="77">
        <f t="shared" si="17"/>
        <v>0.41666666666666669</v>
      </c>
    </row>
    <row r="524" spans="1:9">
      <c r="A524" s="85" t="str">
        <f>VLOOKUP('Informe Kelly'!A517,Base!A:B,2,FALSE)</f>
        <v>11.523.497-8</v>
      </c>
      <c r="B524" s="85" t="str">
        <f>VLOOKUP('Informe Kelly'!A517,Base!A:G,7,FALSE)</f>
        <v>NARVAI DIAZ LUIS</v>
      </c>
      <c r="C524" s="91">
        <f>'Informe Kelly'!E517</f>
        <v>40647</v>
      </c>
      <c r="D524" s="96">
        <f t="shared" si="16"/>
        <v>269</v>
      </c>
      <c r="E524" s="85" t="str">
        <f>VLOOKUP(A524,Ingreso!K:P,6,FALSE)</f>
        <v>Admin</v>
      </c>
      <c r="F524" s="85" t="str">
        <f>IF('Informe Kelly'!H517=$A$2,'Informe Kelly'!F517,"")</f>
        <v/>
      </c>
      <c r="G524" s="85">
        <f>IF('Informe Kelly'!H517=$A$3,'Informe Kelly'!F517,"")</f>
        <v>0.80834490740740739</v>
      </c>
      <c r="H524" s="85">
        <f>IF(C524=C522,0,IF(D524=D523,0,(HLOOKUP(C524,Ingreso!$AN$10:$AU$260,VLOOKUP(A524,Ingreso!$AL$11:$AM$260,2,FALSE)))/24))</f>
        <v>0</v>
      </c>
      <c r="I524" s="77">
        <f t="shared" si="17"/>
        <v>0</v>
      </c>
    </row>
    <row r="525" spans="1:9">
      <c r="A525" s="85" t="str">
        <f>VLOOKUP('Informe Kelly'!A518,Base!A:B,2,FALSE)</f>
        <v>11.523.497-8</v>
      </c>
      <c r="B525" s="85" t="str">
        <f>VLOOKUP('Informe Kelly'!A518,Base!A:G,7,FALSE)</f>
        <v>NARVAI DIAZ LUIS</v>
      </c>
      <c r="C525" s="91">
        <f>'Informe Kelly'!E518</f>
        <v>40648</v>
      </c>
      <c r="D525" s="96">
        <f t="shared" si="16"/>
        <v>270</v>
      </c>
      <c r="E525" s="85" t="str">
        <f>VLOOKUP(A525,Ingreso!K:P,6,FALSE)</f>
        <v>Admin</v>
      </c>
      <c r="F525" s="85" t="str">
        <f>IF('Informe Kelly'!H518=$A$2,'Informe Kelly'!F518,"")</f>
        <v/>
      </c>
      <c r="G525" s="85">
        <f>IF('Informe Kelly'!H518=$A$3,'Informe Kelly'!F518,"")</f>
        <v>0.81415509259259267</v>
      </c>
      <c r="H525" s="85">
        <f>IF(C525=C523,0,IF(D525=D524,0,(HLOOKUP(C525,Ingreso!$AN$10:$AU$260,VLOOKUP(A525,Ingreso!$AL$11:$AM$260,2,FALSE)))/24))</f>
        <v>8.3333333333333329E-2</v>
      </c>
      <c r="I525" s="77">
        <f t="shared" si="17"/>
        <v>0.41666666666666669</v>
      </c>
    </row>
    <row r="526" spans="1:9">
      <c r="A526" s="85" t="str">
        <f>VLOOKUP('Informe Kelly'!A519,Base!A:B,2,FALSE)</f>
        <v>11.523.497-8</v>
      </c>
      <c r="B526" s="85" t="str">
        <f>VLOOKUP('Informe Kelly'!A519,Base!A:G,7,FALSE)</f>
        <v>NARVAI DIAZ LUIS</v>
      </c>
      <c r="C526" s="91">
        <f>'Informe Kelly'!E519</f>
        <v>40648</v>
      </c>
      <c r="D526" s="96">
        <f t="shared" si="16"/>
        <v>270</v>
      </c>
      <c r="E526" s="85" t="str">
        <f>VLOOKUP(A526,Ingreso!K:P,6,FALSE)</f>
        <v>Admin</v>
      </c>
      <c r="F526" s="85">
        <f>IF('Informe Kelly'!H519=$A$2,'Informe Kelly'!F519,"")</f>
        <v>0.30197916666666663</v>
      </c>
      <c r="G526" s="85" t="str">
        <f>IF('Informe Kelly'!H519=$A$3,'Informe Kelly'!F519,"")</f>
        <v/>
      </c>
      <c r="H526" s="85">
        <f>IF(C526=C524,0,IF(D526=D525,0,(HLOOKUP(C526,Ingreso!$AN$10:$AU$260,VLOOKUP(A526,Ingreso!$AL$11:$AM$260,2,FALSE)))/24))</f>
        <v>0</v>
      </c>
      <c r="I526" s="77">
        <f t="shared" si="17"/>
        <v>0</v>
      </c>
    </row>
    <row r="527" spans="1:9">
      <c r="A527" s="85" t="str">
        <f>VLOOKUP('Informe Kelly'!A520,Base!A:B,2,FALSE)</f>
        <v>11.656.057-7</v>
      </c>
      <c r="B527" s="85" t="str">
        <f>VLOOKUP('Informe Kelly'!A520,Base!A:G,7,FALSE)</f>
        <v>IBAÑEZ GRANIFO PAOLO CESAR</v>
      </c>
      <c r="C527" s="91">
        <f>'Informe Kelly'!E520</f>
        <v>40644</v>
      </c>
      <c r="D527" s="96">
        <f t="shared" si="16"/>
        <v>271</v>
      </c>
      <c r="E527" s="85" t="str">
        <f>VLOOKUP(A527,Ingreso!K:P,6,FALSE)</f>
        <v>Turno C</v>
      </c>
      <c r="F527" s="85">
        <f>IF('Informe Kelly'!H520=$A$2,'Informe Kelly'!F520,"")</f>
        <v>0.92013888888888884</v>
      </c>
      <c r="G527" s="85" t="str">
        <f>IF('Informe Kelly'!H520=$A$3,'Informe Kelly'!F520,"")</f>
        <v/>
      </c>
      <c r="H527" s="85">
        <f>IF(C527=C525,0,IF(D527=D526,0,(HLOOKUP(C527,Ingreso!$AN$10:$AU$260,VLOOKUP(A527,Ingreso!$AL$11:$AM$260,2,FALSE)))/24))</f>
        <v>0</v>
      </c>
      <c r="I527" s="77">
        <f t="shared" si="17"/>
        <v>0.375</v>
      </c>
    </row>
    <row r="528" spans="1:9">
      <c r="A528" s="85" t="str">
        <f>VLOOKUP('Informe Kelly'!A521,Base!A:B,2,FALSE)</f>
        <v>11.656.057-7</v>
      </c>
      <c r="B528" s="85" t="str">
        <f>VLOOKUP('Informe Kelly'!A521,Base!A:G,7,FALSE)</f>
        <v>IBAÑEZ GRANIFO PAOLO CESAR</v>
      </c>
      <c r="C528" s="91">
        <f>'Informe Kelly'!E521</f>
        <v>40645</v>
      </c>
      <c r="D528" s="96">
        <f t="shared" si="16"/>
        <v>272</v>
      </c>
      <c r="E528" s="85" t="str">
        <f>VLOOKUP(A528,Ingreso!K:P,6,FALSE)</f>
        <v>Turno C</v>
      </c>
      <c r="F528" s="85" t="str">
        <f>IF('Informe Kelly'!H521=$A$2,'Informe Kelly'!F521,"")</f>
        <v/>
      </c>
      <c r="G528" s="85">
        <f>IF('Informe Kelly'!H521=$A$3,'Informe Kelly'!F521,"")</f>
        <v>0.32199074074074074</v>
      </c>
      <c r="H528" s="85">
        <f>IF(C528=C526,0,IF(D528=D527,0,(HLOOKUP(C528,Ingreso!$AN$10:$AU$260,VLOOKUP(A528,Ingreso!$AL$11:$AM$260,2,FALSE)))/24))</f>
        <v>0</v>
      </c>
      <c r="I528" s="77">
        <f t="shared" si="17"/>
        <v>0.375</v>
      </c>
    </row>
    <row r="529" spans="1:9">
      <c r="A529" s="85" t="str">
        <f>VLOOKUP('Informe Kelly'!A522,Base!A:B,2,FALSE)</f>
        <v>11.656.057-7</v>
      </c>
      <c r="B529" s="85" t="str">
        <f>VLOOKUP('Informe Kelly'!A522,Base!A:G,7,FALSE)</f>
        <v>IBAÑEZ GRANIFO PAOLO CESAR</v>
      </c>
      <c r="C529" s="91">
        <f>'Informe Kelly'!E522</f>
        <v>40645</v>
      </c>
      <c r="D529" s="96">
        <f t="shared" si="16"/>
        <v>272</v>
      </c>
      <c r="E529" s="85" t="str">
        <f>VLOOKUP(A529,Ingreso!K:P,6,FALSE)</f>
        <v>Turno C</v>
      </c>
      <c r="F529" s="85">
        <f>IF('Informe Kelly'!H522=$A$2,'Informe Kelly'!F522,"")</f>
        <v>0.9199652777777777</v>
      </c>
      <c r="G529" s="85" t="str">
        <f>IF('Informe Kelly'!H522=$A$3,'Informe Kelly'!F522,"")</f>
        <v/>
      </c>
      <c r="H529" s="85">
        <f>IF(C529=C527,0,IF(D529=D528,0,(HLOOKUP(C529,Ingreso!$AN$10:$AU$260,VLOOKUP(A529,Ingreso!$AL$11:$AM$260,2,FALSE)))/24))</f>
        <v>0</v>
      </c>
      <c r="I529" s="77">
        <f t="shared" si="17"/>
        <v>0</v>
      </c>
    </row>
    <row r="530" spans="1:9">
      <c r="A530" s="85" t="str">
        <f>VLOOKUP('Informe Kelly'!A523,Base!A:B,2,FALSE)</f>
        <v>11.656.057-7</v>
      </c>
      <c r="B530" s="85" t="str">
        <f>VLOOKUP('Informe Kelly'!A523,Base!A:G,7,FALSE)</f>
        <v>IBAÑEZ GRANIFO PAOLO CESAR</v>
      </c>
      <c r="C530" s="91">
        <f>'Informe Kelly'!E523</f>
        <v>40646</v>
      </c>
      <c r="D530" s="96">
        <f t="shared" si="16"/>
        <v>273</v>
      </c>
      <c r="E530" s="85" t="str">
        <f>VLOOKUP(A530,Ingreso!K:P,6,FALSE)</f>
        <v>Turno C</v>
      </c>
      <c r="F530" s="85" t="str">
        <f>IF('Informe Kelly'!H523=$A$2,'Informe Kelly'!F523,"")</f>
        <v/>
      </c>
      <c r="G530" s="85">
        <f>IF('Informe Kelly'!H523=$A$3,'Informe Kelly'!F523,"")</f>
        <v>0.3259259259259259</v>
      </c>
      <c r="H530" s="85">
        <f>IF(C530=C528,0,IF(D530=D529,0,(HLOOKUP(C530,Ingreso!$AN$10:$AU$260,VLOOKUP(A530,Ingreso!$AL$11:$AM$260,2,FALSE)))/24))</f>
        <v>0</v>
      </c>
      <c r="I530" s="77">
        <f t="shared" si="17"/>
        <v>0.375</v>
      </c>
    </row>
    <row r="531" spans="1:9">
      <c r="A531" s="85" t="str">
        <f>VLOOKUP('Informe Kelly'!A524,Base!A:B,2,FALSE)</f>
        <v>11.656.057-7</v>
      </c>
      <c r="B531" s="85" t="str">
        <f>VLOOKUP('Informe Kelly'!A524,Base!A:G,7,FALSE)</f>
        <v>IBAÑEZ GRANIFO PAOLO CESAR</v>
      </c>
      <c r="C531" s="91">
        <f>'Informe Kelly'!E524</f>
        <v>40646</v>
      </c>
      <c r="D531" s="96">
        <f t="shared" si="16"/>
        <v>273</v>
      </c>
      <c r="E531" s="85" t="str">
        <f>VLOOKUP(A531,Ingreso!K:P,6,FALSE)</f>
        <v>Turno C</v>
      </c>
      <c r="F531" s="85">
        <f>IF('Informe Kelly'!H524=$A$2,'Informe Kelly'!F524,"")</f>
        <v>0.91923611111111114</v>
      </c>
      <c r="G531" s="85" t="str">
        <f>IF('Informe Kelly'!H524=$A$3,'Informe Kelly'!F524,"")</f>
        <v/>
      </c>
      <c r="H531" s="85">
        <f>IF(C531=C529,0,IF(D531=D530,0,(HLOOKUP(C531,Ingreso!$AN$10:$AU$260,VLOOKUP(A531,Ingreso!$AL$11:$AM$260,2,FALSE)))/24))</f>
        <v>0</v>
      </c>
      <c r="I531" s="77">
        <f t="shared" si="17"/>
        <v>0</v>
      </c>
    </row>
    <row r="532" spans="1:9">
      <c r="A532" s="85" t="str">
        <f>VLOOKUP('Informe Kelly'!A525,Base!A:B,2,FALSE)</f>
        <v>11.656.057-7</v>
      </c>
      <c r="B532" s="85" t="str">
        <f>VLOOKUP('Informe Kelly'!A525,Base!A:G,7,FALSE)</f>
        <v>IBAÑEZ GRANIFO PAOLO CESAR</v>
      </c>
      <c r="C532" s="91">
        <f>'Informe Kelly'!E525</f>
        <v>40647</v>
      </c>
      <c r="D532" s="96">
        <f t="shared" si="16"/>
        <v>274</v>
      </c>
      <c r="E532" s="85" t="str">
        <f>VLOOKUP(A532,Ingreso!K:P,6,FALSE)</f>
        <v>Turno C</v>
      </c>
      <c r="F532" s="85" t="str">
        <f>IF('Informe Kelly'!H525=$A$2,'Informe Kelly'!F525,"")</f>
        <v/>
      </c>
      <c r="G532" s="85">
        <f>IF('Informe Kelly'!H525=$A$3,'Informe Kelly'!F525,"")</f>
        <v>0.32678240740740744</v>
      </c>
      <c r="H532" s="85">
        <f>IF(C532=C530,0,IF(D532=D531,0,(HLOOKUP(C532,Ingreso!$AN$10:$AU$260,VLOOKUP(A532,Ingreso!$AL$11:$AM$260,2,FALSE)))/24))</f>
        <v>0</v>
      </c>
      <c r="I532" s="77">
        <f t="shared" si="17"/>
        <v>0.375</v>
      </c>
    </row>
    <row r="533" spans="1:9">
      <c r="A533" s="85" t="str">
        <f>VLOOKUP('Informe Kelly'!A526,Base!A:B,2,FALSE)</f>
        <v>11.656.057-7</v>
      </c>
      <c r="B533" s="85" t="str">
        <f>VLOOKUP('Informe Kelly'!A526,Base!A:G,7,FALSE)</f>
        <v>IBAÑEZ GRANIFO PAOLO CESAR</v>
      </c>
      <c r="C533" s="91">
        <f>'Informe Kelly'!E526</f>
        <v>40647</v>
      </c>
      <c r="D533" s="96">
        <f t="shared" si="16"/>
        <v>274</v>
      </c>
      <c r="E533" s="85" t="str">
        <f>VLOOKUP(A533,Ingreso!K:P,6,FALSE)</f>
        <v>Turno C</v>
      </c>
      <c r="F533" s="85">
        <f>IF('Informe Kelly'!H526=$A$2,'Informe Kelly'!F526,"")</f>
        <v>0.92137731481481477</v>
      </c>
      <c r="G533" s="85" t="str">
        <f>IF('Informe Kelly'!H526=$A$3,'Informe Kelly'!F526,"")</f>
        <v/>
      </c>
      <c r="H533" s="85">
        <f>IF(C533=C531,0,IF(D533=D532,0,(HLOOKUP(C533,Ingreso!$AN$10:$AU$260,VLOOKUP(A533,Ingreso!$AL$11:$AM$260,2,FALSE)))/24))</f>
        <v>0</v>
      </c>
      <c r="I533" s="77">
        <f t="shared" si="17"/>
        <v>0</v>
      </c>
    </row>
    <row r="534" spans="1:9">
      <c r="A534" s="85" t="str">
        <f>VLOOKUP('Informe Kelly'!A527,Base!A:B,2,FALSE)</f>
        <v>11.656.057-7</v>
      </c>
      <c r="B534" s="85" t="str">
        <f>VLOOKUP('Informe Kelly'!A527,Base!A:G,7,FALSE)</f>
        <v>IBAÑEZ GRANIFO PAOLO CESAR</v>
      </c>
      <c r="C534" s="91">
        <f>'Informe Kelly'!E527</f>
        <v>40648</v>
      </c>
      <c r="D534" s="96">
        <f t="shared" si="16"/>
        <v>275</v>
      </c>
      <c r="E534" s="85" t="str">
        <f>VLOOKUP(A534,Ingreso!K:P,6,FALSE)</f>
        <v>Turno C</v>
      </c>
      <c r="F534" s="85">
        <f>IF('Informe Kelly'!H527=$A$2,'Informe Kelly'!F527,"")</f>
        <v>0.92123842592592586</v>
      </c>
      <c r="G534" s="85" t="str">
        <f>IF('Informe Kelly'!H527=$A$3,'Informe Kelly'!F527,"")</f>
        <v/>
      </c>
      <c r="H534" s="85">
        <f>IF(C534=C532,0,IF(D534=D533,0,(HLOOKUP(C534,Ingreso!$AN$10:$AU$260,VLOOKUP(A534,Ingreso!$AL$11:$AM$260,2,FALSE)))/24))</f>
        <v>0</v>
      </c>
      <c r="I534" s="77">
        <f t="shared" si="17"/>
        <v>0.375</v>
      </c>
    </row>
    <row r="535" spans="1:9">
      <c r="A535" s="85" t="str">
        <f>VLOOKUP('Informe Kelly'!A528,Base!A:B,2,FALSE)</f>
        <v>11.656.057-7</v>
      </c>
      <c r="B535" s="85" t="str">
        <f>VLOOKUP('Informe Kelly'!A528,Base!A:G,7,FALSE)</f>
        <v>IBAÑEZ GRANIFO PAOLO CESAR</v>
      </c>
      <c r="C535" s="91">
        <f>'Informe Kelly'!E528</f>
        <v>40648</v>
      </c>
      <c r="D535" s="96">
        <f t="shared" si="16"/>
        <v>275</v>
      </c>
      <c r="E535" s="85" t="str">
        <f>VLOOKUP(A535,Ingreso!K:P,6,FALSE)</f>
        <v>Turno C</v>
      </c>
      <c r="F535" s="85" t="str">
        <f>IF('Informe Kelly'!H528=$A$2,'Informe Kelly'!F528,"")</f>
        <v/>
      </c>
      <c r="G535" s="85">
        <f>IF('Informe Kelly'!H528=$A$3,'Informe Kelly'!F528,"")</f>
        <v>0.32297453703703705</v>
      </c>
      <c r="H535" s="85">
        <f>IF(C535=C533,0,IF(D535=D534,0,(HLOOKUP(C535,Ingreso!$AN$10:$AU$260,VLOOKUP(A535,Ingreso!$AL$11:$AM$260,2,FALSE)))/24))</f>
        <v>0</v>
      </c>
      <c r="I535" s="77">
        <f t="shared" si="17"/>
        <v>0</v>
      </c>
    </row>
    <row r="536" spans="1:9">
      <c r="A536" s="85" t="str">
        <f>VLOOKUP('Informe Kelly'!A529,Base!A:B,2,FALSE)</f>
        <v>11.656.057-7</v>
      </c>
      <c r="B536" s="85" t="str">
        <f>VLOOKUP('Informe Kelly'!A529,Base!A:G,7,FALSE)</f>
        <v>IBAÑEZ GRANIFO PAOLO CESAR</v>
      </c>
      <c r="C536" s="91">
        <f>'Informe Kelly'!E529</f>
        <v>40649</v>
      </c>
      <c r="D536" s="96">
        <f t="shared" si="16"/>
        <v>276</v>
      </c>
      <c r="E536" s="85" t="str">
        <f>VLOOKUP(A536,Ingreso!K:P,6,FALSE)</f>
        <v>Turno C</v>
      </c>
      <c r="F536" s="85" t="str">
        <f>IF('Informe Kelly'!H529=$A$2,'Informe Kelly'!F529,"")</f>
        <v/>
      </c>
      <c r="G536" s="85">
        <f>IF('Informe Kelly'!H529=$A$3,'Informe Kelly'!F529,"")</f>
        <v>0.3210763888888889</v>
      </c>
      <c r="H536" s="85">
        <f>IF(C536=C534,0,IF(D536=D535,0,(HLOOKUP(C536,Ingreso!$AN$10:$AU$260,VLOOKUP(A536,Ingreso!$AL$11:$AM$260,2,FALSE)))/24))</f>
        <v>0</v>
      </c>
      <c r="I536" s="77">
        <f t="shared" si="17"/>
        <v>0.375</v>
      </c>
    </row>
    <row r="537" spans="1:9">
      <c r="A537" s="85" t="str">
        <f>VLOOKUP('Informe Kelly'!A530,Base!A:B,2,FALSE)</f>
        <v>11.659.510-9</v>
      </c>
      <c r="B537" s="85" t="str">
        <f>VLOOKUP('Informe Kelly'!A530,Base!A:G,7,FALSE)</f>
        <v>MUÑOZ MUÑOZ CLAUDIO ARTURO</v>
      </c>
      <c r="C537" s="91">
        <f>'Informe Kelly'!E530</f>
        <v>40644</v>
      </c>
      <c r="D537" s="96">
        <f t="shared" si="16"/>
        <v>277</v>
      </c>
      <c r="E537" s="85" t="str">
        <f>VLOOKUP(A537,Ingreso!K:P,6,FALSE)</f>
        <v>Turno B</v>
      </c>
      <c r="F537" s="85">
        <f>IF('Informe Kelly'!H530=$A$2,'Informe Kelly'!F530,"")</f>
        <v>0.61578703703703697</v>
      </c>
      <c r="G537" s="85" t="str">
        <f>IF('Informe Kelly'!H530=$A$3,'Informe Kelly'!F530,"")</f>
        <v/>
      </c>
      <c r="H537" s="85">
        <f>IF(C537=C535,0,IF(D537=D536,0,(HLOOKUP(C537,Ingreso!$AN$10:$AU$260,VLOOKUP(A537,Ingreso!$AL$11:$AM$260,2,FALSE)))/24))</f>
        <v>0</v>
      </c>
      <c r="I537" s="77">
        <f t="shared" si="17"/>
        <v>0.3125</v>
      </c>
    </row>
    <row r="538" spans="1:9">
      <c r="A538" s="85" t="str">
        <f>VLOOKUP('Informe Kelly'!A531,Base!A:B,2,FALSE)</f>
        <v>11.659.510-9</v>
      </c>
      <c r="B538" s="85" t="str">
        <f>VLOOKUP('Informe Kelly'!A531,Base!A:G,7,FALSE)</f>
        <v>MUÑOZ MUÑOZ CLAUDIO ARTURO</v>
      </c>
      <c r="C538" s="91">
        <f>'Informe Kelly'!E531</f>
        <v>40644</v>
      </c>
      <c r="D538" s="96">
        <f t="shared" si="16"/>
        <v>277</v>
      </c>
      <c r="E538" s="85" t="str">
        <f>VLOOKUP(A538,Ingreso!K:P,6,FALSE)</f>
        <v>Turno B</v>
      </c>
      <c r="F538" s="85" t="str">
        <f>IF('Informe Kelly'!H531=$A$2,'Informe Kelly'!F531,"")</f>
        <v/>
      </c>
      <c r="G538" s="85">
        <f>IF('Informe Kelly'!H531=$A$3,'Informe Kelly'!F531,"")</f>
        <v>0.94127314814814811</v>
      </c>
      <c r="H538" s="85">
        <f>IF(C538=C536,0,IF(D538=D537,0,(HLOOKUP(C538,Ingreso!$AN$10:$AU$260,VLOOKUP(A538,Ingreso!$AL$11:$AM$260,2,FALSE)))/24))</f>
        <v>0</v>
      </c>
      <c r="I538" s="77">
        <f t="shared" si="17"/>
        <v>0</v>
      </c>
    </row>
    <row r="539" spans="1:9">
      <c r="A539" s="85" t="str">
        <f>VLOOKUP('Informe Kelly'!A532,Base!A:B,2,FALSE)</f>
        <v>11.659.510-9</v>
      </c>
      <c r="B539" s="85" t="str">
        <f>VLOOKUP('Informe Kelly'!A532,Base!A:G,7,FALSE)</f>
        <v>MUÑOZ MUÑOZ CLAUDIO ARTURO</v>
      </c>
      <c r="C539" s="91">
        <f>'Informe Kelly'!E532</f>
        <v>40645</v>
      </c>
      <c r="D539" s="96">
        <f t="shared" si="16"/>
        <v>278</v>
      </c>
      <c r="E539" s="85" t="str">
        <f>VLOOKUP(A539,Ingreso!K:P,6,FALSE)</f>
        <v>Turno B</v>
      </c>
      <c r="F539" s="85">
        <f>IF('Informe Kelly'!H532=$A$2,'Informe Kelly'!F532,"")</f>
        <v>0.61706018518518524</v>
      </c>
      <c r="G539" s="85" t="str">
        <f>IF('Informe Kelly'!H532=$A$3,'Informe Kelly'!F532,"")</f>
        <v/>
      </c>
      <c r="H539" s="85">
        <f>IF(C539=C537,0,IF(D539=D538,0,(HLOOKUP(C539,Ingreso!$AN$10:$AU$260,VLOOKUP(A539,Ingreso!$AL$11:$AM$260,2,FALSE)))/24))</f>
        <v>0</v>
      </c>
      <c r="I539" s="77">
        <f t="shared" si="17"/>
        <v>0.3125</v>
      </c>
    </row>
    <row r="540" spans="1:9">
      <c r="A540" s="85" t="str">
        <f>VLOOKUP('Informe Kelly'!A533,Base!A:B,2,FALSE)</f>
        <v>11.659.510-9</v>
      </c>
      <c r="B540" s="85" t="str">
        <f>VLOOKUP('Informe Kelly'!A533,Base!A:G,7,FALSE)</f>
        <v>MUÑOZ MUÑOZ CLAUDIO ARTURO</v>
      </c>
      <c r="C540" s="91">
        <f>'Informe Kelly'!E533</f>
        <v>40645</v>
      </c>
      <c r="D540" s="96">
        <f t="shared" si="16"/>
        <v>278</v>
      </c>
      <c r="E540" s="85" t="str">
        <f>VLOOKUP(A540,Ingreso!K:P,6,FALSE)</f>
        <v>Turno B</v>
      </c>
      <c r="F540" s="85" t="str">
        <f>IF('Informe Kelly'!H533=$A$2,'Informe Kelly'!F533,"")</f>
        <v/>
      </c>
      <c r="G540" s="85">
        <f>IF('Informe Kelly'!H533=$A$3,'Informe Kelly'!F533,"")</f>
        <v>0.9446296296296296</v>
      </c>
      <c r="H540" s="85">
        <f>IF(C540=C538,0,IF(D540=D539,0,(HLOOKUP(C540,Ingreso!$AN$10:$AU$260,VLOOKUP(A540,Ingreso!$AL$11:$AM$260,2,FALSE)))/24))</f>
        <v>0</v>
      </c>
      <c r="I540" s="77">
        <f t="shared" si="17"/>
        <v>0</v>
      </c>
    </row>
    <row r="541" spans="1:9">
      <c r="A541" s="85" t="str">
        <f>VLOOKUP('Informe Kelly'!A534,Base!A:B,2,FALSE)</f>
        <v>11.659.510-9</v>
      </c>
      <c r="B541" s="85" t="str">
        <f>VLOOKUP('Informe Kelly'!A534,Base!A:G,7,FALSE)</f>
        <v>MUÑOZ MUÑOZ CLAUDIO ARTURO</v>
      </c>
      <c r="C541" s="91">
        <f>'Informe Kelly'!E534</f>
        <v>40646</v>
      </c>
      <c r="D541" s="96">
        <f t="shared" si="16"/>
        <v>279</v>
      </c>
      <c r="E541" s="85" t="str">
        <f>VLOOKUP(A541,Ingreso!K:P,6,FALSE)</f>
        <v>Turno B</v>
      </c>
      <c r="F541" s="85">
        <f>IF('Informe Kelly'!H534=$A$2,'Informe Kelly'!F534,"")</f>
        <v>0.57582175925925927</v>
      </c>
      <c r="G541" s="85" t="str">
        <f>IF('Informe Kelly'!H534=$A$3,'Informe Kelly'!F534,"")</f>
        <v/>
      </c>
      <c r="H541" s="85">
        <f>IF(C541=C539,0,IF(D541=D540,0,(HLOOKUP(C541,Ingreso!$AN$10:$AU$260,VLOOKUP(A541,Ingreso!$AL$11:$AM$260,2,FALSE)))/24))</f>
        <v>4.1666666666666664E-2</v>
      </c>
      <c r="I541" s="77">
        <f t="shared" si="17"/>
        <v>0.3125</v>
      </c>
    </row>
    <row r="542" spans="1:9">
      <c r="A542" s="85" t="str">
        <f>VLOOKUP('Informe Kelly'!A535,Base!A:B,2,FALSE)</f>
        <v>11.659.510-9</v>
      </c>
      <c r="B542" s="85" t="str">
        <f>VLOOKUP('Informe Kelly'!A535,Base!A:G,7,FALSE)</f>
        <v>MUÑOZ MUÑOZ CLAUDIO ARTURO</v>
      </c>
      <c r="C542" s="91">
        <f>'Informe Kelly'!E535</f>
        <v>40646</v>
      </c>
      <c r="D542" s="96">
        <f t="shared" si="16"/>
        <v>279</v>
      </c>
      <c r="E542" s="85" t="str">
        <f>VLOOKUP(A542,Ingreso!K:P,6,FALSE)</f>
        <v>Turno B</v>
      </c>
      <c r="F542" s="85" t="str">
        <f>IF('Informe Kelly'!H535=$A$2,'Informe Kelly'!F535,"")</f>
        <v/>
      </c>
      <c r="G542" s="85">
        <f>IF('Informe Kelly'!H535=$A$3,'Informe Kelly'!F535,"")</f>
        <v>0.94067129629629631</v>
      </c>
      <c r="H542" s="85">
        <f>IF(C542=C540,0,IF(D542=D541,0,(HLOOKUP(C542,Ingreso!$AN$10:$AU$260,VLOOKUP(A542,Ingreso!$AL$11:$AM$260,2,FALSE)))/24))</f>
        <v>0</v>
      </c>
      <c r="I542" s="77">
        <f t="shared" si="17"/>
        <v>0</v>
      </c>
    </row>
    <row r="543" spans="1:9">
      <c r="A543" s="85" t="str">
        <f>VLOOKUP('Informe Kelly'!A536,Base!A:B,2,FALSE)</f>
        <v>11.659.510-9</v>
      </c>
      <c r="B543" s="85" t="str">
        <f>VLOOKUP('Informe Kelly'!A536,Base!A:G,7,FALSE)</f>
        <v>MUÑOZ MUÑOZ CLAUDIO ARTURO</v>
      </c>
      <c r="C543" s="91">
        <f>'Informe Kelly'!E536</f>
        <v>40647</v>
      </c>
      <c r="D543" s="96">
        <f t="shared" si="16"/>
        <v>280</v>
      </c>
      <c r="E543" s="85" t="str">
        <f>VLOOKUP(A543,Ingreso!K:P,6,FALSE)</f>
        <v>Turno B</v>
      </c>
      <c r="F543" s="85">
        <f>IF('Informe Kelly'!H536=$A$2,'Informe Kelly'!F536,"")</f>
        <v>0.61818287037037034</v>
      </c>
      <c r="G543" s="85" t="str">
        <f>IF('Informe Kelly'!H536=$A$3,'Informe Kelly'!F536,"")</f>
        <v/>
      </c>
      <c r="H543" s="85">
        <f>IF(C543=C541,0,IF(D543=D542,0,(HLOOKUP(C543,Ingreso!$AN$10:$AU$260,VLOOKUP(A543,Ingreso!$AL$11:$AM$260,2,FALSE)))/24))</f>
        <v>0</v>
      </c>
      <c r="I543" s="77">
        <f t="shared" si="17"/>
        <v>0.3125</v>
      </c>
    </row>
    <row r="544" spans="1:9">
      <c r="A544" s="85" t="str">
        <f>VLOOKUP('Informe Kelly'!A537,Base!A:B,2,FALSE)</f>
        <v>11.659.510-9</v>
      </c>
      <c r="B544" s="85" t="str">
        <f>VLOOKUP('Informe Kelly'!A537,Base!A:G,7,FALSE)</f>
        <v>MUÑOZ MUÑOZ CLAUDIO ARTURO</v>
      </c>
      <c r="C544" s="91">
        <f>'Informe Kelly'!E537</f>
        <v>40647</v>
      </c>
      <c r="D544" s="96">
        <f t="shared" si="16"/>
        <v>280</v>
      </c>
      <c r="E544" s="85" t="str">
        <f>VLOOKUP(A544,Ingreso!K:P,6,FALSE)</f>
        <v>Turno B</v>
      </c>
      <c r="F544" s="85" t="str">
        <f>IF('Informe Kelly'!H537=$A$2,'Informe Kelly'!F537,"")</f>
        <v/>
      </c>
      <c r="G544" s="85">
        <f>IF('Informe Kelly'!H537=$A$3,'Informe Kelly'!F537,"")</f>
        <v>0.94292824074074078</v>
      </c>
      <c r="H544" s="85">
        <f>IF(C544=C542,0,IF(D544=D543,0,(HLOOKUP(C544,Ingreso!$AN$10:$AU$260,VLOOKUP(A544,Ingreso!$AL$11:$AM$260,2,FALSE)))/24))</f>
        <v>0</v>
      </c>
      <c r="I544" s="77">
        <f t="shared" si="17"/>
        <v>0</v>
      </c>
    </row>
    <row r="545" spans="1:9">
      <c r="A545" s="85" t="str">
        <f>VLOOKUP('Informe Kelly'!A538,Base!A:B,2,FALSE)</f>
        <v>11.659.510-9</v>
      </c>
      <c r="B545" s="85" t="str">
        <f>VLOOKUP('Informe Kelly'!A538,Base!A:G,7,FALSE)</f>
        <v>MUÑOZ MUÑOZ CLAUDIO ARTURO</v>
      </c>
      <c r="C545" s="91">
        <f>'Informe Kelly'!E538</f>
        <v>40648</v>
      </c>
      <c r="D545" s="96">
        <f t="shared" si="16"/>
        <v>281</v>
      </c>
      <c r="E545" s="85" t="str">
        <f>VLOOKUP(A545,Ingreso!K:P,6,FALSE)</f>
        <v>Turno B</v>
      </c>
      <c r="F545" s="85">
        <f>IF('Informe Kelly'!H538=$A$2,'Informe Kelly'!F538,"")</f>
        <v>0.6170254629629629</v>
      </c>
      <c r="G545" s="85" t="str">
        <f>IF('Informe Kelly'!H538=$A$3,'Informe Kelly'!F538,"")</f>
        <v/>
      </c>
      <c r="H545" s="85">
        <f>IF(C545=C543,0,IF(D545=D544,0,(HLOOKUP(C545,Ingreso!$AN$10:$AU$260,VLOOKUP(A545,Ingreso!$AL$11:$AM$260,2,FALSE)))/24))</f>
        <v>0</v>
      </c>
      <c r="I545" s="77">
        <f t="shared" si="17"/>
        <v>0.3125</v>
      </c>
    </row>
    <row r="546" spans="1:9">
      <c r="A546" s="85" t="str">
        <f>VLOOKUP('Informe Kelly'!A539,Base!A:B,2,FALSE)</f>
        <v>11.659.510-9</v>
      </c>
      <c r="B546" s="85" t="str">
        <f>VLOOKUP('Informe Kelly'!A539,Base!A:G,7,FALSE)</f>
        <v>MUÑOZ MUÑOZ CLAUDIO ARTURO</v>
      </c>
      <c r="C546" s="91">
        <f>'Informe Kelly'!E539</f>
        <v>40648</v>
      </c>
      <c r="D546" s="96">
        <f t="shared" si="16"/>
        <v>281</v>
      </c>
      <c r="E546" s="85" t="str">
        <f>VLOOKUP(A546,Ingreso!K:P,6,FALSE)</f>
        <v>Turno B</v>
      </c>
      <c r="F546" s="85" t="str">
        <f>IF('Informe Kelly'!H539=$A$2,'Informe Kelly'!F539,"")</f>
        <v/>
      </c>
      <c r="G546" s="85">
        <f>IF('Informe Kelly'!H539=$A$3,'Informe Kelly'!F539,"")</f>
        <v>0.93716435185185187</v>
      </c>
      <c r="H546" s="85">
        <f>IF(C546=C544,0,IF(D546=D545,0,(HLOOKUP(C546,Ingreso!$AN$10:$AU$260,VLOOKUP(A546,Ingreso!$AL$11:$AM$260,2,FALSE)))/24))</f>
        <v>0</v>
      </c>
      <c r="I546" s="77">
        <f t="shared" si="17"/>
        <v>0</v>
      </c>
    </row>
    <row r="547" spans="1:9">
      <c r="A547" s="85" t="str">
        <f>VLOOKUP('Informe Kelly'!A540,Base!A:B,2,FALSE)</f>
        <v>11.659.510-9</v>
      </c>
      <c r="B547" s="85" t="str">
        <f>VLOOKUP('Informe Kelly'!A540,Base!A:G,7,FALSE)</f>
        <v>MUÑOZ MUÑOZ CLAUDIO ARTURO</v>
      </c>
      <c r="C547" s="91">
        <f>'Informe Kelly'!E540</f>
        <v>40649</v>
      </c>
      <c r="D547" s="96">
        <f t="shared" si="16"/>
        <v>282</v>
      </c>
      <c r="E547" s="85" t="str">
        <f>VLOOKUP(A547,Ingreso!K:P,6,FALSE)</f>
        <v>Turno B</v>
      </c>
      <c r="F547" s="85" t="str">
        <f>IF('Informe Kelly'!H540=$A$2,'Informe Kelly'!F540,"")</f>
        <v/>
      </c>
      <c r="G547" s="85">
        <f>IF('Informe Kelly'!H540=$A$3,'Informe Kelly'!F540,"")</f>
        <v>0.888738425925926</v>
      </c>
      <c r="H547" s="85">
        <f>IF(C547=C545,0,IF(D547=D546,0,(HLOOKUP(C547,Ingreso!$AN$10:$AU$260,VLOOKUP(A547,Ingreso!$AL$11:$AM$260,2,FALSE)))/24))</f>
        <v>0</v>
      </c>
      <c r="I547" s="77">
        <f t="shared" si="17"/>
        <v>0.3125</v>
      </c>
    </row>
    <row r="548" spans="1:9">
      <c r="A548" s="85" t="str">
        <f>VLOOKUP('Informe Kelly'!A541,Base!A:B,2,FALSE)</f>
        <v>11.659.510-9</v>
      </c>
      <c r="B548" s="85" t="str">
        <f>VLOOKUP('Informe Kelly'!A541,Base!A:G,7,FALSE)</f>
        <v>MUÑOZ MUÑOZ CLAUDIO ARTURO</v>
      </c>
      <c r="C548" s="91">
        <f>'Informe Kelly'!E541</f>
        <v>40649</v>
      </c>
      <c r="D548" s="96">
        <f t="shared" si="16"/>
        <v>282</v>
      </c>
      <c r="E548" s="85" t="str">
        <f>VLOOKUP(A548,Ingreso!K:P,6,FALSE)</f>
        <v>Turno B</v>
      </c>
      <c r="F548" s="85">
        <f>IF('Informe Kelly'!H541=$A$2,'Informe Kelly'!F541,"")</f>
        <v>0.56706018518518519</v>
      </c>
      <c r="G548" s="85" t="str">
        <f>IF('Informe Kelly'!H541=$A$3,'Informe Kelly'!F541,"")</f>
        <v/>
      </c>
      <c r="H548" s="85">
        <f>IF(C548=C546,0,IF(D548=D547,0,(HLOOKUP(C548,Ingreso!$AN$10:$AU$260,VLOOKUP(A548,Ingreso!$AL$11:$AM$260,2,FALSE)))/24))</f>
        <v>0</v>
      </c>
      <c r="I548" s="77">
        <f t="shared" si="17"/>
        <v>0</v>
      </c>
    </row>
    <row r="549" spans="1:9">
      <c r="A549" s="85" t="str">
        <f>VLOOKUP('Informe Kelly'!A542,Base!A:B,2,FALSE)</f>
        <v>11.660.411-6</v>
      </c>
      <c r="B549" s="85" t="str">
        <f>VLOOKUP('Informe Kelly'!A542,Base!A:G,7,FALSE)</f>
        <v>CORTES HERRERA SIXTO PATRICIO</v>
      </c>
      <c r="C549" s="91">
        <f>'Informe Kelly'!E542</f>
        <v>40644</v>
      </c>
      <c r="D549" s="96">
        <f t="shared" si="16"/>
        <v>283</v>
      </c>
      <c r="E549" s="85" t="str">
        <f>VLOOKUP(A549,Ingreso!K:P,6,FALSE)</f>
        <v>Turno B</v>
      </c>
      <c r="F549" s="85">
        <f>IF('Informe Kelly'!H542=$A$2,'Informe Kelly'!F542,"")</f>
        <v>0.60783564814814817</v>
      </c>
      <c r="G549" s="85" t="str">
        <f>IF('Informe Kelly'!H542=$A$3,'Informe Kelly'!F542,"")</f>
        <v/>
      </c>
      <c r="H549" s="85">
        <f>IF(C549=C547,0,IF(D549=D548,0,(HLOOKUP(C549,Ingreso!$AN$10:$AU$260,VLOOKUP(A549,Ingreso!$AL$11:$AM$260,2,FALSE)))/24))</f>
        <v>0</v>
      </c>
      <c r="I549" s="77">
        <f t="shared" si="17"/>
        <v>0.3125</v>
      </c>
    </row>
    <row r="550" spans="1:9">
      <c r="A550" s="85" t="str">
        <f>VLOOKUP('Informe Kelly'!A543,Base!A:B,2,FALSE)</f>
        <v>11.660.411-6</v>
      </c>
      <c r="B550" s="85" t="str">
        <f>VLOOKUP('Informe Kelly'!A543,Base!A:G,7,FALSE)</f>
        <v>CORTES HERRERA SIXTO PATRICIO</v>
      </c>
      <c r="C550" s="91">
        <f>'Informe Kelly'!E543</f>
        <v>40644</v>
      </c>
      <c r="D550" s="96">
        <f t="shared" si="16"/>
        <v>283</v>
      </c>
      <c r="E550" s="85" t="str">
        <f>VLOOKUP(A550,Ingreso!K:P,6,FALSE)</f>
        <v>Turno B</v>
      </c>
      <c r="F550" s="85" t="str">
        <f>IF('Informe Kelly'!H543=$A$2,'Informe Kelly'!F543,"")</f>
        <v/>
      </c>
      <c r="G550" s="85">
        <f>IF('Informe Kelly'!H543=$A$3,'Informe Kelly'!F543,"")</f>
        <v>0.9497916666666667</v>
      </c>
      <c r="H550" s="85">
        <f>IF(C550=C548,0,IF(D550=D549,0,(HLOOKUP(C550,Ingreso!$AN$10:$AU$260,VLOOKUP(A550,Ingreso!$AL$11:$AM$260,2,FALSE)))/24))</f>
        <v>0</v>
      </c>
      <c r="I550" s="77">
        <f t="shared" si="17"/>
        <v>0</v>
      </c>
    </row>
    <row r="551" spans="1:9">
      <c r="A551" s="85" t="str">
        <f>VLOOKUP('Informe Kelly'!A544,Base!A:B,2,FALSE)</f>
        <v>11.660.411-6</v>
      </c>
      <c r="B551" s="85" t="str">
        <f>VLOOKUP('Informe Kelly'!A544,Base!A:G,7,FALSE)</f>
        <v>CORTES HERRERA SIXTO PATRICIO</v>
      </c>
      <c r="C551" s="91">
        <f>'Informe Kelly'!E544</f>
        <v>40645</v>
      </c>
      <c r="D551" s="96">
        <f t="shared" si="16"/>
        <v>284</v>
      </c>
      <c r="E551" s="85" t="str">
        <f>VLOOKUP(A551,Ingreso!K:P,6,FALSE)</f>
        <v>Turno B</v>
      </c>
      <c r="F551" s="85">
        <f>IF('Informe Kelly'!H544=$A$2,'Informe Kelly'!F544,"")</f>
        <v>0.60820601851851852</v>
      </c>
      <c r="G551" s="85" t="str">
        <f>IF('Informe Kelly'!H544=$A$3,'Informe Kelly'!F544,"")</f>
        <v/>
      </c>
      <c r="H551" s="85">
        <f>IF(C551=C549,0,IF(D551=D550,0,(HLOOKUP(C551,Ingreso!$AN$10:$AU$260,VLOOKUP(A551,Ingreso!$AL$11:$AM$260,2,FALSE)))/24))</f>
        <v>0</v>
      </c>
      <c r="I551" s="77">
        <f t="shared" si="17"/>
        <v>0.3125</v>
      </c>
    </row>
    <row r="552" spans="1:9">
      <c r="A552" s="85" t="str">
        <f>VLOOKUP('Informe Kelly'!A545,Base!A:B,2,FALSE)</f>
        <v>11.660.411-6</v>
      </c>
      <c r="B552" s="85" t="str">
        <f>VLOOKUP('Informe Kelly'!A545,Base!A:G,7,FALSE)</f>
        <v>CORTES HERRERA SIXTO PATRICIO</v>
      </c>
      <c r="C552" s="91">
        <f>'Informe Kelly'!E545</f>
        <v>40645</v>
      </c>
      <c r="D552" s="96">
        <f t="shared" si="16"/>
        <v>284</v>
      </c>
      <c r="E552" s="85" t="str">
        <f>VLOOKUP(A552,Ingreso!K:P,6,FALSE)</f>
        <v>Turno B</v>
      </c>
      <c r="F552" s="85" t="str">
        <f>IF('Informe Kelly'!H545=$A$2,'Informe Kelly'!F545,"")</f>
        <v/>
      </c>
      <c r="G552" s="85">
        <f>IF('Informe Kelly'!H545=$A$3,'Informe Kelly'!F545,"")</f>
        <v>0.94874999999999998</v>
      </c>
      <c r="H552" s="85">
        <f>IF(C552=C550,0,IF(D552=D551,0,(HLOOKUP(C552,Ingreso!$AN$10:$AU$260,VLOOKUP(A552,Ingreso!$AL$11:$AM$260,2,FALSE)))/24))</f>
        <v>0</v>
      </c>
      <c r="I552" s="77">
        <f t="shared" si="17"/>
        <v>0</v>
      </c>
    </row>
    <row r="553" spans="1:9">
      <c r="A553" s="85" t="str">
        <f>VLOOKUP('Informe Kelly'!A546,Base!A:B,2,FALSE)</f>
        <v>11.660.411-6</v>
      </c>
      <c r="B553" s="85" t="str">
        <f>VLOOKUP('Informe Kelly'!A546,Base!A:G,7,FALSE)</f>
        <v>CORTES HERRERA SIXTO PATRICIO</v>
      </c>
      <c r="C553" s="91">
        <f>'Informe Kelly'!E546</f>
        <v>40646</v>
      </c>
      <c r="D553" s="96">
        <f t="shared" si="16"/>
        <v>285</v>
      </c>
      <c r="E553" s="85" t="str">
        <f>VLOOKUP(A553,Ingreso!K:P,6,FALSE)</f>
        <v>Turno B</v>
      </c>
      <c r="F553" s="85">
        <f>IF('Informe Kelly'!H546=$A$2,'Informe Kelly'!F546,"")</f>
        <v>0.61020833333333335</v>
      </c>
      <c r="G553" s="85" t="str">
        <f>IF('Informe Kelly'!H546=$A$3,'Informe Kelly'!F546,"")</f>
        <v/>
      </c>
      <c r="H553" s="85">
        <f>IF(C553=C551,0,IF(D553=D552,0,(HLOOKUP(C553,Ingreso!$AN$10:$AU$260,VLOOKUP(A553,Ingreso!$AL$11:$AM$260,2,FALSE)))/24))</f>
        <v>0</v>
      </c>
      <c r="I553" s="77">
        <f t="shared" si="17"/>
        <v>0.3125</v>
      </c>
    </row>
    <row r="554" spans="1:9">
      <c r="A554" s="85" t="str">
        <f>VLOOKUP('Informe Kelly'!A547,Base!A:B,2,FALSE)</f>
        <v>11.660.411-6</v>
      </c>
      <c r="B554" s="85" t="str">
        <f>VLOOKUP('Informe Kelly'!A547,Base!A:G,7,FALSE)</f>
        <v>CORTES HERRERA SIXTO PATRICIO</v>
      </c>
      <c r="C554" s="91">
        <f>'Informe Kelly'!E547</f>
        <v>40646</v>
      </c>
      <c r="D554" s="96">
        <f t="shared" si="16"/>
        <v>285</v>
      </c>
      <c r="E554" s="85" t="str">
        <f>VLOOKUP(A554,Ingreso!K:P,6,FALSE)</f>
        <v>Turno B</v>
      </c>
      <c r="F554" s="85" t="str">
        <f>IF('Informe Kelly'!H547=$A$2,'Informe Kelly'!F547,"")</f>
        <v/>
      </c>
      <c r="G554" s="85">
        <f>IF('Informe Kelly'!H547=$A$3,'Informe Kelly'!F547,"")</f>
        <v>0.94729166666666664</v>
      </c>
      <c r="H554" s="85">
        <f>IF(C554=C552,0,IF(D554=D553,0,(HLOOKUP(C554,Ingreso!$AN$10:$AU$260,VLOOKUP(A554,Ingreso!$AL$11:$AM$260,2,FALSE)))/24))</f>
        <v>0</v>
      </c>
      <c r="I554" s="77">
        <f t="shared" si="17"/>
        <v>0</v>
      </c>
    </row>
    <row r="555" spans="1:9">
      <c r="A555" s="85" t="str">
        <f>VLOOKUP('Informe Kelly'!A548,Base!A:B,2,FALSE)</f>
        <v>11.660.411-6</v>
      </c>
      <c r="B555" s="85" t="str">
        <f>VLOOKUP('Informe Kelly'!A548,Base!A:G,7,FALSE)</f>
        <v>CORTES HERRERA SIXTO PATRICIO</v>
      </c>
      <c r="C555" s="91">
        <f>'Informe Kelly'!E548</f>
        <v>40647</v>
      </c>
      <c r="D555" s="96">
        <f t="shared" si="16"/>
        <v>286</v>
      </c>
      <c r="E555" s="85" t="str">
        <f>VLOOKUP(A555,Ingreso!K:P,6,FALSE)</f>
        <v>Turno B</v>
      </c>
      <c r="F555" s="85">
        <f>IF('Informe Kelly'!H548=$A$2,'Informe Kelly'!F548,"")</f>
        <v>0.6130092592592592</v>
      </c>
      <c r="G555" s="85" t="str">
        <f>IF('Informe Kelly'!H548=$A$3,'Informe Kelly'!F548,"")</f>
        <v/>
      </c>
      <c r="H555" s="85">
        <f>IF(C555=C553,0,IF(D555=D554,0,(HLOOKUP(C555,Ingreso!$AN$10:$AU$260,VLOOKUP(A555,Ingreso!$AL$11:$AM$260,2,FALSE)))/24))</f>
        <v>0</v>
      </c>
      <c r="I555" s="77">
        <f t="shared" si="17"/>
        <v>0.3125</v>
      </c>
    </row>
    <row r="556" spans="1:9">
      <c r="A556" s="85" t="str">
        <f>VLOOKUP('Informe Kelly'!A549,Base!A:B,2,FALSE)</f>
        <v>11.660.411-6</v>
      </c>
      <c r="B556" s="85" t="str">
        <f>VLOOKUP('Informe Kelly'!A549,Base!A:G,7,FALSE)</f>
        <v>CORTES HERRERA SIXTO PATRICIO</v>
      </c>
      <c r="C556" s="91">
        <f>'Informe Kelly'!E549</f>
        <v>40647</v>
      </c>
      <c r="D556" s="96">
        <f t="shared" si="16"/>
        <v>286</v>
      </c>
      <c r="E556" s="85" t="str">
        <f>VLOOKUP(A556,Ingreso!K:P,6,FALSE)</f>
        <v>Turno B</v>
      </c>
      <c r="F556" s="85" t="str">
        <f>IF('Informe Kelly'!H549=$A$2,'Informe Kelly'!F549,"")</f>
        <v/>
      </c>
      <c r="G556" s="85">
        <f>IF('Informe Kelly'!H549=$A$3,'Informe Kelly'!F549,"")</f>
        <v>0.95167824074074081</v>
      </c>
      <c r="H556" s="85">
        <f>IF(C556=C554,0,IF(D556=D555,0,(HLOOKUP(C556,Ingreso!$AN$10:$AU$260,VLOOKUP(A556,Ingreso!$AL$11:$AM$260,2,FALSE)))/24))</f>
        <v>0</v>
      </c>
      <c r="I556" s="77">
        <f t="shared" si="17"/>
        <v>0</v>
      </c>
    </row>
    <row r="557" spans="1:9">
      <c r="A557" s="85" t="str">
        <f>VLOOKUP('Informe Kelly'!A550,Base!A:B,2,FALSE)</f>
        <v>11.660.411-6</v>
      </c>
      <c r="B557" s="85" t="str">
        <f>VLOOKUP('Informe Kelly'!A550,Base!A:G,7,FALSE)</f>
        <v>CORTES HERRERA SIXTO PATRICIO</v>
      </c>
      <c r="C557" s="91">
        <f>'Informe Kelly'!E550</f>
        <v>40648</v>
      </c>
      <c r="D557" s="96">
        <f t="shared" si="16"/>
        <v>287</v>
      </c>
      <c r="E557" s="85" t="str">
        <f>VLOOKUP(A557,Ingreso!K:P,6,FALSE)</f>
        <v>Turno B</v>
      </c>
      <c r="F557" s="85">
        <f>IF('Informe Kelly'!H550=$A$2,'Informe Kelly'!F550,"")</f>
        <v>0.60811342592592588</v>
      </c>
      <c r="G557" s="85" t="str">
        <f>IF('Informe Kelly'!H550=$A$3,'Informe Kelly'!F550,"")</f>
        <v/>
      </c>
      <c r="H557" s="85">
        <f>IF(C557=C555,0,IF(D557=D556,0,(HLOOKUP(C557,Ingreso!$AN$10:$AU$260,VLOOKUP(A557,Ingreso!$AL$11:$AM$260,2,FALSE)))/24))</f>
        <v>0</v>
      </c>
      <c r="I557" s="77">
        <f t="shared" si="17"/>
        <v>0.3125</v>
      </c>
    </row>
    <row r="558" spans="1:9">
      <c r="A558" s="85" t="str">
        <f>VLOOKUP('Informe Kelly'!A551,Base!A:B,2,FALSE)</f>
        <v>11.660.411-6</v>
      </c>
      <c r="B558" s="85" t="str">
        <f>VLOOKUP('Informe Kelly'!A551,Base!A:G,7,FALSE)</f>
        <v>CORTES HERRERA SIXTO PATRICIO</v>
      </c>
      <c r="C558" s="91">
        <f>'Informe Kelly'!E551</f>
        <v>40648</v>
      </c>
      <c r="D558" s="96">
        <f t="shared" si="16"/>
        <v>287</v>
      </c>
      <c r="E558" s="85" t="str">
        <f>VLOOKUP(A558,Ingreso!K:P,6,FALSE)</f>
        <v>Turno B</v>
      </c>
      <c r="F558" s="85" t="str">
        <f>IF('Informe Kelly'!H551=$A$2,'Informe Kelly'!F551,"")</f>
        <v/>
      </c>
      <c r="G558" s="85">
        <f>IF('Informe Kelly'!H551=$A$3,'Informe Kelly'!F551,"")</f>
        <v>0.95013888888888898</v>
      </c>
      <c r="H558" s="85">
        <f>IF(C558=C556,0,IF(D558=D557,0,(HLOOKUP(C558,Ingreso!$AN$10:$AU$260,VLOOKUP(A558,Ingreso!$AL$11:$AM$260,2,FALSE)))/24))</f>
        <v>0</v>
      </c>
      <c r="I558" s="77">
        <f t="shared" si="17"/>
        <v>0</v>
      </c>
    </row>
    <row r="559" spans="1:9">
      <c r="A559" s="85" t="str">
        <f>VLOOKUP('Informe Kelly'!A552,Base!A:B,2,FALSE)</f>
        <v>11.660.411-6</v>
      </c>
      <c r="B559" s="85" t="str">
        <f>VLOOKUP('Informe Kelly'!A552,Base!A:G,7,FALSE)</f>
        <v>CORTES HERRERA SIXTO PATRICIO</v>
      </c>
      <c r="C559" s="91">
        <f>'Informe Kelly'!E552</f>
        <v>40649</v>
      </c>
      <c r="D559" s="96">
        <f t="shared" si="16"/>
        <v>288</v>
      </c>
      <c r="E559" s="85" t="str">
        <f>VLOOKUP(A559,Ingreso!K:P,6,FALSE)</f>
        <v>Turno B</v>
      </c>
      <c r="F559" s="85" t="str">
        <f>IF('Informe Kelly'!H552=$A$2,'Informe Kelly'!F552,"")</f>
        <v/>
      </c>
      <c r="G559" s="85">
        <f>IF('Informe Kelly'!H552=$A$3,'Informe Kelly'!F552,"")</f>
        <v>0.94651620370370371</v>
      </c>
      <c r="H559" s="85">
        <f>IF(C559=C557,0,IF(D559=D558,0,(HLOOKUP(C559,Ingreso!$AN$10:$AU$260,VLOOKUP(A559,Ingreso!$AL$11:$AM$260,2,FALSE)))/24))</f>
        <v>0</v>
      </c>
      <c r="I559" s="77">
        <f t="shared" si="17"/>
        <v>0.3125</v>
      </c>
    </row>
    <row r="560" spans="1:9">
      <c r="A560" s="85" t="str">
        <f>VLOOKUP('Informe Kelly'!A553,Base!A:B,2,FALSE)</f>
        <v>11.660.411-6</v>
      </c>
      <c r="B560" s="85" t="str">
        <f>VLOOKUP('Informe Kelly'!A553,Base!A:G,7,FALSE)</f>
        <v>CORTES HERRERA SIXTO PATRICIO</v>
      </c>
      <c r="C560" s="91">
        <f>'Informe Kelly'!E553</f>
        <v>40649</v>
      </c>
      <c r="D560" s="96">
        <f t="shared" si="16"/>
        <v>288</v>
      </c>
      <c r="E560" s="85" t="str">
        <f>VLOOKUP(A560,Ingreso!K:P,6,FALSE)</f>
        <v>Turno B</v>
      </c>
      <c r="F560" s="85">
        <f>IF('Informe Kelly'!H553=$A$2,'Informe Kelly'!F553,"")</f>
        <v>0.61135416666666664</v>
      </c>
      <c r="G560" s="85" t="str">
        <f>IF('Informe Kelly'!H553=$A$3,'Informe Kelly'!F553,"")</f>
        <v/>
      </c>
      <c r="H560" s="85">
        <f>IF(C560=C558,0,IF(D560=D559,0,(HLOOKUP(C560,Ingreso!$AN$10:$AU$260,VLOOKUP(A560,Ingreso!$AL$11:$AM$260,2,FALSE)))/24))</f>
        <v>0</v>
      </c>
      <c r="I560" s="77">
        <f t="shared" si="17"/>
        <v>0</v>
      </c>
    </row>
    <row r="561" spans="1:9">
      <c r="A561" s="85" t="str">
        <f>VLOOKUP('Informe Kelly'!A554,Base!A:B,2,FALSE)</f>
        <v>12.020.450-5</v>
      </c>
      <c r="B561" s="85" t="str">
        <f>VLOOKUP('Informe Kelly'!A554,Base!A:G,7,FALSE)</f>
        <v>PINEDA PEREZ ROBERTO</v>
      </c>
      <c r="C561" s="91">
        <f>'Informe Kelly'!E554</f>
        <v>40644</v>
      </c>
      <c r="D561" s="96">
        <f t="shared" si="16"/>
        <v>289</v>
      </c>
      <c r="E561" s="85" t="str">
        <f>VLOOKUP(A561,Ingreso!K:P,6,FALSE)</f>
        <v>Admin</v>
      </c>
      <c r="F561" s="85">
        <f>IF('Informe Kelly'!H554=$A$2,'Informe Kelly'!F554,"")</f>
        <v>0.36896990740740737</v>
      </c>
      <c r="G561" s="85" t="str">
        <f>IF('Informe Kelly'!H554=$A$3,'Informe Kelly'!F554,"")</f>
        <v/>
      </c>
      <c r="H561" s="85">
        <f>IF(C561=C559,0,IF(D561=D560,0,(HLOOKUP(C561,Ingreso!$AN$10:$AU$260,VLOOKUP(A561,Ingreso!$AL$11:$AM$260,2,FALSE)))/24))</f>
        <v>0</v>
      </c>
      <c r="I561" s="77">
        <f t="shared" si="17"/>
        <v>0.41666666666666669</v>
      </c>
    </row>
    <row r="562" spans="1:9">
      <c r="A562" s="85" t="str">
        <f>VLOOKUP('Informe Kelly'!A555,Base!A:B,2,FALSE)</f>
        <v>12.020.450-5</v>
      </c>
      <c r="B562" s="85" t="str">
        <f>VLOOKUP('Informe Kelly'!A555,Base!A:G,7,FALSE)</f>
        <v>PINEDA PEREZ ROBERTO</v>
      </c>
      <c r="C562" s="91">
        <f>'Informe Kelly'!E555</f>
        <v>40644</v>
      </c>
      <c r="D562" s="96">
        <f t="shared" si="16"/>
        <v>289</v>
      </c>
      <c r="E562" s="85" t="str">
        <f>VLOOKUP(A562,Ingreso!K:P,6,FALSE)</f>
        <v>Admin</v>
      </c>
      <c r="F562" s="85" t="str">
        <f>IF('Informe Kelly'!H555=$A$2,'Informe Kelly'!F555,"")</f>
        <v/>
      </c>
      <c r="G562" s="85">
        <f>IF('Informe Kelly'!H555=$A$3,'Informe Kelly'!F555,"")</f>
        <v>0.77932870370370377</v>
      </c>
      <c r="H562" s="85">
        <f>IF(C562=C560,0,IF(D562=D561,0,(HLOOKUP(C562,Ingreso!$AN$10:$AU$260,VLOOKUP(A562,Ingreso!$AL$11:$AM$260,2,FALSE)))/24))</f>
        <v>0</v>
      </c>
      <c r="I562" s="77">
        <f t="shared" si="17"/>
        <v>0</v>
      </c>
    </row>
    <row r="563" spans="1:9">
      <c r="A563" s="85" t="str">
        <f>VLOOKUP('Informe Kelly'!A556,Base!A:B,2,FALSE)</f>
        <v>12.020.450-5</v>
      </c>
      <c r="B563" s="85" t="str">
        <f>VLOOKUP('Informe Kelly'!A556,Base!A:G,7,FALSE)</f>
        <v>PINEDA PEREZ ROBERTO</v>
      </c>
      <c r="C563" s="91">
        <f>'Informe Kelly'!E556</f>
        <v>40645</v>
      </c>
      <c r="D563" s="96">
        <f t="shared" si="16"/>
        <v>290</v>
      </c>
      <c r="E563" s="85" t="str">
        <f>VLOOKUP(A563,Ingreso!K:P,6,FALSE)</f>
        <v>Admin</v>
      </c>
      <c r="F563" s="85">
        <f>IF('Informe Kelly'!H556=$A$2,'Informe Kelly'!F556,"")</f>
        <v>0.35831018518518515</v>
      </c>
      <c r="G563" s="85" t="str">
        <f>IF('Informe Kelly'!H556=$A$3,'Informe Kelly'!F556,"")</f>
        <v/>
      </c>
      <c r="H563" s="85">
        <f>IF(C563=C561,0,IF(D563=D562,0,(HLOOKUP(C563,Ingreso!$AN$10:$AU$260,VLOOKUP(A563,Ingreso!$AL$11:$AM$260,2,FALSE)))/24))</f>
        <v>0</v>
      </c>
      <c r="I563" s="77">
        <f t="shared" si="17"/>
        <v>0.41666666666666669</v>
      </c>
    </row>
    <row r="564" spans="1:9">
      <c r="A564" s="85" t="str">
        <f>VLOOKUP('Informe Kelly'!A557,Base!A:B,2,FALSE)</f>
        <v>12.020.450-5</v>
      </c>
      <c r="B564" s="85" t="str">
        <f>VLOOKUP('Informe Kelly'!A557,Base!A:G,7,FALSE)</f>
        <v>PINEDA PEREZ ROBERTO</v>
      </c>
      <c r="C564" s="91">
        <f>'Informe Kelly'!E557</f>
        <v>40645</v>
      </c>
      <c r="D564" s="96">
        <f t="shared" si="16"/>
        <v>290</v>
      </c>
      <c r="E564" s="85" t="str">
        <f>VLOOKUP(A564,Ingreso!K:P,6,FALSE)</f>
        <v>Admin</v>
      </c>
      <c r="F564" s="85" t="str">
        <f>IF('Informe Kelly'!H557=$A$2,'Informe Kelly'!F557,"")</f>
        <v/>
      </c>
      <c r="G564" s="85">
        <f>IF('Informe Kelly'!H557=$A$3,'Informe Kelly'!F557,"")</f>
        <v>0.77114583333333331</v>
      </c>
      <c r="H564" s="85">
        <f>IF(C564=C562,0,IF(D564=D563,0,(HLOOKUP(C564,Ingreso!$AN$10:$AU$260,VLOOKUP(A564,Ingreso!$AL$11:$AM$260,2,FALSE)))/24))</f>
        <v>0</v>
      </c>
      <c r="I564" s="77">
        <f t="shared" si="17"/>
        <v>0</v>
      </c>
    </row>
    <row r="565" spans="1:9">
      <c r="A565" s="85" t="str">
        <f>VLOOKUP('Informe Kelly'!A558,Base!A:B,2,FALSE)</f>
        <v>12.020.450-5</v>
      </c>
      <c r="B565" s="85" t="str">
        <f>VLOOKUP('Informe Kelly'!A558,Base!A:G,7,FALSE)</f>
        <v>PINEDA PEREZ ROBERTO</v>
      </c>
      <c r="C565" s="91">
        <f>'Informe Kelly'!E558</f>
        <v>40646</v>
      </c>
      <c r="D565" s="96">
        <f t="shared" si="16"/>
        <v>291</v>
      </c>
      <c r="E565" s="85" t="str">
        <f>VLOOKUP(A565,Ingreso!K:P,6,FALSE)</f>
        <v>Admin</v>
      </c>
      <c r="F565" s="85">
        <f>IF('Informe Kelly'!H558=$A$2,'Informe Kelly'!F558,"")</f>
        <v>0.36357638888888894</v>
      </c>
      <c r="G565" s="85" t="str">
        <f>IF('Informe Kelly'!H558=$A$3,'Informe Kelly'!F558,"")</f>
        <v/>
      </c>
      <c r="H565" s="85">
        <f>IF(C565=C563,0,IF(D565=D564,0,(HLOOKUP(C565,Ingreso!$AN$10:$AU$260,VLOOKUP(A565,Ingreso!$AL$11:$AM$260,2,FALSE)))/24))</f>
        <v>0</v>
      </c>
      <c r="I565" s="77">
        <f t="shared" si="17"/>
        <v>0.41666666666666669</v>
      </c>
    </row>
    <row r="566" spans="1:9">
      <c r="A566" s="85" t="str">
        <f>VLOOKUP('Informe Kelly'!A559,Base!A:B,2,FALSE)</f>
        <v>12.020.450-5</v>
      </c>
      <c r="B566" s="85" t="str">
        <f>VLOOKUP('Informe Kelly'!A559,Base!A:G,7,FALSE)</f>
        <v>PINEDA PEREZ ROBERTO</v>
      </c>
      <c r="C566" s="91">
        <f>'Informe Kelly'!E559</f>
        <v>40646</v>
      </c>
      <c r="D566" s="96">
        <f t="shared" si="16"/>
        <v>291</v>
      </c>
      <c r="E566" s="85" t="str">
        <f>VLOOKUP(A566,Ingreso!K:P,6,FALSE)</f>
        <v>Admin</v>
      </c>
      <c r="F566" s="85" t="str">
        <f>IF('Informe Kelly'!H559=$A$2,'Informe Kelly'!F559,"")</f>
        <v/>
      </c>
      <c r="G566" s="85">
        <f>IF('Informe Kelly'!H559=$A$3,'Informe Kelly'!F559,"")</f>
        <v>0.773900462962963</v>
      </c>
      <c r="H566" s="85">
        <f>IF(C566=C564,0,IF(D566=D565,0,(HLOOKUP(C566,Ingreso!$AN$10:$AU$260,VLOOKUP(A566,Ingreso!$AL$11:$AM$260,2,FALSE)))/24))</f>
        <v>0</v>
      </c>
      <c r="I566" s="77">
        <f t="shared" si="17"/>
        <v>0</v>
      </c>
    </row>
    <row r="567" spans="1:9">
      <c r="A567" s="85" t="str">
        <f>VLOOKUP('Informe Kelly'!A560,Base!A:B,2,FALSE)</f>
        <v>12.020.450-5</v>
      </c>
      <c r="B567" s="85" t="str">
        <f>VLOOKUP('Informe Kelly'!A560,Base!A:G,7,FALSE)</f>
        <v>PINEDA PEREZ ROBERTO</v>
      </c>
      <c r="C567" s="91">
        <f>'Informe Kelly'!E560</f>
        <v>40647</v>
      </c>
      <c r="D567" s="96">
        <f t="shared" si="16"/>
        <v>292</v>
      </c>
      <c r="E567" s="85" t="str">
        <f>VLOOKUP(A567,Ingreso!K:P,6,FALSE)</f>
        <v>Admin</v>
      </c>
      <c r="F567" s="85">
        <f>IF('Informe Kelly'!H560=$A$2,'Informe Kelly'!F560,"")</f>
        <v>0.36394675925925929</v>
      </c>
      <c r="G567" s="85" t="str">
        <f>IF('Informe Kelly'!H560=$A$3,'Informe Kelly'!F560,"")</f>
        <v/>
      </c>
      <c r="H567" s="85">
        <f>IF(C567=C565,0,IF(D567=D566,0,(HLOOKUP(C567,Ingreso!$AN$10:$AU$260,VLOOKUP(A567,Ingreso!$AL$11:$AM$260,2,FALSE)))/24))</f>
        <v>4.1666666666666664E-2</v>
      </c>
      <c r="I567" s="77">
        <f t="shared" si="17"/>
        <v>0.41666666666666669</v>
      </c>
    </row>
    <row r="568" spans="1:9">
      <c r="A568" s="85" t="str">
        <f>VLOOKUP('Informe Kelly'!A561,Base!A:B,2,FALSE)</f>
        <v>12.020.450-5</v>
      </c>
      <c r="B568" s="85" t="str">
        <f>VLOOKUP('Informe Kelly'!A561,Base!A:G,7,FALSE)</f>
        <v>PINEDA PEREZ ROBERTO</v>
      </c>
      <c r="C568" s="91">
        <f>'Informe Kelly'!E561</f>
        <v>40647</v>
      </c>
      <c r="D568" s="96">
        <f t="shared" si="16"/>
        <v>292</v>
      </c>
      <c r="E568" s="85" t="str">
        <f>VLOOKUP(A568,Ingreso!K:P,6,FALSE)</f>
        <v>Admin</v>
      </c>
      <c r="F568" s="85" t="str">
        <f>IF('Informe Kelly'!H561=$A$2,'Informe Kelly'!F561,"")</f>
        <v/>
      </c>
      <c r="G568" s="85">
        <f>IF('Informe Kelly'!H561=$A$3,'Informe Kelly'!F561,"")</f>
        <v>0.77729166666666671</v>
      </c>
      <c r="H568" s="85">
        <f>IF(C568=C566,0,IF(D568=D567,0,(HLOOKUP(C568,Ingreso!$AN$10:$AU$260,VLOOKUP(A568,Ingreso!$AL$11:$AM$260,2,FALSE)))/24))</f>
        <v>0</v>
      </c>
      <c r="I568" s="77">
        <f t="shared" si="17"/>
        <v>0</v>
      </c>
    </row>
    <row r="569" spans="1:9">
      <c r="A569" s="85" t="str">
        <f>VLOOKUP('Informe Kelly'!A562,Base!A:B,2,FALSE)</f>
        <v>12.020.450-5</v>
      </c>
      <c r="B569" s="85" t="str">
        <f>VLOOKUP('Informe Kelly'!A562,Base!A:G,7,FALSE)</f>
        <v>PINEDA PEREZ ROBERTO</v>
      </c>
      <c r="C569" s="91">
        <f>'Informe Kelly'!E562</f>
        <v>40648</v>
      </c>
      <c r="D569" s="96">
        <f t="shared" si="16"/>
        <v>293</v>
      </c>
      <c r="E569" s="85" t="str">
        <f>VLOOKUP(A569,Ingreso!K:P,6,FALSE)</f>
        <v>Admin</v>
      </c>
      <c r="F569" s="85" t="str">
        <f>IF('Informe Kelly'!H562=$A$2,'Informe Kelly'!F562,"")</f>
        <v/>
      </c>
      <c r="G569" s="85">
        <f>IF('Informe Kelly'!H562=$A$3,'Informe Kelly'!F562,"")</f>
        <v>0.75525462962962964</v>
      </c>
      <c r="H569" s="85">
        <f>IF(C569=C567,0,IF(D569=D568,0,(HLOOKUP(C569,Ingreso!$AN$10:$AU$260,VLOOKUP(A569,Ingreso!$AL$11:$AM$260,2,FALSE)))/24))</f>
        <v>4.1666666666666664E-2</v>
      </c>
      <c r="I569" s="77">
        <f t="shared" si="17"/>
        <v>0.41666666666666669</v>
      </c>
    </row>
    <row r="570" spans="1:9">
      <c r="A570" s="85" t="str">
        <f>VLOOKUP('Informe Kelly'!A563,Base!A:B,2,FALSE)</f>
        <v>12.020.450-5</v>
      </c>
      <c r="B570" s="85" t="str">
        <f>VLOOKUP('Informe Kelly'!A563,Base!A:G,7,FALSE)</f>
        <v>PINEDA PEREZ ROBERTO</v>
      </c>
      <c r="C570" s="91">
        <f>'Informe Kelly'!E563</f>
        <v>40648</v>
      </c>
      <c r="D570" s="96">
        <f t="shared" si="16"/>
        <v>293</v>
      </c>
      <c r="E570" s="85" t="str">
        <f>VLOOKUP(A570,Ingreso!K:P,6,FALSE)</f>
        <v>Admin</v>
      </c>
      <c r="F570" s="85">
        <f>IF('Informe Kelly'!H563=$A$2,'Informe Kelly'!F563,"")</f>
        <v>0.36821759259259257</v>
      </c>
      <c r="G570" s="85" t="str">
        <f>IF('Informe Kelly'!H563=$A$3,'Informe Kelly'!F563,"")</f>
        <v/>
      </c>
      <c r="H570" s="85">
        <f>IF(C570=C568,0,IF(D570=D569,0,(HLOOKUP(C570,Ingreso!$AN$10:$AU$260,VLOOKUP(A570,Ingreso!$AL$11:$AM$260,2,FALSE)))/24))</f>
        <v>0</v>
      </c>
      <c r="I570" s="77">
        <f t="shared" si="17"/>
        <v>0</v>
      </c>
    </row>
    <row r="571" spans="1:9">
      <c r="A571" s="85" t="str">
        <f>VLOOKUP('Informe Kelly'!A564,Base!A:B,2,FALSE)</f>
        <v>12.093.149-0</v>
      </c>
      <c r="B571" s="85" t="str">
        <f>VLOOKUP('Informe Kelly'!A564,Base!A:G,7,FALSE)</f>
        <v>CONTRERAS CORTES ANGEL GUILLERMO</v>
      </c>
      <c r="C571" s="91">
        <f>'Informe Kelly'!E564</f>
        <v>40644</v>
      </c>
      <c r="D571" s="96">
        <f t="shared" si="16"/>
        <v>294</v>
      </c>
      <c r="E571" s="85" t="e">
        <f>VLOOKUP(A571,Ingreso!K:P,6,FALSE)</f>
        <v>#N/A</v>
      </c>
      <c r="F571" s="85">
        <f>IF('Informe Kelly'!H564=$A$2,'Informe Kelly'!F564,"")</f>
        <v>0.91502314814814811</v>
      </c>
      <c r="G571" s="85" t="str">
        <f>IF('Informe Kelly'!H564=$A$3,'Informe Kelly'!F564,"")</f>
        <v/>
      </c>
      <c r="H571" s="85" t="e">
        <f>IF(C571=C569,0,IF(D571=D570,0,(HLOOKUP(C571,Ingreso!$AN$10:$AU$260,VLOOKUP(A571,Ingreso!$AL$11:$AM$260,2,FALSE)))/24))</f>
        <v>#N/A</v>
      </c>
      <c r="I571" s="77" t="e">
        <f t="shared" si="17"/>
        <v>#N/A</v>
      </c>
    </row>
    <row r="572" spans="1:9">
      <c r="A572" s="85" t="str">
        <f>VLOOKUP('Informe Kelly'!A565,Base!A:B,2,FALSE)</f>
        <v>12.093.149-0</v>
      </c>
      <c r="B572" s="85" t="str">
        <f>VLOOKUP('Informe Kelly'!A565,Base!A:G,7,FALSE)</f>
        <v>CONTRERAS CORTES ANGEL GUILLERMO</v>
      </c>
      <c r="C572" s="91">
        <f>'Informe Kelly'!E565</f>
        <v>40645</v>
      </c>
      <c r="D572" s="96">
        <f t="shared" si="16"/>
        <v>295</v>
      </c>
      <c r="E572" s="85" t="e">
        <f>VLOOKUP(A572,Ingreso!K:P,6,FALSE)</f>
        <v>#N/A</v>
      </c>
      <c r="F572" s="85" t="str">
        <f>IF('Informe Kelly'!H565=$A$2,'Informe Kelly'!F565,"")</f>
        <v/>
      </c>
      <c r="G572" s="85">
        <f>IF('Informe Kelly'!H565=$A$3,'Informe Kelly'!F565,"")</f>
        <v>0.32420138888888889</v>
      </c>
      <c r="H572" s="85" t="e">
        <f>IF(C572=C570,0,IF(D572=D571,0,(HLOOKUP(C572,Ingreso!$AN$10:$AU$260,VLOOKUP(A572,Ingreso!$AL$11:$AM$260,2,FALSE)))/24))</f>
        <v>#N/A</v>
      </c>
      <c r="I572" s="77" t="e">
        <f t="shared" si="17"/>
        <v>#N/A</v>
      </c>
    </row>
    <row r="573" spans="1:9">
      <c r="A573" s="85" t="str">
        <f>VLOOKUP('Informe Kelly'!A566,Base!A:B,2,FALSE)</f>
        <v>12.093.149-0</v>
      </c>
      <c r="B573" s="85" t="str">
        <f>VLOOKUP('Informe Kelly'!A566,Base!A:G,7,FALSE)</f>
        <v>CONTRERAS CORTES ANGEL GUILLERMO</v>
      </c>
      <c r="C573" s="91">
        <f>'Informe Kelly'!E566</f>
        <v>40645</v>
      </c>
      <c r="D573" s="96">
        <f t="shared" si="16"/>
        <v>295</v>
      </c>
      <c r="E573" s="85" t="e">
        <f>VLOOKUP(A573,Ingreso!K:P,6,FALSE)</f>
        <v>#N/A</v>
      </c>
      <c r="F573" s="85">
        <f>IF('Informe Kelly'!H566=$A$2,'Informe Kelly'!F566,"")</f>
        <v>0.91811342592592593</v>
      </c>
      <c r="G573" s="85" t="str">
        <f>IF('Informe Kelly'!H566=$A$3,'Informe Kelly'!F566,"")</f>
        <v/>
      </c>
      <c r="H573" s="85">
        <f>IF(C573=C571,0,IF(D573=D572,0,(HLOOKUP(C573,Ingreso!$AN$10:$AU$260,VLOOKUP(A573,Ingreso!$AL$11:$AM$260,2,FALSE)))/24))</f>
        <v>0</v>
      </c>
      <c r="I573" s="77">
        <f t="shared" si="17"/>
        <v>0</v>
      </c>
    </row>
    <row r="574" spans="1:9">
      <c r="A574" s="85" t="str">
        <f>VLOOKUP('Informe Kelly'!A567,Base!A:B,2,FALSE)</f>
        <v>12.093.149-0</v>
      </c>
      <c r="B574" s="85" t="str">
        <f>VLOOKUP('Informe Kelly'!A567,Base!A:G,7,FALSE)</f>
        <v>CONTRERAS CORTES ANGEL GUILLERMO</v>
      </c>
      <c r="C574" s="91">
        <f>'Informe Kelly'!E567</f>
        <v>40646</v>
      </c>
      <c r="D574" s="96">
        <f t="shared" si="16"/>
        <v>296</v>
      </c>
      <c r="E574" s="85" t="e">
        <f>VLOOKUP(A574,Ingreso!K:P,6,FALSE)</f>
        <v>#N/A</v>
      </c>
      <c r="F574" s="85" t="str">
        <f>IF('Informe Kelly'!H567=$A$2,'Informe Kelly'!F567,"")</f>
        <v/>
      </c>
      <c r="G574" s="85">
        <f>IF('Informe Kelly'!H567=$A$3,'Informe Kelly'!F567,"")</f>
        <v>0.32450231481481479</v>
      </c>
      <c r="H574" s="85" t="e">
        <f>IF(C574=C572,0,IF(D574=D573,0,(HLOOKUP(C574,Ingreso!$AN$10:$AU$260,VLOOKUP(A574,Ingreso!$AL$11:$AM$260,2,FALSE)))/24))</f>
        <v>#N/A</v>
      </c>
      <c r="I574" s="77" t="e">
        <f t="shared" si="17"/>
        <v>#N/A</v>
      </c>
    </row>
    <row r="575" spans="1:9">
      <c r="A575" s="85" t="str">
        <f>VLOOKUP('Informe Kelly'!A568,Base!A:B,2,FALSE)</f>
        <v>12.093.149-0</v>
      </c>
      <c r="B575" s="85" t="str">
        <f>VLOOKUP('Informe Kelly'!A568,Base!A:G,7,FALSE)</f>
        <v>CONTRERAS CORTES ANGEL GUILLERMO</v>
      </c>
      <c r="C575" s="91">
        <f>'Informe Kelly'!E568</f>
        <v>40646</v>
      </c>
      <c r="D575" s="96">
        <f t="shared" si="16"/>
        <v>296</v>
      </c>
      <c r="E575" s="85" t="e">
        <f>VLOOKUP(A575,Ingreso!K:P,6,FALSE)</f>
        <v>#N/A</v>
      </c>
      <c r="F575" s="85">
        <f>IF('Informe Kelly'!H568=$A$2,'Informe Kelly'!F568,"")</f>
        <v>0.91859953703703701</v>
      </c>
      <c r="G575" s="85" t="str">
        <f>IF('Informe Kelly'!H568=$A$3,'Informe Kelly'!F568,"")</f>
        <v/>
      </c>
      <c r="H575" s="85">
        <f>IF(C575=C573,0,IF(D575=D574,0,(HLOOKUP(C575,Ingreso!$AN$10:$AU$260,VLOOKUP(A575,Ingreso!$AL$11:$AM$260,2,FALSE)))/24))</f>
        <v>0</v>
      </c>
      <c r="I575" s="77">
        <f t="shared" si="17"/>
        <v>0</v>
      </c>
    </row>
    <row r="576" spans="1:9">
      <c r="A576" s="85" t="str">
        <f>VLOOKUP('Informe Kelly'!A569,Base!A:B,2,FALSE)</f>
        <v>12.093.149-0</v>
      </c>
      <c r="B576" s="85" t="str">
        <f>VLOOKUP('Informe Kelly'!A569,Base!A:G,7,FALSE)</f>
        <v>CONTRERAS CORTES ANGEL GUILLERMO</v>
      </c>
      <c r="C576" s="91">
        <f>'Informe Kelly'!E569</f>
        <v>40647</v>
      </c>
      <c r="D576" s="96">
        <f t="shared" si="16"/>
        <v>297</v>
      </c>
      <c r="E576" s="85" t="e">
        <f>VLOOKUP(A576,Ingreso!K:P,6,FALSE)</f>
        <v>#N/A</v>
      </c>
      <c r="F576" s="85" t="str">
        <f>IF('Informe Kelly'!H569=$A$2,'Informe Kelly'!F569,"")</f>
        <v/>
      </c>
      <c r="G576" s="85">
        <f>IF('Informe Kelly'!H569=$A$3,'Informe Kelly'!F569,"")</f>
        <v>0.3288773148148148</v>
      </c>
      <c r="H576" s="85" t="e">
        <f>IF(C576=C574,0,IF(D576=D575,0,(HLOOKUP(C576,Ingreso!$AN$10:$AU$260,VLOOKUP(A576,Ingreso!$AL$11:$AM$260,2,FALSE)))/24))</f>
        <v>#N/A</v>
      </c>
      <c r="I576" s="77" t="e">
        <f t="shared" si="17"/>
        <v>#N/A</v>
      </c>
    </row>
    <row r="577" spans="1:9">
      <c r="A577" s="85" t="str">
        <f>VLOOKUP('Informe Kelly'!A570,Base!A:B,2,FALSE)</f>
        <v>12.093.149-0</v>
      </c>
      <c r="B577" s="85" t="str">
        <f>VLOOKUP('Informe Kelly'!A570,Base!A:G,7,FALSE)</f>
        <v>CONTRERAS CORTES ANGEL GUILLERMO</v>
      </c>
      <c r="C577" s="91">
        <f>'Informe Kelly'!E570</f>
        <v>40647</v>
      </c>
      <c r="D577" s="96">
        <f t="shared" si="16"/>
        <v>297</v>
      </c>
      <c r="E577" s="85" t="e">
        <f>VLOOKUP(A577,Ingreso!K:P,6,FALSE)</f>
        <v>#N/A</v>
      </c>
      <c r="F577" s="85">
        <f>IF('Informe Kelly'!H570=$A$2,'Informe Kelly'!F570,"")</f>
        <v>0.91442129629629632</v>
      </c>
      <c r="G577" s="85" t="str">
        <f>IF('Informe Kelly'!H570=$A$3,'Informe Kelly'!F570,"")</f>
        <v/>
      </c>
      <c r="H577" s="85">
        <f>IF(C577=C575,0,IF(D577=D576,0,(HLOOKUP(C577,Ingreso!$AN$10:$AU$260,VLOOKUP(A577,Ingreso!$AL$11:$AM$260,2,FALSE)))/24))</f>
        <v>0</v>
      </c>
      <c r="I577" s="77">
        <f t="shared" si="17"/>
        <v>0</v>
      </c>
    </row>
    <row r="578" spans="1:9">
      <c r="A578" s="85" t="str">
        <f>VLOOKUP('Informe Kelly'!A571,Base!A:B,2,FALSE)</f>
        <v>12.093.149-0</v>
      </c>
      <c r="B578" s="85" t="str">
        <f>VLOOKUP('Informe Kelly'!A571,Base!A:G,7,FALSE)</f>
        <v>CONTRERAS CORTES ANGEL GUILLERMO</v>
      </c>
      <c r="C578" s="91">
        <f>'Informe Kelly'!E571</f>
        <v>40648</v>
      </c>
      <c r="D578" s="96">
        <f t="shared" si="16"/>
        <v>298</v>
      </c>
      <c r="E578" s="85" t="e">
        <f>VLOOKUP(A578,Ingreso!K:P,6,FALSE)</f>
        <v>#N/A</v>
      </c>
      <c r="F578" s="85" t="str">
        <f>IF('Informe Kelly'!H571=$A$2,'Informe Kelly'!F571,"")</f>
        <v/>
      </c>
      <c r="G578" s="85">
        <f>IF('Informe Kelly'!H571=$A$3,'Informe Kelly'!F571,"")</f>
        <v>0.32385416666666667</v>
      </c>
      <c r="H578" s="85" t="e">
        <f>IF(C578=C576,0,IF(D578=D577,0,(HLOOKUP(C578,Ingreso!$AN$10:$AU$260,VLOOKUP(A578,Ingreso!$AL$11:$AM$260,2,FALSE)))/24))</f>
        <v>#N/A</v>
      </c>
      <c r="I578" s="77" t="e">
        <f t="shared" si="17"/>
        <v>#N/A</v>
      </c>
    </row>
    <row r="579" spans="1:9">
      <c r="A579" s="85" t="str">
        <f>VLOOKUP('Informe Kelly'!A572,Base!A:B,2,FALSE)</f>
        <v>12.093.149-0</v>
      </c>
      <c r="B579" s="85" t="str">
        <f>VLOOKUP('Informe Kelly'!A572,Base!A:G,7,FALSE)</f>
        <v>CONTRERAS CORTES ANGEL GUILLERMO</v>
      </c>
      <c r="C579" s="91">
        <f>'Informe Kelly'!E572</f>
        <v>40648</v>
      </c>
      <c r="D579" s="96">
        <f t="shared" si="16"/>
        <v>298</v>
      </c>
      <c r="E579" s="85" t="e">
        <f>VLOOKUP(A579,Ingreso!K:P,6,FALSE)</f>
        <v>#N/A</v>
      </c>
      <c r="F579" s="85">
        <f>IF('Informe Kelly'!H572=$A$2,'Informe Kelly'!F572,"")</f>
        <v>0.92718750000000005</v>
      </c>
      <c r="G579" s="85" t="str">
        <f>IF('Informe Kelly'!H572=$A$3,'Informe Kelly'!F572,"")</f>
        <v/>
      </c>
      <c r="H579" s="85">
        <f>IF(C579=C577,0,IF(D579=D578,0,(HLOOKUP(C579,Ingreso!$AN$10:$AU$260,VLOOKUP(A579,Ingreso!$AL$11:$AM$260,2,FALSE)))/24))</f>
        <v>0</v>
      </c>
      <c r="I579" s="77">
        <f t="shared" si="17"/>
        <v>0</v>
      </c>
    </row>
    <row r="580" spans="1:9">
      <c r="A580" s="85" t="str">
        <f>VLOOKUP('Informe Kelly'!A573,Base!A:B,2,FALSE)</f>
        <v>12.093.149-0</v>
      </c>
      <c r="B580" s="85" t="str">
        <f>VLOOKUP('Informe Kelly'!A573,Base!A:G,7,FALSE)</f>
        <v>CONTRERAS CORTES ANGEL GUILLERMO</v>
      </c>
      <c r="C580" s="91">
        <f>'Informe Kelly'!E573</f>
        <v>40649</v>
      </c>
      <c r="D580" s="96">
        <f t="shared" si="16"/>
        <v>299</v>
      </c>
      <c r="E580" s="85" t="e">
        <f>VLOOKUP(A580,Ingreso!K:P,6,FALSE)</f>
        <v>#N/A</v>
      </c>
      <c r="F580" s="85" t="str">
        <f>IF('Informe Kelly'!H573=$A$2,'Informe Kelly'!F573,"")</f>
        <v/>
      </c>
      <c r="G580" s="85">
        <f>IF('Informe Kelly'!H573=$A$3,'Informe Kelly'!F573,"")</f>
        <v>0.32806712962962964</v>
      </c>
      <c r="H580" s="85" t="e">
        <f>IF(C580=C578,0,IF(D580=D579,0,(HLOOKUP(C580,Ingreso!$AN$10:$AU$260,VLOOKUP(A580,Ingreso!$AL$11:$AM$260,2,FALSE)))/24))</f>
        <v>#N/A</v>
      </c>
      <c r="I580" s="77" t="e">
        <f t="shared" si="17"/>
        <v>#N/A</v>
      </c>
    </row>
    <row r="581" spans="1:9">
      <c r="A581" s="85" t="str">
        <f>VLOOKUP('Informe Kelly'!A574,Base!A:B,2,FALSE)</f>
        <v>12.093.228-4</v>
      </c>
      <c r="B581" s="85" t="str">
        <f>VLOOKUP('Informe Kelly'!A574,Base!A:G,7,FALSE)</f>
        <v>ARANCIBIA NIETO CRISTIAN</v>
      </c>
      <c r="C581" s="91">
        <f>'Informe Kelly'!E574</f>
        <v>40644</v>
      </c>
      <c r="D581" s="96">
        <f t="shared" si="16"/>
        <v>300</v>
      </c>
      <c r="E581" s="85" t="str">
        <f>VLOOKUP(A581,Ingreso!K:P,6,FALSE)</f>
        <v>Admin</v>
      </c>
      <c r="F581" s="85">
        <f>IF('Informe Kelly'!H574=$A$2,'Informe Kelly'!F574,"")</f>
        <v>0.29274305555555552</v>
      </c>
      <c r="G581" s="85" t="str">
        <f>IF('Informe Kelly'!H574=$A$3,'Informe Kelly'!F574,"")</f>
        <v/>
      </c>
      <c r="H581" s="85">
        <f>IF(C581=C579,0,IF(D581=D580,0,(HLOOKUP(C581,Ingreso!$AN$10:$AU$260,VLOOKUP(A581,Ingreso!$AL$11:$AM$260,2,FALSE)))/24))</f>
        <v>8.3333333333333329E-2</v>
      </c>
      <c r="I581" s="77">
        <f t="shared" si="17"/>
        <v>0.41666666666666669</v>
      </c>
    </row>
    <row r="582" spans="1:9">
      <c r="A582" s="85" t="str">
        <f>VLOOKUP('Informe Kelly'!A575,Base!A:B,2,FALSE)</f>
        <v>12.093.228-4</v>
      </c>
      <c r="B582" s="85" t="str">
        <f>VLOOKUP('Informe Kelly'!A575,Base!A:G,7,FALSE)</f>
        <v>ARANCIBIA NIETO CRISTIAN</v>
      </c>
      <c r="C582" s="91">
        <f>'Informe Kelly'!E575</f>
        <v>40644</v>
      </c>
      <c r="D582" s="96">
        <f t="shared" si="16"/>
        <v>300</v>
      </c>
      <c r="E582" s="85" t="str">
        <f>VLOOKUP(A582,Ingreso!K:P,6,FALSE)</f>
        <v>Admin</v>
      </c>
      <c r="F582" s="85" t="str">
        <f>IF('Informe Kelly'!H575=$A$2,'Informe Kelly'!F575,"")</f>
        <v/>
      </c>
      <c r="G582" s="85">
        <f>IF('Informe Kelly'!H575=$A$3,'Informe Kelly'!F575,"")</f>
        <v>0.78828703703703706</v>
      </c>
      <c r="H582" s="85">
        <f>IF(C582=C580,0,IF(D582=D581,0,(HLOOKUP(C582,Ingreso!$AN$10:$AU$260,VLOOKUP(A582,Ingreso!$AL$11:$AM$260,2,FALSE)))/24))</f>
        <v>0</v>
      </c>
      <c r="I582" s="77">
        <f t="shared" si="17"/>
        <v>0</v>
      </c>
    </row>
    <row r="583" spans="1:9">
      <c r="A583" s="85" t="str">
        <f>VLOOKUP('Informe Kelly'!A576,Base!A:B,2,FALSE)</f>
        <v>12.093.228-4</v>
      </c>
      <c r="B583" s="85" t="str">
        <f>VLOOKUP('Informe Kelly'!A576,Base!A:G,7,FALSE)</f>
        <v>ARANCIBIA NIETO CRISTIAN</v>
      </c>
      <c r="C583" s="91">
        <f>'Informe Kelly'!E576</f>
        <v>40645</v>
      </c>
      <c r="D583" s="96">
        <f t="shared" si="16"/>
        <v>301</v>
      </c>
      <c r="E583" s="85" t="str">
        <f>VLOOKUP(A583,Ingreso!K:P,6,FALSE)</f>
        <v>Admin</v>
      </c>
      <c r="F583" s="85">
        <f>IF('Informe Kelly'!H576=$A$2,'Informe Kelly'!F576,"")</f>
        <v>0.29252314814814812</v>
      </c>
      <c r="G583" s="85" t="str">
        <f>IF('Informe Kelly'!H576=$A$3,'Informe Kelly'!F576,"")</f>
        <v/>
      </c>
      <c r="H583" s="85">
        <f>IF(C583=C581,0,IF(D583=D582,0,(HLOOKUP(C583,Ingreso!$AN$10:$AU$260,VLOOKUP(A583,Ingreso!$AL$11:$AM$260,2,FALSE)))/24))</f>
        <v>8.3333333333333329E-2</v>
      </c>
      <c r="I583" s="77">
        <f t="shared" si="17"/>
        <v>0.41666666666666669</v>
      </c>
    </row>
    <row r="584" spans="1:9">
      <c r="A584" s="85" t="str">
        <f>VLOOKUP('Informe Kelly'!A577,Base!A:B,2,FALSE)</f>
        <v>12.093.228-4</v>
      </c>
      <c r="B584" s="85" t="str">
        <f>VLOOKUP('Informe Kelly'!A577,Base!A:G,7,FALSE)</f>
        <v>ARANCIBIA NIETO CRISTIAN</v>
      </c>
      <c r="C584" s="91">
        <f>'Informe Kelly'!E577</f>
        <v>40645</v>
      </c>
      <c r="D584" s="96">
        <f t="shared" si="16"/>
        <v>301</v>
      </c>
      <c r="E584" s="85" t="str">
        <f>VLOOKUP(A584,Ingreso!K:P,6,FALSE)</f>
        <v>Admin</v>
      </c>
      <c r="F584" s="85" t="str">
        <f>IF('Informe Kelly'!H577=$A$2,'Informe Kelly'!F577,"")</f>
        <v/>
      </c>
      <c r="G584" s="85">
        <f>IF('Informe Kelly'!H577=$A$3,'Informe Kelly'!F577,"")</f>
        <v>0.788599537037037</v>
      </c>
      <c r="H584" s="85">
        <f>IF(C584=C582,0,IF(D584=D583,0,(HLOOKUP(C584,Ingreso!$AN$10:$AU$260,VLOOKUP(A584,Ingreso!$AL$11:$AM$260,2,FALSE)))/24))</f>
        <v>0</v>
      </c>
      <c r="I584" s="77">
        <f t="shared" si="17"/>
        <v>0</v>
      </c>
    </row>
    <row r="585" spans="1:9">
      <c r="A585" s="85" t="str">
        <f>VLOOKUP('Informe Kelly'!A578,Base!A:B,2,FALSE)</f>
        <v>12.093.228-4</v>
      </c>
      <c r="B585" s="85" t="str">
        <f>VLOOKUP('Informe Kelly'!A578,Base!A:G,7,FALSE)</f>
        <v>ARANCIBIA NIETO CRISTIAN</v>
      </c>
      <c r="C585" s="91">
        <f>'Informe Kelly'!E578</f>
        <v>40646</v>
      </c>
      <c r="D585" s="96">
        <f t="shared" ref="D585:D648" si="18">IF(C584=C585,IF(C585=C582,D584,IF(C585=C583,D584+1,D584)),D584+1)</f>
        <v>302</v>
      </c>
      <c r="E585" s="85" t="str">
        <f>VLOOKUP(A585,Ingreso!K:P,6,FALSE)</f>
        <v>Admin</v>
      </c>
      <c r="F585" s="85">
        <f>IF('Informe Kelly'!H578=$A$2,'Informe Kelly'!F578,"")</f>
        <v>0.2945949074074074</v>
      </c>
      <c r="G585" s="85" t="str">
        <f>IF('Informe Kelly'!H578=$A$3,'Informe Kelly'!F578,"")</f>
        <v/>
      </c>
      <c r="H585" s="85">
        <f>IF(C585=C583,0,IF(D585=D584,0,(HLOOKUP(C585,Ingreso!$AN$10:$AU$260,VLOOKUP(A585,Ingreso!$AL$11:$AM$260,2,FALSE)))/24))</f>
        <v>8.3333333333333329E-2</v>
      </c>
      <c r="I585" s="77">
        <f t="shared" si="17"/>
        <v>0.41666666666666669</v>
      </c>
    </row>
    <row r="586" spans="1:9">
      <c r="A586" s="85" t="str">
        <f>VLOOKUP('Informe Kelly'!A579,Base!A:B,2,FALSE)</f>
        <v>12.093.228-4</v>
      </c>
      <c r="B586" s="85" t="str">
        <f>VLOOKUP('Informe Kelly'!A579,Base!A:G,7,FALSE)</f>
        <v>ARANCIBIA NIETO CRISTIAN</v>
      </c>
      <c r="C586" s="91">
        <f>'Informe Kelly'!E579</f>
        <v>40646</v>
      </c>
      <c r="D586" s="96">
        <f t="shared" si="18"/>
        <v>302</v>
      </c>
      <c r="E586" s="85" t="str">
        <f>VLOOKUP(A586,Ingreso!K:P,6,FALSE)</f>
        <v>Admin</v>
      </c>
      <c r="F586" s="85" t="str">
        <f>IF('Informe Kelly'!H579=$A$2,'Informe Kelly'!F579,"")</f>
        <v/>
      </c>
      <c r="G586" s="85">
        <f>IF('Informe Kelly'!H579=$A$3,'Informe Kelly'!F579,"")</f>
        <v>0.7903472222222222</v>
      </c>
      <c r="H586" s="85">
        <f>IF(C586=C584,0,IF(D586=D585,0,(HLOOKUP(C586,Ingreso!$AN$10:$AU$260,VLOOKUP(A586,Ingreso!$AL$11:$AM$260,2,FALSE)))/24))</f>
        <v>0</v>
      </c>
      <c r="I586" s="77">
        <f t="shared" ref="I586:I649" si="19">IF(C586=C584,0,IF(D586=D585,0,(VLOOKUP(E586,$C$2:$D$5,2,FALSE))))</f>
        <v>0</v>
      </c>
    </row>
    <row r="587" spans="1:9">
      <c r="A587" s="85" t="str">
        <f>VLOOKUP('Informe Kelly'!A580,Base!A:B,2,FALSE)</f>
        <v>12.093.228-4</v>
      </c>
      <c r="B587" s="85" t="str">
        <f>VLOOKUP('Informe Kelly'!A580,Base!A:G,7,FALSE)</f>
        <v>ARANCIBIA NIETO CRISTIAN</v>
      </c>
      <c r="C587" s="91">
        <f>'Informe Kelly'!E580</f>
        <v>40647</v>
      </c>
      <c r="D587" s="96">
        <f t="shared" si="18"/>
        <v>303</v>
      </c>
      <c r="E587" s="85" t="str">
        <f>VLOOKUP(A587,Ingreso!K:P,6,FALSE)</f>
        <v>Admin</v>
      </c>
      <c r="F587" s="85">
        <f>IF('Informe Kelly'!H580=$A$2,'Informe Kelly'!F580,"")</f>
        <v>0.29274305555555552</v>
      </c>
      <c r="G587" s="85" t="str">
        <f>IF('Informe Kelly'!H580=$A$3,'Informe Kelly'!F580,"")</f>
        <v/>
      </c>
      <c r="H587" s="85">
        <f>IF(C587=C585,0,IF(D587=D586,0,(HLOOKUP(C587,Ingreso!$AN$10:$AU$260,VLOOKUP(A587,Ingreso!$AL$11:$AM$260,2,FALSE)))/24))</f>
        <v>8.3333333333333329E-2</v>
      </c>
      <c r="I587" s="77">
        <f t="shared" si="19"/>
        <v>0.41666666666666669</v>
      </c>
    </row>
    <row r="588" spans="1:9">
      <c r="A588" s="85" t="str">
        <f>VLOOKUP('Informe Kelly'!A581,Base!A:B,2,FALSE)</f>
        <v>12.093.228-4</v>
      </c>
      <c r="B588" s="85" t="str">
        <f>VLOOKUP('Informe Kelly'!A581,Base!A:G,7,FALSE)</f>
        <v>ARANCIBIA NIETO CRISTIAN</v>
      </c>
      <c r="C588" s="91">
        <f>'Informe Kelly'!E581</f>
        <v>40647</v>
      </c>
      <c r="D588" s="96">
        <f t="shared" si="18"/>
        <v>303</v>
      </c>
      <c r="E588" s="85" t="str">
        <f>VLOOKUP(A588,Ingreso!K:P,6,FALSE)</f>
        <v>Admin</v>
      </c>
      <c r="F588" s="85" t="str">
        <f>IF('Informe Kelly'!H581=$A$2,'Informe Kelly'!F581,"")</f>
        <v/>
      </c>
      <c r="G588" s="85">
        <f>IF('Informe Kelly'!H581=$A$3,'Informe Kelly'!F581,"")</f>
        <v>0.80184027777777789</v>
      </c>
      <c r="H588" s="85">
        <f>IF(C588=C586,0,IF(D588=D587,0,(HLOOKUP(C588,Ingreso!$AN$10:$AU$260,VLOOKUP(A588,Ingreso!$AL$11:$AM$260,2,FALSE)))/24))</f>
        <v>0</v>
      </c>
      <c r="I588" s="77">
        <f t="shared" si="19"/>
        <v>0</v>
      </c>
    </row>
    <row r="589" spans="1:9">
      <c r="A589" s="85" t="str">
        <f>VLOOKUP('Informe Kelly'!A582,Base!A:B,2,FALSE)</f>
        <v>12.093.228-4</v>
      </c>
      <c r="B589" s="85" t="str">
        <f>VLOOKUP('Informe Kelly'!A582,Base!A:G,7,FALSE)</f>
        <v>ARANCIBIA NIETO CRISTIAN</v>
      </c>
      <c r="C589" s="91">
        <f>'Informe Kelly'!E582</f>
        <v>40648</v>
      </c>
      <c r="D589" s="96">
        <f t="shared" si="18"/>
        <v>304</v>
      </c>
      <c r="E589" s="85" t="str">
        <f>VLOOKUP(A589,Ingreso!K:P,6,FALSE)</f>
        <v>Admin</v>
      </c>
      <c r="F589" s="85" t="str">
        <f>IF('Informe Kelly'!H582=$A$2,'Informe Kelly'!F582,"")</f>
        <v/>
      </c>
      <c r="G589" s="85">
        <f>IF('Informe Kelly'!H582=$A$3,'Informe Kelly'!F582,"")</f>
        <v>0.75437500000000002</v>
      </c>
      <c r="H589" s="85">
        <f>IF(C589=C587,0,IF(D589=D588,0,(HLOOKUP(C589,Ingreso!$AN$10:$AU$260,VLOOKUP(A589,Ingreso!$AL$11:$AM$260,2,FALSE)))/24))</f>
        <v>4.1666666666666664E-2</v>
      </c>
      <c r="I589" s="77">
        <f t="shared" si="19"/>
        <v>0.41666666666666669</v>
      </c>
    </row>
    <row r="590" spans="1:9">
      <c r="A590" s="85" t="str">
        <f>VLOOKUP('Informe Kelly'!A583,Base!A:B,2,FALSE)</f>
        <v>12.093.228-4</v>
      </c>
      <c r="B590" s="85" t="str">
        <f>VLOOKUP('Informe Kelly'!A583,Base!A:G,7,FALSE)</f>
        <v>ARANCIBIA NIETO CRISTIAN</v>
      </c>
      <c r="C590" s="91">
        <f>'Informe Kelly'!E583</f>
        <v>40648</v>
      </c>
      <c r="D590" s="96">
        <f t="shared" si="18"/>
        <v>304</v>
      </c>
      <c r="E590" s="85" t="str">
        <f>VLOOKUP(A590,Ingreso!K:P,6,FALSE)</f>
        <v>Admin</v>
      </c>
      <c r="F590" s="85" t="str">
        <f>IF('Informe Kelly'!H583=$A$2,'Informe Kelly'!F583,"")</f>
        <v/>
      </c>
      <c r="G590" s="85">
        <f>IF('Informe Kelly'!H583=$A$3,'Informe Kelly'!F583,"")</f>
        <v>0.30587962962962961</v>
      </c>
      <c r="H590" s="85">
        <f>IF(C590=C588,0,IF(D590=D589,0,(HLOOKUP(C590,Ingreso!$AN$10:$AU$260,VLOOKUP(A590,Ingreso!$AL$11:$AM$260,2,FALSE)))/24))</f>
        <v>0</v>
      </c>
      <c r="I590" s="77">
        <f t="shared" si="19"/>
        <v>0</v>
      </c>
    </row>
    <row r="591" spans="1:9">
      <c r="A591" s="85" t="str">
        <f>VLOOKUP('Informe Kelly'!A584,Base!A:B,2,FALSE)</f>
        <v>12.210.109-0</v>
      </c>
      <c r="B591" s="85" t="str">
        <f>VLOOKUP('Informe Kelly'!A584,Base!A:G,7,FALSE)</f>
        <v>ESCOBAR RIVERA ROBERTO FERNANDO</v>
      </c>
      <c r="C591" s="91">
        <f>'Informe Kelly'!E584</f>
        <v>40644</v>
      </c>
      <c r="D591" s="96">
        <f t="shared" si="18"/>
        <v>305</v>
      </c>
      <c r="E591" s="85" t="e">
        <f>VLOOKUP(A591,Ingreso!K:P,6,FALSE)</f>
        <v>#N/A</v>
      </c>
      <c r="F591" s="85">
        <f>IF('Informe Kelly'!H584=$A$2,'Informe Kelly'!F584,"")</f>
        <v>0.29684027777777777</v>
      </c>
      <c r="G591" s="85" t="str">
        <f>IF('Informe Kelly'!H584=$A$3,'Informe Kelly'!F584,"")</f>
        <v/>
      </c>
      <c r="H591" s="85" t="e">
        <f>IF(C591=C589,0,IF(D591=D590,0,(HLOOKUP(C591,Ingreso!$AN$10:$AU$260,VLOOKUP(A591,Ingreso!$AL$11:$AM$260,2,FALSE)))/24))</f>
        <v>#N/A</v>
      </c>
      <c r="I591" s="77" t="e">
        <f t="shared" si="19"/>
        <v>#N/A</v>
      </c>
    </row>
    <row r="592" spans="1:9">
      <c r="A592" s="85" t="str">
        <f>VLOOKUP('Informe Kelly'!A585,Base!A:B,2,FALSE)</f>
        <v>12.210.109-0</v>
      </c>
      <c r="B592" s="85" t="str">
        <f>VLOOKUP('Informe Kelly'!A585,Base!A:G,7,FALSE)</f>
        <v>ESCOBAR RIVERA ROBERTO FERNANDO</v>
      </c>
      <c r="C592" s="91">
        <f>'Informe Kelly'!E585</f>
        <v>40644</v>
      </c>
      <c r="D592" s="96">
        <f t="shared" si="18"/>
        <v>305</v>
      </c>
      <c r="E592" s="85" t="e">
        <f>VLOOKUP(A592,Ingreso!K:P,6,FALSE)</f>
        <v>#N/A</v>
      </c>
      <c r="F592" s="85" t="str">
        <f>IF('Informe Kelly'!H585=$A$2,'Informe Kelly'!F585,"")</f>
        <v/>
      </c>
      <c r="G592" s="85">
        <f>IF('Informe Kelly'!H585=$A$3,'Informe Kelly'!F585,"")</f>
        <v>0.63315972222222217</v>
      </c>
      <c r="H592" s="85">
        <f>IF(C592=C590,0,IF(D592=D591,0,(HLOOKUP(C592,Ingreso!$AN$10:$AU$260,VLOOKUP(A592,Ingreso!$AL$11:$AM$260,2,FALSE)))/24))</f>
        <v>0</v>
      </c>
      <c r="I592" s="77">
        <f t="shared" si="19"/>
        <v>0</v>
      </c>
    </row>
    <row r="593" spans="1:9">
      <c r="A593" s="85" t="str">
        <f>VLOOKUP('Informe Kelly'!A586,Base!A:B,2,FALSE)</f>
        <v>12.210.109-0</v>
      </c>
      <c r="B593" s="85" t="str">
        <f>VLOOKUP('Informe Kelly'!A586,Base!A:G,7,FALSE)</f>
        <v>ESCOBAR RIVERA ROBERTO FERNANDO</v>
      </c>
      <c r="C593" s="91">
        <f>'Informe Kelly'!E586</f>
        <v>40645</v>
      </c>
      <c r="D593" s="96">
        <f t="shared" si="18"/>
        <v>306</v>
      </c>
      <c r="E593" s="85" t="e">
        <f>VLOOKUP(A593,Ingreso!K:P,6,FALSE)</f>
        <v>#N/A</v>
      </c>
      <c r="F593" s="85">
        <f>IF('Informe Kelly'!H586=$A$2,'Informe Kelly'!F586,"")</f>
        <v>0.29693287037037036</v>
      </c>
      <c r="G593" s="85" t="str">
        <f>IF('Informe Kelly'!H586=$A$3,'Informe Kelly'!F586,"")</f>
        <v/>
      </c>
      <c r="H593" s="85" t="e">
        <f>IF(C593=C591,0,IF(D593=D592,0,(HLOOKUP(C593,Ingreso!$AN$10:$AU$260,VLOOKUP(A593,Ingreso!$AL$11:$AM$260,2,FALSE)))/24))</f>
        <v>#N/A</v>
      </c>
      <c r="I593" s="77" t="e">
        <f t="shared" si="19"/>
        <v>#N/A</v>
      </c>
    </row>
    <row r="594" spans="1:9">
      <c r="A594" s="85" t="str">
        <f>VLOOKUP('Informe Kelly'!A587,Base!A:B,2,FALSE)</f>
        <v>12.210.109-0</v>
      </c>
      <c r="B594" s="85" t="str">
        <f>VLOOKUP('Informe Kelly'!A587,Base!A:G,7,FALSE)</f>
        <v>ESCOBAR RIVERA ROBERTO FERNANDO</v>
      </c>
      <c r="C594" s="91">
        <f>'Informe Kelly'!E587</f>
        <v>40645</v>
      </c>
      <c r="D594" s="96">
        <f t="shared" si="18"/>
        <v>306</v>
      </c>
      <c r="E594" s="85" t="e">
        <f>VLOOKUP(A594,Ingreso!K:P,6,FALSE)</f>
        <v>#N/A</v>
      </c>
      <c r="F594" s="85" t="str">
        <f>IF('Informe Kelly'!H587=$A$2,'Informe Kelly'!F587,"")</f>
        <v/>
      </c>
      <c r="G594" s="85">
        <f>IF('Informe Kelly'!H587=$A$3,'Informe Kelly'!F587,"")</f>
        <v>0.63312500000000005</v>
      </c>
      <c r="H594" s="85">
        <f>IF(C594=C592,0,IF(D594=D593,0,(HLOOKUP(C594,Ingreso!$AN$10:$AU$260,VLOOKUP(A594,Ingreso!$AL$11:$AM$260,2,FALSE)))/24))</f>
        <v>0</v>
      </c>
      <c r="I594" s="77">
        <f t="shared" si="19"/>
        <v>0</v>
      </c>
    </row>
    <row r="595" spans="1:9">
      <c r="A595" s="85" t="str">
        <f>VLOOKUP('Informe Kelly'!A588,Base!A:B,2,FALSE)</f>
        <v>12.210.109-0</v>
      </c>
      <c r="B595" s="85" t="str">
        <f>VLOOKUP('Informe Kelly'!A588,Base!A:G,7,FALSE)</f>
        <v>ESCOBAR RIVERA ROBERTO FERNANDO</v>
      </c>
      <c r="C595" s="91">
        <f>'Informe Kelly'!E588</f>
        <v>40646</v>
      </c>
      <c r="D595" s="96">
        <f t="shared" si="18"/>
        <v>307</v>
      </c>
      <c r="E595" s="85" t="e">
        <f>VLOOKUP(A595,Ingreso!K:P,6,FALSE)</f>
        <v>#N/A</v>
      </c>
      <c r="F595" s="85">
        <f>IF('Informe Kelly'!H588=$A$2,'Informe Kelly'!F588,"")</f>
        <v>0.30879629629629629</v>
      </c>
      <c r="G595" s="85" t="str">
        <f>IF('Informe Kelly'!H588=$A$3,'Informe Kelly'!F588,"")</f>
        <v/>
      </c>
      <c r="H595" s="85" t="e">
        <f>IF(C595=C593,0,IF(D595=D594,0,(HLOOKUP(C595,Ingreso!$AN$10:$AU$260,VLOOKUP(A595,Ingreso!$AL$11:$AM$260,2,FALSE)))/24))</f>
        <v>#N/A</v>
      </c>
      <c r="I595" s="77" t="e">
        <f t="shared" si="19"/>
        <v>#N/A</v>
      </c>
    </row>
    <row r="596" spans="1:9">
      <c r="A596" s="85" t="str">
        <f>VLOOKUP('Informe Kelly'!A589,Base!A:B,2,FALSE)</f>
        <v>12.210.109-0</v>
      </c>
      <c r="B596" s="85" t="str">
        <f>VLOOKUP('Informe Kelly'!A589,Base!A:G,7,FALSE)</f>
        <v>ESCOBAR RIVERA ROBERTO FERNANDO</v>
      </c>
      <c r="C596" s="91">
        <f>'Informe Kelly'!E589</f>
        <v>40646</v>
      </c>
      <c r="D596" s="96">
        <f t="shared" si="18"/>
        <v>307</v>
      </c>
      <c r="E596" s="85" t="e">
        <f>VLOOKUP(A596,Ingreso!K:P,6,FALSE)</f>
        <v>#N/A</v>
      </c>
      <c r="F596" s="85" t="str">
        <f>IF('Informe Kelly'!H589=$A$2,'Informe Kelly'!F589,"")</f>
        <v/>
      </c>
      <c r="G596" s="85">
        <f>IF('Informe Kelly'!H589=$A$3,'Informe Kelly'!F589,"")</f>
        <v>0.62711805555555555</v>
      </c>
      <c r="H596" s="85">
        <f>IF(C596=C594,0,IF(D596=D595,0,(HLOOKUP(C596,Ingreso!$AN$10:$AU$260,VLOOKUP(A596,Ingreso!$AL$11:$AM$260,2,FALSE)))/24))</f>
        <v>0</v>
      </c>
      <c r="I596" s="77">
        <f t="shared" si="19"/>
        <v>0</v>
      </c>
    </row>
    <row r="597" spans="1:9">
      <c r="A597" s="85" t="str">
        <f>VLOOKUP('Informe Kelly'!A590,Base!A:B,2,FALSE)</f>
        <v>12.210.109-0</v>
      </c>
      <c r="B597" s="85" t="str">
        <f>VLOOKUP('Informe Kelly'!A590,Base!A:G,7,FALSE)</f>
        <v>ESCOBAR RIVERA ROBERTO FERNANDO</v>
      </c>
      <c r="C597" s="91">
        <f>'Informe Kelly'!E590</f>
        <v>40647</v>
      </c>
      <c r="D597" s="96">
        <f t="shared" si="18"/>
        <v>308</v>
      </c>
      <c r="E597" s="85" t="e">
        <f>VLOOKUP(A597,Ingreso!K:P,6,FALSE)</f>
        <v>#N/A</v>
      </c>
      <c r="F597" s="85">
        <f>IF('Informe Kelly'!H590=$A$2,'Informe Kelly'!F590,"")</f>
        <v>0.29684027777777777</v>
      </c>
      <c r="G597" s="85" t="str">
        <f>IF('Informe Kelly'!H590=$A$3,'Informe Kelly'!F590,"")</f>
        <v/>
      </c>
      <c r="H597" s="85" t="e">
        <f>IF(C597=C595,0,IF(D597=D596,0,(HLOOKUP(C597,Ingreso!$AN$10:$AU$260,VLOOKUP(A597,Ingreso!$AL$11:$AM$260,2,FALSE)))/24))</f>
        <v>#N/A</v>
      </c>
      <c r="I597" s="77" t="e">
        <f t="shared" si="19"/>
        <v>#N/A</v>
      </c>
    </row>
    <row r="598" spans="1:9">
      <c r="A598" s="85" t="str">
        <f>VLOOKUP('Informe Kelly'!A591,Base!A:B,2,FALSE)</f>
        <v>12.210.109-0</v>
      </c>
      <c r="B598" s="85" t="str">
        <f>VLOOKUP('Informe Kelly'!A591,Base!A:G,7,FALSE)</f>
        <v>ESCOBAR RIVERA ROBERTO FERNANDO</v>
      </c>
      <c r="C598" s="91">
        <f>'Informe Kelly'!E591</f>
        <v>40647</v>
      </c>
      <c r="D598" s="96">
        <f t="shared" si="18"/>
        <v>308</v>
      </c>
      <c r="E598" s="85" t="e">
        <f>VLOOKUP(A598,Ingreso!K:P,6,FALSE)</f>
        <v>#N/A</v>
      </c>
      <c r="F598" s="85" t="str">
        <f>IF('Informe Kelly'!H591=$A$2,'Informe Kelly'!F591,"")</f>
        <v/>
      </c>
      <c r="G598" s="85">
        <f>IF('Informe Kelly'!H591=$A$3,'Informe Kelly'!F591,"")</f>
        <v>0.63468749999999996</v>
      </c>
      <c r="H598" s="85">
        <f>IF(C598=C596,0,IF(D598=D597,0,(HLOOKUP(C598,Ingreso!$AN$10:$AU$260,VLOOKUP(A598,Ingreso!$AL$11:$AM$260,2,FALSE)))/24))</f>
        <v>0</v>
      </c>
      <c r="I598" s="77">
        <f t="shared" si="19"/>
        <v>0</v>
      </c>
    </row>
    <row r="599" spans="1:9">
      <c r="A599" s="85" t="str">
        <f>VLOOKUP('Informe Kelly'!A592,Base!A:B,2,FALSE)</f>
        <v>12.210.109-0</v>
      </c>
      <c r="B599" s="85" t="str">
        <f>VLOOKUP('Informe Kelly'!A592,Base!A:G,7,FALSE)</f>
        <v>ESCOBAR RIVERA ROBERTO FERNANDO</v>
      </c>
      <c r="C599" s="91">
        <f>'Informe Kelly'!E592</f>
        <v>40648</v>
      </c>
      <c r="D599" s="96">
        <f t="shared" si="18"/>
        <v>309</v>
      </c>
      <c r="E599" s="85" t="e">
        <f>VLOOKUP(A599,Ingreso!K:P,6,FALSE)</f>
        <v>#N/A</v>
      </c>
      <c r="F599" s="85" t="str">
        <f>IF('Informe Kelly'!H592=$A$2,'Informe Kelly'!F592,"")</f>
        <v/>
      </c>
      <c r="G599" s="85">
        <f>IF('Informe Kelly'!H592=$A$3,'Informe Kelly'!F592,"")</f>
        <v>0.63479166666666664</v>
      </c>
      <c r="H599" s="85" t="e">
        <f>IF(C599=C597,0,IF(D599=D598,0,(HLOOKUP(C599,Ingreso!$AN$10:$AU$260,VLOOKUP(A599,Ingreso!$AL$11:$AM$260,2,FALSE)))/24))</f>
        <v>#N/A</v>
      </c>
      <c r="I599" s="77" t="e">
        <f t="shared" si="19"/>
        <v>#N/A</v>
      </c>
    </row>
    <row r="600" spans="1:9">
      <c r="A600" s="85" t="str">
        <f>VLOOKUP('Informe Kelly'!A593,Base!A:B,2,FALSE)</f>
        <v>12.210.109-0</v>
      </c>
      <c r="B600" s="85" t="str">
        <f>VLOOKUP('Informe Kelly'!A593,Base!A:G,7,FALSE)</f>
        <v>ESCOBAR RIVERA ROBERTO FERNANDO</v>
      </c>
      <c r="C600" s="91">
        <f>'Informe Kelly'!E593</f>
        <v>40648</v>
      </c>
      <c r="D600" s="96">
        <f t="shared" si="18"/>
        <v>309</v>
      </c>
      <c r="E600" s="85" t="e">
        <f>VLOOKUP(A600,Ingreso!K:P,6,FALSE)</f>
        <v>#N/A</v>
      </c>
      <c r="F600" s="85">
        <f>IF('Informe Kelly'!H593=$A$2,'Informe Kelly'!F593,"")</f>
        <v>0.29725694444444445</v>
      </c>
      <c r="G600" s="85" t="str">
        <f>IF('Informe Kelly'!H593=$A$3,'Informe Kelly'!F593,"")</f>
        <v/>
      </c>
      <c r="H600" s="85">
        <f>IF(C600=C598,0,IF(D600=D599,0,(HLOOKUP(C600,Ingreso!$AN$10:$AU$260,VLOOKUP(A600,Ingreso!$AL$11:$AM$260,2,FALSE)))/24))</f>
        <v>0</v>
      </c>
      <c r="I600" s="77">
        <f t="shared" si="19"/>
        <v>0</v>
      </c>
    </row>
    <row r="601" spans="1:9">
      <c r="A601" s="85" t="str">
        <f>VLOOKUP('Informe Kelly'!A594,Base!A:B,2,FALSE)</f>
        <v>12.210.109-0</v>
      </c>
      <c r="B601" s="85" t="str">
        <f>VLOOKUP('Informe Kelly'!A594,Base!A:G,7,FALSE)</f>
        <v>ESCOBAR RIVERA ROBERTO FERNANDO</v>
      </c>
      <c r="C601" s="91">
        <f>'Informe Kelly'!E594</f>
        <v>40649</v>
      </c>
      <c r="D601" s="96">
        <f t="shared" si="18"/>
        <v>310</v>
      </c>
      <c r="E601" s="85" t="e">
        <f>VLOOKUP(A601,Ingreso!K:P,6,FALSE)</f>
        <v>#N/A</v>
      </c>
      <c r="F601" s="85">
        <f>IF('Informe Kelly'!H594=$A$2,'Informe Kelly'!F594,"")</f>
        <v>0.29531250000000003</v>
      </c>
      <c r="G601" s="85" t="str">
        <f>IF('Informe Kelly'!H594=$A$3,'Informe Kelly'!F594,"")</f>
        <v/>
      </c>
      <c r="H601" s="85" t="e">
        <f>IF(C601=C599,0,IF(D601=D600,0,(HLOOKUP(C601,Ingreso!$AN$10:$AU$260,VLOOKUP(A601,Ingreso!$AL$11:$AM$260,2,FALSE)))/24))</f>
        <v>#N/A</v>
      </c>
      <c r="I601" s="77" t="e">
        <f t="shared" si="19"/>
        <v>#N/A</v>
      </c>
    </row>
    <row r="602" spans="1:9">
      <c r="A602" s="85" t="str">
        <f>VLOOKUP('Informe Kelly'!A595,Base!A:B,2,FALSE)</f>
        <v>12.210.109-0</v>
      </c>
      <c r="B602" s="85" t="str">
        <f>VLOOKUP('Informe Kelly'!A595,Base!A:G,7,FALSE)</f>
        <v>ESCOBAR RIVERA ROBERTO FERNANDO</v>
      </c>
      <c r="C602" s="91">
        <f>'Informe Kelly'!E595</f>
        <v>40649</v>
      </c>
      <c r="D602" s="96">
        <f t="shared" si="18"/>
        <v>310</v>
      </c>
      <c r="E602" s="85" t="e">
        <f>VLOOKUP(A602,Ingreso!K:P,6,FALSE)</f>
        <v>#N/A</v>
      </c>
      <c r="F602" s="85" t="str">
        <f>IF('Informe Kelly'!H595=$A$2,'Informe Kelly'!F595,"")</f>
        <v/>
      </c>
      <c r="G602" s="85">
        <f>IF('Informe Kelly'!H595=$A$3,'Informe Kelly'!F595,"")</f>
        <v>0.63731481481481478</v>
      </c>
      <c r="H602" s="85">
        <f>IF(C602=C600,0,IF(D602=D601,0,(HLOOKUP(C602,Ingreso!$AN$10:$AU$260,VLOOKUP(A602,Ingreso!$AL$11:$AM$260,2,FALSE)))/24))</f>
        <v>0</v>
      </c>
      <c r="I602" s="77">
        <f t="shared" si="19"/>
        <v>0</v>
      </c>
    </row>
    <row r="603" spans="1:9">
      <c r="A603" s="85" t="str">
        <f>VLOOKUP('Informe Kelly'!A596,Base!A:B,2,FALSE)</f>
        <v>12.500.119-K</v>
      </c>
      <c r="B603" s="85" t="str">
        <f>VLOOKUP('Informe Kelly'!A596,Base!A:G,7,FALSE)</f>
        <v>SANCHEZ TORRES FREDDY</v>
      </c>
      <c r="C603" s="91">
        <f>'Informe Kelly'!E596</f>
        <v>40644</v>
      </c>
      <c r="D603" s="96">
        <f t="shared" si="18"/>
        <v>311</v>
      </c>
      <c r="E603" s="85" t="str">
        <f>VLOOKUP(A603,Ingreso!K:P,6,FALSE)</f>
        <v>Admin</v>
      </c>
      <c r="F603" s="85">
        <f>IF('Informe Kelly'!H596=$A$2,'Informe Kelly'!F596,"")</f>
        <v>0.33761574074074074</v>
      </c>
      <c r="G603" s="85" t="str">
        <f>IF('Informe Kelly'!H596=$A$3,'Informe Kelly'!F596,"")</f>
        <v/>
      </c>
      <c r="H603" s="85">
        <f>IF(C603=C601,0,IF(D603=D602,0,(HLOOKUP(C603,Ingreso!$AN$10:$AU$260,VLOOKUP(A603,Ingreso!$AL$11:$AM$260,2,FALSE)))/24))</f>
        <v>0</v>
      </c>
      <c r="I603" s="77">
        <f t="shared" si="19"/>
        <v>0.41666666666666669</v>
      </c>
    </row>
    <row r="604" spans="1:9">
      <c r="A604" s="85" t="str">
        <f>VLOOKUP('Informe Kelly'!A597,Base!A:B,2,FALSE)</f>
        <v>12.500.119-K</v>
      </c>
      <c r="B604" s="85" t="str">
        <f>VLOOKUP('Informe Kelly'!A597,Base!A:G,7,FALSE)</f>
        <v>SANCHEZ TORRES FREDDY</v>
      </c>
      <c r="C604" s="91">
        <f>'Informe Kelly'!E597</f>
        <v>40644</v>
      </c>
      <c r="D604" s="96">
        <f t="shared" si="18"/>
        <v>311</v>
      </c>
      <c r="E604" s="85" t="str">
        <f>VLOOKUP(A604,Ingreso!K:P,6,FALSE)</f>
        <v>Admin</v>
      </c>
      <c r="F604" s="85" t="str">
        <f>IF('Informe Kelly'!H597=$A$2,'Informe Kelly'!F597,"")</f>
        <v/>
      </c>
      <c r="G604" s="85">
        <f>IF('Informe Kelly'!H597=$A$3,'Informe Kelly'!F597,"")</f>
        <v>0.72804398148148142</v>
      </c>
      <c r="H604" s="85">
        <f>IF(C604=C602,0,IF(D604=D603,0,(HLOOKUP(C604,Ingreso!$AN$10:$AU$260,VLOOKUP(A604,Ingreso!$AL$11:$AM$260,2,FALSE)))/24))</f>
        <v>0</v>
      </c>
      <c r="I604" s="77">
        <f t="shared" si="19"/>
        <v>0</v>
      </c>
    </row>
    <row r="605" spans="1:9">
      <c r="A605" s="85" t="str">
        <f>VLOOKUP('Informe Kelly'!A598,Base!A:B,2,FALSE)</f>
        <v>12.500.119-K</v>
      </c>
      <c r="B605" s="85" t="str">
        <f>VLOOKUP('Informe Kelly'!A598,Base!A:G,7,FALSE)</f>
        <v>SANCHEZ TORRES FREDDY</v>
      </c>
      <c r="C605" s="91">
        <f>'Informe Kelly'!E598</f>
        <v>40645</v>
      </c>
      <c r="D605" s="96">
        <f t="shared" si="18"/>
        <v>312</v>
      </c>
      <c r="E605" s="85" t="str">
        <f>VLOOKUP(A605,Ingreso!K:P,6,FALSE)</f>
        <v>Admin</v>
      </c>
      <c r="F605" s="85">
        <f>IF('Informe Kelly'!H598=$A$2,'Informe Kelly'!F598,"")</f>
        <v>0.29636574074074074</v>
      </c>
      <c r="G605" s="85" t="str">
        <f>IF('Informe Kelly'!H598=$A$3,'Informe Kelly'!F598,"")</f>
        <v/>
      </c>
      <c r="H605" s="85">
        <f>IF(C605=C603,0,IF(D605=D604,0,(HLOOKUP(C605,Ingreso!$AN$10:$AU$260,VLOOKUP(A605,Ingreso!$AL$11:$AM$260,2,FALSE)))/24))</f>
        <v>0</v>
      </c>
      <c r="I605" s="77">
        <f t="shared" si="19"/>
        <v>0.41666666666666669</v>
      </c>
    </row>
    <row r="606" spans="1:9">
      <c r="A606" s="85" t="str">
        <f>VLOOKUP('Informe Kelly'!A599,Base!A:B,2,FALSE)</f>
        <v>12.500.119-K</v>
      </c>
      <c r="B606" s="85" t="str">
        <f>VLOOKUP('Informe Kelly'!A599,Base!A:G,7,FALSE)</f>
        <v>SANCHEZ TORRES FREDDY</v>
      </c>
      <c r="C606" s="91">
        <f>'Informe Kelly'!E599</f>
        <v>40645</v>
      </c>
      <c r="D606" s="96">
        <f t="shared" si="18"/>
        <v>312</v>
      </c>
      <c r="E606" s="85" t="str">
        <f>VLOOKUP(A606,Ingreso!K:P,6,FALSE)</f>
        <v>Admin</v>
      </c>
      <c r="F606" s="85" t="str">
        <f>IF('Informe Kelly'!H599=$A$2,'Informe Kelly'!F599,"")</f>
        <v/>
      </c>
      <c r="G606" s="85">
        <f>IF('Informe Kelly'!H599=$A$3,'Informe Kelly'!F599,"")</f>
        <v>0.47752314814814811</v>
      </c>
      <c r="H606" s="85">
        <f>IF(C606=C604,0,IF(D606=D605,0,(HLOOKUP(C606,Ingreso!$AN$10:$AU$260,VLOOKUP(A606,Ingreso!$AL$11:$AM$260,2,FALSE)))/24))</f>
        <v>0</v>
      </c>
      <c r="I606" s="77">
        <f t="shared" si="19"/>
        <v>0</v>
      </c>
    </row>
    <row r="607" spans="1:9">
      <c r="A607" s="85" t="str">
        <f>VLOOKUP('Informe Kelly'!A600,Base!A:B,2,FALSE)</f>
        <v>12.500.119-K</v>
      </c>
      <c r="B607" s="85" t="str">
        <f>VLOOKUP('Informe Kelly'!A600,Base!A:G,7,FALSE)</f>
        <v>SANCHEZ TORRES FREDDY</v>
      </c>
      <c r="C607" s="91">
        <f>'Informe Kelly'!E600</f>
        <v>40646</v>
      </c>
      <c r="D607" s="96">
        <f t="shared" si="18"/>
        <v>313</v>
      </c>
      <c r="E607" s="85" t="str">
        <f>VLOOKUP(A607,Ingreso!K:P,6,FALSE)</f>
        <v>Admin</v>
      </c>
      <c r="F607" s="85">
        <f>IF('Informe Kelly'!H600=$A$2,'Informe Kelly'!F600,"")</f>
        <v>0.34084490740740742</v>
      </c>
      <c r="G607" s="85" t="str">
        <f>IF('Informe Kelly'!H600=$A$3,'Informe Kelly'!F600,"")</f>
        <v/>
      </c>
      <c r="H607" s="85">
        <f>IF(C607=C605,0,IF(D607=D606,0,(HLOOKUP(C607,Ingreso!$AN$10:$AU$260,VLOOKUP(A607,Ingreso!$AL$11:$AM$260,2,FALSE)))/24))</f>
        <v>0</v>
      </c>
      <c r="I607" s="77">
        <f t="shared" si="19"/>
        <v>0.41666666666666669</v>
      </c>
    </row>
    <row r="608" spans="1:9">
      <c r="A608" s="85" t="str">
        <f>VLOOKUP('Informe Kelly'!A601,Base!A:B,2,FALSE)</f>
        <v>12.500.119-K</v>
      </c>
      <c r="B608" s="85" t="str">
        <f>VLOOKUP('Informe Kelly'!A601,Base!A:G,7,FALSE)</f>
        <v>SANCHEZ TORRES FREDDY</v>
      </c>
      <c r="C608" s="91">
        <f>'Informe Kelly'!E601</f>
        <v>40646</v>
      </c>
      <c r="D608" s="96">
        <f t="shared" si="18"/>
        <v>313</v>
      </c>
      <c r="E608" s="85" t="str">
        <f>VLOOKUP(A608,Ingreso!K:P,6,FALSE)</f>
        <v>Admin</v>
      </c>
      <c r="F608" s="85" t="str">
        <f>IF('Informe Kelly'!H601=$A$2,'Informe Kelly'!F601,"")</f>
        <v/>
      </c>
      <c r="G608" s="85">
        <f>IF('Informe Kelly'!H601=$A$3,'Informe Kelly'!F601,"")</f>
        <v>0.73534722222222226</v>
      </c>
      <c r="H608" s="85">
        <f>IF(C608=C606,0,IF(D608=D607,0,(HLOOKUP(C608,Ingreso!$AN$10:$AU$260,VLOOKUP(A608,Ingreso!$AL$11:$AM$260,2,FALSE)))/24))</f>
        <v>0</v>
      </c>
      <c r="I608" s="77">
        <f t="shared" si="19"/>
        <v>0</v>
      </c>
    </row>
    <row r="609" spans="1:9">
      <c r="A609" s="85" t="str">
        <f>VLOOKUP('Informe Kelly'!A602,Base!A:B,2,FALSE)</f>
        <v>12.500.119-K</v>
      </c>
      <c r="B609" s="85" t="str">
        <f>VLOOKUP('Informe Kelly'!A602,Base!A:G,7,FALSE)</f>
        <v>SANCHEZ TORRES FREDDY</v>
      </c>
      <c r="C609" s="91">
        <f>'Informe Kelly'!E602</f>
        <v>40647</v>
      </c>
      <c r="D609" s="96">
        <f t="shared" si="18"/>
        <v>314</v>
      </c>
      <c r="E609" s="85" t="str">
        <f>VLOOKUP(A609,Ingreso!K:P,6,FALSE)</f>
        <v>Admin</v>
      </c>
      <c r="F609" s="85">
        <f>IF('Informe Kelly'!H602=$A$2,'Informe Kelly'!F602,"")</f>
        <v>0.29609953703703701</v>
      </c>
      <c r="G609" s="85" t="str">
        <f>IF('Informe Kelly'!H602=$A$3,'Informe Kelly'!F602,"")</f>
        <v/>
      </c>
      <c r="H609" s="85">
        <f>IF(C609=C607,0,IF(D609=D608,0,(HLOOKUP(C609,Ingreso!$AN$10:$AU$260,VLOOKUP(A609,Ingreso!$AL$11:$AM$260,2,FALSE)))/24))</f>
        <v>0</v>
      </c>
      <c r="I609" s="77">
        <f t="shared" si="19"/>
        <v>0.41666666666666669</v>
      </c>
    </row>
    <row r="610" spans="1:9">
      <c r="A610" s="85" t="str">
        <f>VLOOKUP('Informe Kelly'!A603,Base!A:B,2,FALSE)</f>
        <v>12.500.119-K</v>
      </c>
      <c r="B610" s="85" t="str">
        <f>VLOOKUP('Informe Kelly'!A603,Base!A:G,7,FALSE)</f>
        <v>SANCHEZ TORRES FREDDY</v>
      </c>
      <c r="C610" s="91">
        <f>'Informe Kelly'!E603</f>
        <v>40647</v>
      </c>
      <c r="D610" s="96">
        <f t="shared" si="18"/>
        <v>314</v>
      </c>
      <c r="E610" s="85" t="str">
        <f>VLOOKUP(A610,Ingreso!K:P,6,FALSE)</f>
        <v>Admin</v>
      </c>
      <c r="F610" s="85" t="str">
        <f>IF('Informe Kelly'!H603=$A$2,'Informe Kelly'!F603,"")</f>
        <v/>
      </c>
      <c r="G610" s="85">
        <f>IF('Informe Kelly'!H603=$A$3,'Informe Kelly'!F603,"")</f>
        <v>0.7318634259259259</v>
      </c>
      <c r="H610" s="85">
        <f>IF(C610=C608,0,IF(D610=D609,0,(HLOOKUP(C610,Ingreso!$AN$10:$AU$260,VLOOKUP(A610,Ingreso!$AL$11:$AM$260,2,FALSE)))/24))</f>
        <v>0</v>
      </c>
      <c r="I610" s="77">
        <f t="shared" si="19"/>
        <v>0</v>
      </c>
    </row>
    <row r="611" spans="1:9">
      <c r="A611" s="85" t="str">
        <f>VLOOKUP('Informe Kelly'!A604,Base!A:B,2,FALSE)</f>
        <v>12.500.119-K</v>
      </c>
      <c r="B611" s="85" t="str">
        <f>VLOOKUP('Informe Kelly'!A604,Base!A:G,7,FALSE)</f>
        <v>SANCHEZ TORRES FREDDY</v>
      </c>
      <c r="C611" s="91">
        <f>'Informe Kelly'!E604</f>
        <v>40648</v>
      </c>
      <c r="D611" s="96">
        <f t="shared" si="18"/>
        <v>315</v>
      </c>
      <c r="E611" s="85" t="str">
        <f>VLOOKUP(A611,Ingreso!K:P,6,FALSE)</f>
        <v>Admin</v>
      </c>
      <c r="F611" s="85" t="str">
        <f>IF('Informe Kelly'!H604=$A$2,'Informe Kelly'!F604,"")</f>
        <v/>
      </c>
      <c r="G611" s="85">
        <f>IF('Informe Kelly'!H604=$A$3,'Informe Kelly'!F604,"")</f>
        <v>0.72800925925925919</v>
      </c>
      <c r="H611" s="85">
        <f>IF(C611=C609,0,IF(D611=D610,0,(HLOOKUP(C611,Ingreso!$AN$10:$AU$260,VLOOKUP(A611,Ingreso!$AL$11:$AM$260,2,FALSE)))/24))</f>
        <v>0</v>
      </c>
      <c r="I611" s="77">
        <f t="shared" si="19"/>
        <v>0.41666666666666669</v>
      </c>
    </row>
    <row r="612" spans="1:9">
      <c r="A612" s="85" t="str">
        <f>VLOOKUP('Informe Kelly'!A605,Base!A:B,2,FALSE)</f>
        <v>12.500.119-K</v>
      </c>
      <c r="B612" s="85" t="str">
        <f>VLOOKUP('Informe Kelly'!A605,Base!A:G,7,FALSE)</f>
        <v>SANCHEZ TORRES FREDDY</v>
      </c>
      <c r="C612" s="91">
        <f>'Informe Kelly'!E605</f>
        <v>40648</v>
      </c>
      <c r="D612" s="96">
        <f t="shared" si="18"/>
        <v>315</v>
      </c>
      <c r="E612" s="85" t="str">
        <f>VLOOKUP(A612,Ingreso!K:P,6,FALSE)</f>
        <v>Admin</v>
      </c>
      <c r="F612" s="85">
        <f>IF('Informe Kelly'!H605=$A$2,'Informe Kelly'!F605,"")</f>
        <v>0.29627314814814815</v>
      </c>
      <c r="G612" s="85" t="str">
        <f>IF('Informe Kelly'!H605=$A$3,'Informe Kelly'!F605,"")</f>
        <v/>
      </c>
      <c r="H612" s="85">
        <f>IF(C612=C610,0,IF(D612=D611,0,(HLOOKUP(C612,Ingreso!$AN$10:$AU$260,VLOOKUP(A612,Ingreso!$AL$11:$AM$260,2,FALSE)))/24))</f>
        <v>0</v>
      </c>
      <c r="I612" s="77">
        <f t="shared" si="19"/>
        <v>0</v>
      </c>
    </row>
    <row r="613" spans="1:9">
      <c r="A613" s="85" t="str">
        <f>VLOOKUP('Informe Kelly'!A606,Base!A:B,2,FALSE)</f>
        <v>12.677.439-7</v>
      </c>
      <c r="B613" s="85" t="str">
        <f>VLOOKUP('Informe Kelly'!A606,Base!A:G,7,FALSE)</f>
        <v>AEDO MUÑOZ ANDRES RAUL</v>
      </c>
      <c r="C613" s="91">
        <f>'Informe Kelly'!E606</f>
        <v>40644</v>
      </c>
      <c r="D613" s="96">
        <f t="shared" si="18"/>
        <v>316</v>
      </c>
      <c r="E613" s="85" t="str">
        <f>VLOOKUP(A613,Ingreso!K:P,6,FALSE)</f>
        <v>Turno A</v>
      </c>
      <c r="F613" s="85">
        <f>IF('Informe Kelly'!H606=$A$2,'Informe Kelly'!F606,"")</f>
        <v>0.29577546296296298</v>
      </c>
      <c r="G613" s="85" t="str">
        <f>IF('Informe Kelly'!H606=$A$3,'Informe Kelly'!F606,"")</f>
        <v/>
      </c>
      <c r="H613" s="85">
        <f>IF(C613=C611,0,IF(D613=D612,0,(HLOOKUP(C613,Ingreso!$AN$10:$AU$260,VLOOKUP(A613,Ingreso!$AL$11:$AM$260,2,FALSE)))/24))</f>
        <v>0</v>
      </c>
      <c r="I613" s="77">
        <f t="shared" si="19"/>
        <v>0.3125</v>
      </c>
    </row>
    <row r="614" spans="1:9">
      <c r="A614" s="85" t="str">
        <f>VLOOKUP('Informe Kelly'!A607,Base!A:B,2,FALSE)</f>
        <v>12.677.439-7</v>
      </c>
      <c r="B614" s="85" t="str">
        <f>VLOOKUP('Informe Kelly'!A607,Base!A:G,7,FALSE)</f>
        <v>AEDO MUÑOZ ANDRES RAUL</v>
      </c>
      <c r="C614" s="91">
        <f>'Informe Kelly'!E607</f>
        <v>40644</v>
      </c>
      <c r="D614" s="96">
        <f t="shared" si="18"/>
        <v>316</v>
      </c>
      <c r="E614" s="85" t="str">
        <f>VLOOKUP(A614,Ingreso!K:P,6,FALSE)</f>
        <v>Turno A</v>
      </c>
      <c r="F614" s="85" t="str">
        <f>IF('Informe Kelly'!H607=$A$2,'Informe Kelly'!F607,"")</f>
        <v/>
      </c>
      <c r="G614" s="85">
        <f>IF('Informe Kelly'!H607=$A$3,'Informe Kelly'!F607,"")</f>
        <v>0.63282407407407404</v>
      </c>
      <c r="H614" s="85">
        <f>IF(C614=C612,0,IF(D614=D613,0,(HLOOKUP(C614,Ingreso!$AN$10:$AU$260,VLOOKUP(A614,Ingreso!$AL$11:$AM$260,2,FALSE)))/24))</f>
        <v>0</v>
      </c>
      <c r="I614" s="77">
        <f t="shared" si="19"/>
        <v>0</v>
      </c>
    </row>
    <row r="615" spans="1:9">
      <c r="A615" s="85" t="str">
        <f>VLOOKUP('Informe Kelly'!A608,Base!A:B,2,FALSE)</f>
        <v>12.677.439-7</v>
      </c>
      <c r="B615" s="85" t="str">
        <f>VLOOKUP('Informe Kelly'!A608,Base!A:G,7,FALSE)</f>
        <v>AEDO MUÑOZ ANDRES RAUL</v>
      </c>
      <c r="C615" s="91">
        <f>'Informe Kelly'!E608</f>
        <v>40645</v>
      </c>
      <c r="D615" s="96">
        <f t="shared" si="18"/>
        <v>317</v>
      </c>
      <c r="E615" s="85" t="str">
        <f>VLOOKUP(A615,Ingreso!K:P,6,FALSE)</f>
        <v>Turno A</v>
      </c>
      <c r="F615" s="85">
        <f>IF('Informe Kelly'!H608=$A$2,'Informe Kelly'!F608,"")</f>
        <v>0.30804398148148149</v>
      </c>
      <c r="G615" s="85" t="str">
        <f>IF('Informe Kelly'!H608=$A$3,'Informe Kelly'!F608,"")</f>
        <v/>
      </c>
      <c r="H615" s="85">
        <f>IF(C615=C613,0,IF(D615=D614,0,(HLOOKUP(C615,Ingreso!$AN$10:$AU$260,VLOOKUP(A615,Ingreso!$AL$11:$AM$260,2,FALSE)))/24))</f>
        <v>0</v>
      </c>
      <c r="I615" s="77">
        <f t="shared" si="19"/>
        <v>0.3125</v>
      </c>
    </row>
    <row r="616" spans="1:9">
      <c r="A616" s="85" t="str">
        <f>VLOOKUP('Informe Kelly'!A609,Base!A:B,2,FALSE)</f>
        <v>12.677.439-7</v>
      </c>
      <c r="B616" s="85" t="str">
        <f>VLOOKUP('Informe Kelly'!A609,Base!A:G,7,FALSE)</f>
        <v>AEDO MUÑOZ ANDRES RAUL</v>
      </c>
      <c r="C616" s="91">
        <f>'Informe Kelly'!E609</f>
        <v>40645</v>
      </c>
      <c r="D616" s="96">
        <f t="shared" si="18"/>
        <v>317</v>
      </c>
      <c r="E616" s="85" t="str">
        <f>VLOOKUP(A616,Ingreso!K:P,6,FALSE)</f>
        <v>Turno A</v>
      </c>
      <c r="F616" s="85" t="str">
        <f>IF('Informe Kelly'!H609=$A$2,'Informe Kelly'!F609,"")</f>
        <v/>
      </c>
      <c r="G616" s="85">
        <f>IF('Informe Kelly'!H609=$A$3,'Informe Kelly'!F609,"")</f>
        <v>0.63318287037037035</v>
      </c>
      <c r="H616" s="85">
        <f>IF(C616=C614,0,IF(D616=D615,0,(HLOOKUP(C616,Ingreso!$AN$10:$AU$260,VLOOKUP(A616,Ingreso!$AL$11:$AM$260,2,FALSE)))/24))</f>
        <v>0</v>
      </c>
      <c r="I616" s="77">
        <f t="shared" si="19"/>
        <v>0</v>
      </c>
    </row>
    <row r="617" spans="1:9">
      <c r="A617" s="85" t="str">
        <f>VLOOKUP('Informe Kelly'!A610,Base!A:B,2,FALSE)</f>
        <v>12.677.439-7</v>
      </c>
      <c r="B617" s="85" t="str">
        <f>VLOOKUP('Informe Kelly'!A610,Base!A:G,7,FALSE)</f>
        <v>AEDO MUÑOZ ANDRES RAUL</v>
      </c>
      <c r="C617" s="91">
        <f>'Informe Kelly'!E610</f>
        <v>40646</v>
      </c>
      <c r="D617" s="96">
        <f t="shared" si="18"/>
        <v>318</v>
      </c>
      <c r="E617" s="85" t="str">
        <f>VLOOKUP(A617,Ingreso!K:P,6,FALSE)</f>
        <v>Turno A</v>
      </c>
      <c r="F617" s="85">
        <f>IF('Informe Kelly'!H610=$A$2,'Informe Kelly'!F610,"")</f>
        <v>0.29628472222222224</v>
      </c>
      <c r="G617" s="85" t="str">
        <f>IF('Informe Kelly'!H610=$A$3,'Informe Kelly'!F610,"")</f>
        <v/>
      </c>
      <c r="H617" s="85">
        <f>IF(C617=C615,0,IF(D617=D616,0,(HLOOKUP(C617,Ingreso!$AN$10:$AU$260,VLOOKUP(A617,Ingreso!$AL$11:$AM$260,2,FALSE)))/24))</f>
        <v>0</v>
      </c>
      <c r="I617" s="77">
        <f t="shared" si="19"/>
        <v>0.3125</v>
      </c>
    </row>
    <row r="618" spans="1:9">
      <c r="A618" s="85" t="str">
        <f>VLOOKUP('Informe Kelly'!A611,Base!A:B,2,FALSE)</f>
        <v>12.677.439-7</v>
      </c>
      <c r="B618" s="85" t="str">
        <f>VLOOKUP('Informe Kelly'!A611,Base!A:G,7,FALSE)</f>
        <v>AEDO MUÑOZ ANDRES RAUL</v>
      </c>
      <c r="C618" s="91">
        <f>'Informe Kelly'!E611</f>
        <v>40646</v>
      </c>
      <c r="D618" s="96">
        <f t="shared" si="18"/>
        <v>318</v>
      </c>
      <c r="E618" s="85" t="str">
        <f>VLOOKUP(A618,Ingreso!K:P,6,FALSE)</f>
        <v>Turno A</v>
      </c>
      <c r="F618" s="85" t="str">
        <f>IF('Informe Kelly'!H611=$A$2,'Informe Kelly'!F611,"")</f>
        <v/>
      </c>
      <c r="G618" s="85">
        <f>IF('Informe Kelly'!H611=$A$3,'Informe Kelly'!F611,"")</f>
        <v>0.6541203703703703</v>
      </c>
      <c r="H618" s="85">
        <f>IF(C618=C616,0,IF(D618=D617,0,(HLOOKUP(C618,Ingreso!$AN$10:$AU$260,VLOOKUP(A618,Ingreso!$AL$11:$AM$260,2,FALSE)))/24))</f>
        <v>0</v>
      </c>
      <c r="I618" s="77">
        <f t="shared" si="19"/>
        <v>0</v>
      </c>
    </row>
    <row r="619" spans="1:9">
      <c r="A619" s="85" t="str">
        <f>VLOOKUP('Informe Kelly'!A612,Base!A:B,2,FALSE)</f>
        <v>12.677.439-7</v>
      </c>
      <c r="B619" s="85" t="str">
        <f>VLOOKUP('Informe Kelly'!A612,Base!A:G,7,FALSE)</f>
        <v>AEDO MUÑOZ ANDRES RAUL</v>
      </c>
      <c r="C619" s="91">
        <f>'Informe Kelly'!E612</f>
        <v>40647</v>
      </c>
      <c r="D619" s="96">
        <f t="shared" si="18"/>
        <v>319</v>
      </c>
      <c r="E619" s="85" t="str">
        <f>VLOOKUP(A619,Ingreso!K:P,6,FALSE)</f>
        <v>Turno A</v>
      </c>
      <c r="F619" s="85">
        <f>IF('Informe Kelly'!H612=$A$2,'Informe Kelly'!F612,"")</f>
        <v>0.29650462962962965</v>
      </c>
      <c r="G619" s="85" t="str">
        <f>IF('Informe Kelly'!H612=$A$3,'Informe Kelly'!F612,"")</f>
        <v/>
      </c>
      <c r="H619" s="85">
        <f>IF(C619=C617,0,IF(D619=D618,0,(HLOOKUP(C619,Ingreso!$AN$10:$AU$260,VLOOKUP(A619,Ingreso!$AL$11:$AM$260,2,FALSE)))/24))</f>
        <v>0</v>
      </c>
      <c r="I619" s="77">
        <f t="shared" si="19"/>
        <v>0.3125</v>
      </c>
    </row>
    <row r="620" spans="1:9">
      <c r="A620" s="85" t="str">
        <f>VLOOKUP('Informe Kelly'!A613,Base!A:B,2,FALSE)</f>
        <v>12.677.439-7</v>
      </c>
      <c r="B620" s="85" t="str">
        <f>VLOOKUP('Informe Kelly'!A613,Base!A:G,7,FALSE)</f>
        <v>AEDO MUÑOZ ANDRES RAUL</v>
      </c>
      <c r="C620" s="91">
        <f>'Informe Kelly'!E613</f>
        <v>40647</v>
      </c>
      <c r="D620" s="96">
        <f t="shared" si="18"/>
        <v>319</v>
      </c>
      <c r="E620" s="85" t="str">
        <f>VLOOKUP(A620,Ingreso!K:P,6,FALSE)</f>
        <v>Turno A</v>
      </c>
      <c r="F620" s="85" t="str">
        <f>IF('Informe Kelly'!H613=$A$2,'Informe Kelly'!F613,"")</f>
        <v/>
      </c>
      <c r="G620" s="85">
        <f>IF('Informe Kelly'!H613=$A$3,'Informe Kelly'!F613,"")</f>
        <v>0.63299768518518518</v>
      </c>
      <c r="H620" s="85">
        <f>IF(C620=C618,0,IF(D620=D619,0,(HLOOKUP(C620,Ingreso!$AN$10:$AU$260,VLOOKUP(A620,Ingreso!$AL$11:$AM$260,2,FALSE)))/24))</f>
        <v>0</v>
      </c>
      <c r="I620" s="77">
        <f t="shared" si="19"/>
        <v>0</v>
      </c>
    </row>
    <row r="621" spans="1:9">
      <c r="A621" s="85" t="str">
        <f>VLOOKUP('Informe Kelly'!A614,Base!A:B,2,FALSE)</f>
        <v>12.677.439-7</v>
      </c>
      <c r="B621" s="85" t="str">
        <f>VLOOKUP('Informe Kelly'!A614,Base!A:G,7,FALSE)</f>
        <v>AEDO MUÑOZ ANDRES RAUL</v>
      </c>
      <c r="C621" s="91">
        <f>'Informe Kelly'!E614</f>
        <v>40648</v>
      </c>
      <c r="D621" s="96">
        <f t="shared" si="18"/>
        <v>320</v>
      </c>
      <c r="E621" s="85" t="str">
        <f>VLOOKUP(A621,Ingreso!K:P,6,FALSE)</f>
        <v>Turno A</v>
      </c>
      <c r="F621" s="85" t="str">
        <f>IF('Informe Kelly'!H614=$A$2,'Informe Kelly'!F614,"")</f>
        <v/>
      </c>
      <c r="G621" s="85">
        <f>IF('Informe Kelly'!H614=$A$3,'Informe Kelly'!F614,"")</f>
        <v>0.65210648148148154</v>
      </c>
      <c r="H621" s="85">
        <f>IF(C621=C619,0,IF(D621=D620,0,(HLOOKUP(C621,Ingreso!$AN$10:$AU$260,VLOOKUP(A621,Ingreso!$AL$11:$AM$260,2,FALSE)))/24))</f>
        <v>0</v>
      </c>
      <c r="I621" s="77">
        <f t="shared" si="19"/>
        <v>0.3125</v>
      </c>
    </row>
    <row r="622" spans="1:9">
      <c r="A622" s="85" t="str">
        <f>VLOOKUP('Informe Kelly'!A615,Base!A:B,2,FALSE)</f>
        <v>12.677.439-7</v>
      </c>
      <c r="B622" s="85" t="str">
        <f>VLOOKUP('Informe Kelly'!A615,Base!A:G,7,FALSE)</f>
        <v>AEDO MUÑOZ ANDRES RAUL</v>
      </c>
      <c r="C622" s="91">
        <f>'Informe Kelly'!E615</f>
        <v>40648</v>
      </c>
      <c r="D622" s="96">
        <f t="shared" si="18"/>
        <v>320</v>
      </c>
      <c r="E622" s="85" t="str">
        <f>VLOOKUP(A622,Ingreso!K:P,6,FALSE)</f>
        <v>Turno A</v>
      </c>
      <c r="F622" s="85">
        <f>IF('Informe Kelly'!H615=$A$2,'Informe Kelly'!F615,"")</f>
        <v>0.29653935185185182</v>
      </c>
      <c r="G622" s="85" t="str">
        <f>IF('Informe Kelly'!H615=$A$3,'Informe Kelly'!F615,"")</f>
        <v/>
      </c>
      <c r="H622" s="85">
        <f>IF(C622=C620,0,IF(D622=D621,0,(HLOOKUP(C622,Ingreso!$AN$10:$AU$260,VLOOKUP(A622,Ingreso!$AL$11:$AM$260,2,FALSE)))/24))</f>
        <v>0</v>
      </c>
      <c r="I622" s="77">
        <f t="shared" si="19"/>
        <v>0</v>
      </c>
    </row>
    <row r="623" spans="1:9">
      <c r="A623" s="85" t="str">
        <f>VLOOKUP('Informe Kelly'!A616,Base!A:B,2,FALSE)</f>
        <v>12.677.439-7</v>
      </c>
      <c r="B623" s="85" t="str">
        <f>VLOOKUP('Informe Kelly'!A616,Base!A:G,7,FALSE)</f>
        <v>AEDO MUÑOZ ANDRES RAUL</v>
      </c>
      <c r="C623" s="91">
        <f>'Informe Kelly'!E616</f>
        <v>40649</v>
      </c>
      <c r="D623" s="96">
        <f t="shared" si="18"/>
        <v>321</v>
      </c>
      <c r="E623" s="85" t="str">
        <f>VLOOKUP(A623,Ingreso!K:P,6,FALSE)</f>
        <v>Turno A</v>
      </c>
      <c r="F623" s="85">
        <f>IF('Informe Kelly'!H616=$A$2,'Informe Kelly'!F616,"")</f>
        <v>0.29484953703703703</v>
      </c>
      <c r="G623" s="85" t="str">
        <f>IF('Informe Kelly'!H616=$A$3,'Informe Kelly'!F616,"")</f>
        <v/>
      </c>
      <c r="H623" s="85">
        <f>IF(C623=C621,0,IF(D623=D622,0,(HLOOKUP(C623,Ingreso!$AN$10:$AU$260,VLOOKUP(A623,Ingreso!$AL$11:$AM$260,2,FALSE)))/24))</f>
        <v>0</v>
      </c>
      <c r="I623" s="77">
        <f t="shared" si="19"/>
        <v>0.3125</v>
      </c>
    </row>
    <row r="624" spans="1:9">
      <c r="A624" s="85" t="str">
        <f>VLOOKUP('Informe Kelly'!A617,Base!A:B,2,FALSE)</f>
        <v>12.677.439-7</v>
      </c>
      <c r="B624" s="85" t="str">
        <f>VLOOKUP('Informe Kelly'!A617,Base!A:G,7,FALSE)</f>
        <v>AEDO MUÑOZ ANDRES RAUL</v>
      </c>
      <c r="C624" s="91">
        <f>'Informe Kelly'!E617</f>
        <v>40649</v>
      </c>
      <c r="D624" s="96">
        <f t="shared" si="18"/>
        <v>321</v>
      </c>
      <c r="E624" s="85" t="str">
        <f>VLOOKUP(A624,Ingreso!K:P,6,FALSE)</f>
        <v>Turno A</v>
      </c>
      <c r="F624" s="85" t="str">
        <f>IF('Informe Kelly'!H617=$A$2,'Informe Kelly'!F617,"")</f>
        <v/>
      </c>
      <c r="G624" s="85">
        <f>IF('Informe Kelly'!H617=$A$3,'Informe Kelly'!F617,"")</f>
        <v>0.62876157407407407</v>
      </c>
      <c r="H624" s="85">
        <f>IF(C624=C622,0,IF(D624=D623,0,(HLOOKUP(C624,Ingreso!$AN$10:$AU$260,VLOOKUP(A624,Ingreso!$AL$11:$AM$260,2,FALSE)))/24))</f>
        <v>0</v>
      </c>
      <c r="I624" s="77">
        <f t="shared" si="19"/>
        <v>0</v>
      </c>
    </row>
    <row r="625" spans="1:9">
      <c r="A625" s="85" t="str">
        <f>VLOOKUP('Informe Kelly'!A618,Base!A:B,2,FALSE)</f>
        <v>13.045.231-0</v>
      </c>
      <c r="B625" s="85" t="str">
        <f>VLOOKUP('Informe Kelly'!A618,Base!A:G,7,FALSE)</f>
        <v>ARANCIBIA SILVA FELIPE</v>
      </c>
      <c r="C625" s="91">
        <f>'Informe Kelly'!E618</f>
        <v>40644</v>
      </c>
      <c r="D625" s="96">
        <f t="shared" si="18"/>
        <v>322</v>
      </c>
      <c r="E625" s="85" t="str">
        <f>VLOOKUP(A625,Ingreso!K:P,6,FALSE)</f>
        <v>Turno A</v>
      </c>
      <c r="F625" s="85">
        <f>IF('Informe Kelly'!H618=$A$2,'Informe Kelly'!F618,"")</f>
        <v>0.29543981481481479</v>
      </c>
      <c r="G625" s="85" t="str">
        <f>IF('Informe Kelly'!H618=$A$3,'Informe Kelly'!F618,"")</f>
        <v/>
      </c>
      <c r="H625" s="85">
        <f>IF(C625=C623,0,IF(D625=D624,0,(HLOOKUP(C625,Ingreso!$AN$10:$AU$260,VLOOKUP(A625,Ingreso!$AL$11:$AM$260,2,FALSE)))/24))</f>
        <v>0</v>
      </c>
      <c r="I625" s="77">
        <f t="shared" si="19"/>
        <v>0.3125</v>
      </c>
    </row>
    <row r="626" spans="1:9">
      <c r="A626" s="85" t="str">
        <f>VLOOKUP('Informe Kelly'!A619,Base!A:B,2,FALSE)</f>
        <v>13.045.231-0</v>
      </c>
      <c r="B626" s="85" t="str">
        <f>VLOOKUP('Informe Kelly'!A619,Base!A:G,7,FALSE)</f>
        <v>ARANCIBIA SILVA FELIPE</v>
      </c>
      <c r="C626" s="91">
        <f>'Informe Kelly'!E619</f>
        <v>40644</v>
      </c>
      <c r="D626" s="96">
        <f t="shared" si="18"/>
        <v>322</v>
      </c>
      <c r="E626" s="85" t="str">
        <f>VLOOKUP(A626,Ingreso!K:P,6,FALSE)</f>
        <v>Turno A</v>
      </c>
      <c r="F626" s="85" t="str">
        <f>IF('Informe Kelly'!H619=$A$2,'Informe Kelly'!F619,"")</f>
        <v/>
      </c>
      <c r="G626" s="85">
        <f>IF('Informe Kelly'!H619=$A$3,'Informe Kelly'!F619,"")</f>
        <v>0.64180555555555552</v>
      </c>
      <c r="H626" s="85">
        <f>IF(C626=C624,0,IF(D626=D625,0,(HLOOKUP(C626,Ingreso!$AN$10:$AU$260,VLOOKUP(A626,Ingreso!$AL$11:$AM$260,2,FALSE)))/24))</f>
        <v>0</v>
      </c>
      <c r="I626" s="77">
        <f t="shared" si="19"/>
        <v>0</v>
      </c>
    </row>
    <row r="627" spans="1:9">
      <c r="A627" s="85" t="str">
        <f>VLOOKUP('Informe Kelly'!A620,Base!A:B,2,FALSE)</f>
        <v>13.045.231-0</v>
      </c>
      <c r="B627" s="85" t="str">
        <f>VLOOKUP('Informe Kelly'!A620,Base!A:G,7,FALSE)</f>
        <v>ARANCIBIA SILVA FELIPE</v>
      </c>
      <c r="C627" s="91">
        <f>'Informe Kelly'!E620</f>
        <v>40645</v>
      </c>
      <c r="D627" s="96">
        <f t="shared" si="18"/>
        <v>323</v>
      </c>
      <c r="E627" s="85" t="str">
        <f>VLOOKUP(A627,Ingreso!K:P,6,FALSE)</f>
        <v>Turno A</v>
      </c>
      <c r="F627" s="85">
        <f>IF('Informe Kelly'!H620=$A$2,'Informe Kelly'!F620,"")</f>
        <v>0.29655092592592591</v>
      </c>
      <c r="G627" s="85" t="str">
        <f>IF('Informe Kelly'!H620=$A$3,'Informe Kelly'!F620,"")</f>
        <v/>
      </c>
      <c r="H627" s="85">
        <f>IF(C627=C625,0,IF(D627=D626,0,(HLOOKUP(C627,Ingreso!$AN$10:$AU$260,VLOOKUP(A627,Ingreso!$AL$11:$AM$260,2,FALSE)))/24))</f>
        <v>0</v>
      </c>
      <c r="I627" s="77">
        <f t="shared" si="19"/>
        <v>0.3125</v>
      </c>
    </row>
    <row r="628" spans="1:9">
      <c r="A628" s="85" t="str">
        <f>VLOOKUP('Informe Kelly'!A621,Base!A:B,2,FALSE)</f>
        <v>13.045.231-0</v>
      </c>
      <c r="B628" s="85" t="str">
        <f>VLOOKUP('Informe Kelly'!A621,Base!A:G,7,FALSE)</f>
        <v>ARANCIBIA SILVA FELIPE</v>
      </c>
      <c r="C628" s="91">
        <f>'Informe Kelly'!E621</f>
        <v>40645</v>
      </c>
      <c r="D628" s="96">
        <f t="shared" si="18"/>
        <v>323</v>
      </c>
      <c r="E628" s="85" t="str">
        <f>VLOOKUP(A628,Ingreso!K:P,6,FALSE)</f>
        <v>Turno A</v>
      </c>
      <c r="F628" s="85" t="str">
        <f>IF('Informe Kelly'!H621=$A$2,'Informe Kelly'!F621,"")</f>
        <v/>
      </c>
      <c r="G628" s="85">
        <f>IF('Informe Kelly'!H621=$A$3,'Informe Kelly'!F621,"")</f>
        <v>0.63953703703703701</v>
      </c>
      <c r="H628" s="85">
        <f>IF(C628=C626,0,IF(D628=D627,0,(HLOOKUP(C628,Ingreso!$AN$10:$AU$260,VLOOKUP(A628,Ingreso!$AL$11:$AM$260,2,FALSE)))/24))</f>
        <v>0</v>
      </c>
      <c r="I628" s="77">
        <f t="shared" si="19"/>
        <v>0</v>
      </c>
    </row>
    <row r="629" spans="1:9">
      <c r="A629" s="85" t="str">
        <f>VLOOKUP('Informe Kelly'!A622,Base!A:B,2,FALSE)</f>
        <v>13.045.231-0</v>
      </c>
      <c r="B629" s="85" t="str">
        <f>VLOOKUP('Informe Kelly'!A622,Base!A:G,7,FALSE)</f>
        <v>ARANCIBIA SILVA FELIPE</v>
      </c>
      <c r="C629" s="91">
        <f>'Informe Kelly'!E622</f>
        <v>40646</v>
      </c>
      <c r="D629" s="96">
        <f t="shared" si="18"/>
        <v>324</v>
      </c>
      <c r="E629" s="85" t="str">
        <f>VLOOKUP(A629,Ingreso!K:P,6,FALSE)</f>
        <v>Turno A</v>
      </c>
      <c r="F629" s="85">
        <f>IF('Informe Kelly'!H622=$A$2,'Informe Kelly'!F622,"")</f>
        <v>0.29640046296296296</v>
      </c>
      <c r="G629" s="85" t="str">
        <f>IF('Informe Kelly'!H622=$A$3,'Informe Kelly'!F622,"")</f>
        <v/>
      </c>
      <c r="H629" s="85">
        <f>IF(C629=C627,0,IF(D629=D628,0,(HLOOKUP(C629,Ingreso!$AN$10:$AU$260,VLOOKUP(A629,Ingreso!$AL$11:$AM$260,2,FALSE)))/24))</f>
        <v>0</v>
      </c>
      <c r="I629" s="77">
        <f t="shared" si="19"/>
        <v>0.3125</v>
      </c>
    </row>
    <row r="630" spans="1:9">
      <c r="A630" s="85" t="str">
        <f>VLOOKUP('Informe Kelly'!A623,Base!A:B,2,FALSE)</f>
        <v>13.045.231-0</v>
      </c>
      <c r="B630" s="85" t="str">
        <f>VLOOKUP('Informe Kelly'!A623,Base!A:G,7,FALSE)</f>
        <v>ARANCIBIA SILVA FELIPE</v>
      </c>
      <c r="C630" s="91">
        <f>'Informe Kelly'!E623</f>
        <v>40646</v>
      </c>
      <c r="D630" s="96">
        <f t="shared" si="18"/>
        <v>324</v>
      </c>
      <c r="E630" s="85" t="str">
        <f>VLOOKUP(A630,Ingreso!K:P,6,FALSE)</f>
        <v>Turno A</v>
      </c>
      <c r="F630" s="85" t="str">
        <f>IF('Informe Kelly'!H623=$A$2,'Informe Kelly'!F623,"")</f>
        <v/>
      </c>
      <c r="G630" s="85">
        <f>IF('Informe Kelly'!H623=$A$3,'Informe Kelly'!F623,"")</f>
        <v>0.63694444444444442</v>
      </c>
      <c r="H630" s="85">
        <f>IF(C630=C628,0,IF(D630=D629,0,(HLOOKUP(C630,Ingreso!$AN$10:$AU$260,VLOOKUP(A630,Ingreso!$AL$11:$AM$260,2,FALSE)))/24))</f>
        <v>0</v>
      </c>
      <c r="I630" s="77">
        <f t="shared" si="19"/>
        <v>0</v>
      </c>
    </row>
    <row r="631" spans="1:9">
      <c r="A631" s="85" t="str">
        <f>VLOOKUP('Informe Kelly'!A624,Base!A:B,2,FALSE)</f>
        <v>13.045.231-0</v>
      </c>
      <c r="B631" s="85" t="str">
        <f>VLOOKUP('Informe Kelly'!A624,Base!A:G,7,FALSE)</f>
        <v>ARANCIBIA SILVA FELIPE</v>
      </c>
      <c r="C631" s="91">
        <f>'Informe Kelly'!E624</f>
        <v>40647</v>
      </c>
      <c r="D631" s="96">
        <f t="shared" si="18"/>
        <v>325</v>
      </c>
      <c r="E631" s="85" t="str">
        <f>VLOOKUP(A631,Ingreso!K:P,6,FALSE)</f>
        <v>Turno A</v>
      </c>
      <c r="F631" s="85">
        <f>IF('Informe Kelly'!H624=$A$2,'Informe Kelly'!F624,"")</f>
        <v>0.29673611111111114</v>
      </c>
      <c r="G631" s="85" t="str">
        <f>IF('Informe Kelly'!H624=$A$3,'Informe Kelly'!F624,"")</f>
        <v/>
      </c>
      <c r="H631" s="85">
        <f>IF(C631=C629,0,IF(D631=D630,0,(HLOOKUP(C631,Ingreso!$AN$10:$AU$260,VLOOKUP(A631,Ingreso!$AL$11:$AM$260,2,FALSE)))/24))</f>
        <v>0</v>
      </c>
      <c r="I631" s="77">
        <f t="shared" si="19"/>
        <v>0.3125</v>
      </c>
    </row>
    <row r="632" spans="1:9">
      <c r="A632" s="85" t="str">
        <f>VLOOKUP('Informe Kelly'!A625,Base!A:B,2,FALSE)</f>
        <v>13.045.231-0</v>
      </c>
      <c r="B632" s="85" t="str">
        <f>VLOOKUP('Informe Kelly'!A625,Base!A:G,7,FALSE)</f>
        <v>ARANCIBIA SILVA FELIPE</v>
      </c>
      <c r="C632" s="91">
        <f>'Informe Kelly'!E625</f>
        <v>40647</v>
      </c>
      <c r="D632" s="96">
        <f t="shared" si="18"/>
        <v>325</v>
      </c>
      <c r="E632" s="85" t="str">
        <f>VLOOKUP(A632,Ingreso!K:P,6,FALSE)</f>
        <v>Turno A</v>
      </c>
      <c r="F632" s="85" t="str">
        <f>IF('Informe Kelly'!H625=$A$2,'Informe Kelly'!F625,"")</f>
        <v/>
      </c>
      <c r="G632" s="85">
        <f>IF('Informe Kelly'!H625=$A$3,'Informe Kelly'!F625,"")</f>
        <v>0.64226851851851852</v>
      </c>
      <c r="H632" s="85">
        <f>IF(C632=C630,0,IF(D632=D631,0,(HLOOKUP(C632,Ingreso!$AN$10:$AU$260,VLOOKUP(A632,Ingreso!$AL$11:$AM$260,2,FALSE)))/24))</f>
        <v>0</v>
      </c>
      <c r="I632" s="77">
        <f t="shared" si="19"/>
        <v>0</v>
      </c>
    </row>
    <row r="633" spans="1:9">
      <c r="A633" s="85" t="str">
        <f>VLOOKUP('Informe Kelly'!A626,Base!A:B,2,FALSE)</f>
        <v>13.045.231-0</v>
      </c>
      <c r="B633" s="85" t="str">
        <f>VLOOKUP('Informe Kelly'!A626,Base!A:G,7,FALSE)</f>
        <v>ARANCIBIA SILVA FELIPE</v>
      </c>
      <c r="C633" s="91">
        <f>'Informe Kelly'!E626</f>
        <v>40648</v>
      </c>
      <c r="D633" s="96">
        <f t="shared" si="18"/>
        <v>326</v>
      </c>
      <c r="E633" s="85" t="str">
        <f>VLOOKUP(A633,Ingreso!K:P,6,FALSE)</f>
        <v>Turno A</v>
      </c>
      <c r="F633" s="85" t="str">
        <f>IF('Informe Kelly'!H626=$A$2,'Informe Kelly'!F626,"")</f>
        <v/>
      </c>
      <c r="G633" s="85">
        <f>IF('Informe Kelly'!H626=$A$3,'Informe Kelly'!F626,"")</f>
        <v>0.69627314814814811</v>
      </c>
      <c r="H633" s="85">
        <f>IF(C633=C631,0,IF(D633=D632,0,(HLOOKUP(C633,Ingreso!$AN$10:$AU$260,VLOOKUP(A633,Ingreso!$AL$11:$AM$260,2,FALSE)))/24))</f>
        <v>4.1666666666666664E-2</v>
      </c>
      <c r="I633" s="77">
        <f t="shared" si="19"/>
        <v>0.3125</v>
      </c>
    </row>
    <row r="634" spans="1:9">
      <c r="A634" s="85" t="str">
        <f>VLOOKUP('Informe Kelly'!A627,Base!A:B,2,FALSE)</f>
        <v>13.045.231-0</v>
      </c>
      <c r="B634" s="85" t="str">
        <f>VLOOKUP('Informe Kelly'!A627,Base!A:G,7,FALSE)</f>
        <v>ARANCIBIA SILVA FELIPE</v>
      </c>
      <c r="C634" s="91">
        <f>'Informe Kelly'!E627</f>
        <v>40648</v>
      </c>
      <c r="D634" s="96">
        <f t="shared" si="18"/>
        <v>326</v>
      </c>
      <c r="E634" s="85" t="str">
        <f>VLOOKUP(A634,Ingreso!K:P,6,FALSE)</f>
        <v>Turno A</v>
      </c>
      <c r="F634" s="85">
        <f>IF('Informe Kelly'!H627=$A$2,'Informe Kelly'!F627,"")</f>
        <v>0.29641203703703706</v>
      </c>
      <c r="G634" s="85" t="str">
        <f>IF('Informe Kelly'!H627=$A$3,'Informe Kelly'!F627,"")</f>
        <v/>
      </c>
      <c r="H634" s="85">
        <f>IF(C634=C632,0,IF(D634=D633,0,(HLOOKUP(C634,Ingreso!$AN$10:$AU$260,VLOOKUP(A634,Ingreso!$AL$11:$AM$260,2,FALSE)))/24))</f>
        <v>0</v>
      </c>
      <c r="I634" s="77">
        <f t="shared" si="19"/>
        <v>0</v>
      </c>
    </row>
    <row r="635" spans="1:9">
      <c r="A635" s="85" t="str">
        <f>VLOOKUP('Informe Kelly'!A628,Base!A:B,2,FALSE)</f>
        <v>13.045.231-0</v>
      </c>
      <c r="B635" s="85" t="str">
        <f>VLOOKUP('Informe Kelly'!A628,Base!A:G,7,FALSE)</f>
        <v>ARANCIBIA SILVA FELIPE</v>
      </c>
      <c r="C635" s="91">
        <f>'Informe Kelly'!E628</f>
        <v>40649</v>
      </c>
      <c r="D635" s="96">
        <f t="shared" si="18"/>
        <v>327</v>
      </c>
      <c r="E635" s="85" t="str">
        <f>VLOOKUP(A635,Ingreso!K:P,6,FALSE)</f>
        <v>Turno A</v>
      </c>
      <c r="F635" s="85">
        <f>IF('Informe Kelly'!H628=$A$2,'Informe Kelly'!F628,"")</f>
        <v>0.30158564814814814</v>
      </c>
      <c r="G635" s="85" t="str">
        <f>IF('Informe Kelly'!H628=$A$3,'Informe Kelly'!F628,"")</f>
        <v/>
      </c>
      <c r="H635" s="85">
        <f>IF(C635=C633,0,IF(D635=D634,0,(HLOOKUP(C635,Ingreso!$AN$10:$AU$260,VLOOKUP(A635,Ingreso!$AL$11:$AM$260,2,FALSE)))/24))</f>
        <v>0</v>
      </c>
      <c r="I635" s="77">
        <f t="shared" si="19"/>
        <v>0.3125</v>
      </c>
    </row>
    <row r="636" spans="1:9">
      <c r="A636" s="85" t="str">
        <f>VLOOKUP('Informe Kelly'!A629,Base!A:B,2,FALSE)</f>
        <v>13.045.231-0</v>
      </c>
      <c r="B636" s="85" t="str">
        <f>VLOOKUP('Informe Kelly'!A629,Base!A:G,7,FALSE)</f>
        <v>ARANCIBIA SILVA FELIPE</v>
      </c>
      <c r="C636" s="91">
        <f>'Informe Kelly'!E629</f>
        <v>40649</v>
      </c>
      <c r="D636" s="96">
        <f t="shared" si="18"/>
        <v>327</v>
      </c>
      <c r="E636" s="85" t="str">
        <f>VLOOKUP(A636,Ingreso!K:P,6,FALSE)</f>
        <v>Turno A</v>
      </c>
      <c r="F636" s="85" t="str">
        <f>IF('Informe Kelly'!H629=$A$2,'Informe Kelly'!F629,"")</f>
        <v/>
      </c>
      <c r="G636" s="85">
        <f>IF('Informe Kelly'!H629=$A$3,'Informe Kelly'!F629,"")</f>
        <v>0.63670138888888894</v>
      </c>
      <c r="H636" s="85">
        <f>IF(C636=C634,0,IF(D636=D635,0,(HLOOKUP(C636,Ingreso!$AN$10:$AU$260,VLOOKUP(A636,Ingreso!$AL$11:$AM$260,2,FALSE)))/24))</f>
        <v>0</v>
      </c>
      <c r="I636" s="77">
        <f t="shared" si="19"/>
        <v>0</v>
      </c>
    </row>
    <row r="637" spans="1:9">
      <c r="A637" s="85" t="str">
        <f>VLOOKUP('Informe Kelly'!A630,Base!A:B,2,FALSE)</f>
        <v>13.100.464-8</v>
      </c>
      <c r="B637" s="85" t="str">
        <f>VLOOKUP('Informe Kelly'!A630,Base!A:G,7,FALSE)</f>
        <v>GALLARDO  OYARCE,JOSE A.</v>
      </c>
      <c r="C637" s="91">
        <f>'Informe Kelly'!E630</f>
        <v>40644</v>
      </c>
      <c r="D637" s="96">
        <f t="shared" si="18"/>
        <v>328</v>
      </c>
      <c r="E637" s="85" t="e">
        <f>VLOOKUP(A637,Ingreso!K:P,6,FALSE)</f>
        <v>#N/A</v>
      </c>
      <c r="F637" s="85">
        <f>IF('Informe Kelly'!H630=$A$2,'Informe Kelly'!F630,"")</f>
        <v>0.29659722222222223</v>
      </c>
      <c r="G637" s="85" t="str">
        <f>IF('Informe Kelly'!H630=$A$3,'Informe Kelly'!F630,"")</f>
        <v/>
      </c>
      <c r="H637" s="85" t="e">
        <f>IF(C637=C635,0,IF(D637=D636,0,(HLOOKUP(C637,Ingreso!$AN$10:$AU$260,VLOOKUP(A637,Ingreso!$AL$11:$AM$260,2,FALSE)))/24))</f>
        <v>#N/A</v>
      </c>
      <c r="I637" s="77" t="e">
        <f t="shared" si="19"/>
        <v>#N/A</v>
      </c>
    </row>
    <row r="638" spans="1:9">
      <c r="A638" s="85" t="str">
        <f>VLOOKUP('Informe Kelly'!A631,Base!A:B,2,FALSE)</f>
        <v>13.100.464-8</v>
      </c>
      <c r="B638" s="85" t="str">
        <f>VLOOKUP('Informe Kelly'!A631,Base!A:G,7,FALSE)</f>
        <v>GALLARDO  OYARCE,JOSE A.</v>
      </c>
      <c r="C638" s="91">
        <f>'Informe Kelly'!E631</f>
        <v>40644</v>
      </c>
      <c r="D638" s="96">
        <f t="shared" si="18"/>
        <v>328</v>
      </c>
      <c r="E638" s="85" t="e">
        <f>VLOOKUP(A638,Ingreso!K:P,6,FALSE)</f>
        <v>#N/A</v>
      </c>
      <c r="F638" s="85" t="str">
        <f>IF('Informe Kelly'!H631=$A$2,'Informe Kelly'!F631,"")</f>
        <v/>
      </c>
      <c r="G638" s="85">
        <f>IF('Informe Kelly'!H631=$A$3,'Informe Kelly'!F631,"")</f>
        <v>0.63862268518518517</v>
      </c>
      <c r="H638" s="85">
        <f>IF(C638=C636,0,IF(D638=D637,0,(HLOOKUP(C638,Ingreso!$AN$10:$AU$260,VLOOKUP(A638,Ingreso!$AL$11:$AM$260,2,FALSE)))/24))</f>
        <v>0</v>
      </c>
      <c r="I638" s="77">
        <f t="shared" si="19"/>
        <v>0</v>
      </c>
    </row>
    <row r="639" spans="1:9">
      <c r="A639" s="85" t="str">
        <f>VLOOKUP('Informe Kelly'!A632,Base!A:B,2,FALSE)</f>
        <v>13.100.464-8</v>
      </c>
      <c r="B639" s="85" t="str">
        <f>VLOOKUP('Informe Kelly'!A632,Base!A:G,7,FALSE)</f>
        <v>GALLARDO  OYARCE,JOSE A.</v>
      </c>
      <c r="C639" s="91">
        <f>'Informe Kelly'!E632</f>
        <v>40645</v>
      </c>
      <c r="D639" s="96">
        <f t="shared" si="18"/>
        <v>329</v>
      </c>
      <c r="E639" s="85" t="e">
        <f>VLOOKUP(A639,Ingreso!K:P,6,FALSE)</f>
        <v>#N/A</v>
      </c>
      <c r="F639" s="85">
        <f>IF('Informe Kelly'!H632=$A$2,'Informe Kelly'!F632,"")</f>
        <v>0.2951388888888889</v>
      </c>
      <c r="G639" s="85" t="str">
        <f>IF('Informe Kelly'!H632=$A$3,'Informe Kelly'!F632,"")</f>
        <v/>
      </c>
      <c r="H639" s="85" t="e">
        <f>IF(C639=C637,0,IF(D639=D638,0,(HLOOKUP(C639,Ingreso!$AN$10:$AU$260,VLOOKUP(A639,Ingreso!$AL$11:$AM$260,2,FALSE)))/24))</f>
        <v>#N/A</v>
      </c>
      <c r="I639" s="77" t="e">
        <f t="shared" si="19"/>
        <v>#N/A</v>
      </c>
    </row>
    <row r="640" spans="1:9">
      <c r="A640" s="85" t="str">
        <f>VLOOKUP('Informe Kelly'!A633,Base!A:B,2,FALSE)</f>
        <v>13.100.464-8</v>
      </c>
      <c r="B640" s="85" t="str">
        <f>VLOOKUP('Informe Kelly'!A633,Base!A:G,7,FALSE)</f>
        <v>GALLARDO  OYARCE,JOSE A.</v>
      </c>
      <c r="C640" s="91">
        <f>'Informe Kelly'!E633</f>
        <v>40645</v>
      </c>
      <c r="D640" s="96">
        <f t="shared" si="18"/>
        <v>329</v>
      </c>
      <c r="E640" s="85" t="e">
        <f>VLOOKUP(A640,Ingreso!K:P,6,FALSE)</f>
        <v>#N/A</v>
      </c>
      <c r="F640" s="85" t="str">
        <f>IF('Informe Kelly'!H633=$A$2,'Informe Kelly'!F633,"")</f>
        <v/>
      </c>
      <c r="G640" s="85">
        <f>IF('Informe Kelly'!H633=$A$3,'Informe Kelly'!F633,"")</f>
        <v>0.64288194444444446</v>
      </c>
      <c r="H640" s="85">
        <f>IF(C640=C638,0,IF(D640=D639,0,(HLOOKUP(C640,Ingreso!$AN$10:$AU$260,VLOOKUP(A640,Ingreso!$AL$11:$AM$260,2,FALSE)))/24))</f>
        <v>0</v>
      </c>
      <c r="I640" s="77">
        <f t="shared" si="19"/>
        <v>0</v>
      </c>
    </row>
    <row r="641" spans="1:9">
      <c r="A641" s="85" t="str">
        <f>VLOOKUP('Informe Kelly'!A634,Base!A:B,2,FALSE)</f>
        <v>13.100.464-8</v>
      </c>
      <c r="B641" s="85" t="str">
        <f>VLOOKUP('Informe Kelly'!A634,Base!A:G,7,FALSE)</f>
        <v>GALLARDO  OYARCE,JOSE A.</v>
      </c>
      <c r="C641" s="91">
        <f>'Informe Kelly'!E634</f>
        <v>40646</v>
      </c>
      <c r="D641" s="96">
        <f t="shared" si="18"/>
        <v>330</v>
      </c>
      <c r="E641" s="85" t="e">
        <f>VLOOKUP(A641,Ingreso!K:P,6,FALSE)</f>
        <v>#N/A</v>
      </c>
      <c r="F641" s="85">
        <f>IF('Informe Kelly'!H634=$A$2,'Informe Kelly'!F634,"")</f>
        <v>0.29472222222222222</v>
      </c>
      <c r="G641" s="85" t="str">
        <f>IF('Informe Kelly'!H634=$A$3,'Informe Kelly'!F634,"")</f>
        <v/>
      </c>
      <c r="H641" s="85" t="e">
        <f>IF(C641=C639,0,IF(D641=D640,0,(HLOOKUP(C641,Ingreso!$AN$10:$AU$260,VLOOKUP(A641,Ingreso!$AL$11:$AM$260,2,FALSE)))/24))</f>
        <v>#N/A</v>
      </c>
      <c r="I641" s="77" t="e">
        <f t="shared" si="19"/>
        <v>#N/A</v>
      </c>
    </row>
    <row r="642" spans="1:9">
      <c r="A642" s="85" t="str">
        <f>VLOOKUP('Informe Kelly'!A635,Base!A:B,2,FALSE)</f>
        <v>13.100.464-8</v>
      </c>
      <c r="B642" s="85" t="str">
        <f>VLOOKUP('Informe Kelly'!A635,Base!A:G,7,FALSE)</f>
        <v>GALLARDO  OYARCE,JOSE A.</v>
      </c>
      <c r="C642" s="91">
        <f>'Informe Kelly'!E635</f>
        <v>40646</v>
      </c>
      <c r="D642" s="96">
        <f t="shared" si="18"/>
        <v>330</v>
      </c>
      <c r="E642" s="85" t="e">
        <f>VLOOKUP(A642,Ingreso!K:P,6,FALSE)</f>
        <v>#N/A</v>
      </c>
      <c r="F642" s="85" t="str">
        <f>IF('Informe Kelly'!H635=$A$2,'Informe Kelly'!F635,"")</f>
        <v/>
      </c>
      <c r="G642" s="85">
        <f>IF('Informe Kelly'!H635=$A$3,'Informe Kelly'!F635,"")</f>
        <v>0.64461805555555551</v>
      </c>
      <c r="H642" s="85">
        <f>IF(C642=C640,0,IF(D642=D641,0,(HLOOKUP(C642,Ingreso!$AN$10:$AU$260,VLOOKUP(A642,Ingreso!$AL$11:$AM$260,2,FALSE)))/24))</f>
        <v>0</v>
      </c>
      <c r="I642" s="77">
        <f t="shared" si="19"/>
        <v>0</v>
      </c>
    </row>
    <row r="643" spans="1:9">
      <c r="A643" s="85" t="str">
        <f>VLOOKUP('Informe Kelly'!A636,Base!A:B,2,FALSE)</f>
        <v>13.100.464-8</v>
      </c>
      <c r="B643" s="85" t="str">
        <f>VLOOKUP('Informe Kelly'!A636,Base!A:G,7,FALSE)</f>
        <v>GALLARDO  OYARCE,JOSE A.</v>
      </c>
      <c r="C643" s="91">
        <f>'Informe Kelly'!E636</f>
        <v>40647</v>
      </c>
      <c r="D643" s="96">
        <f t="shared" si="18"/>
        <v>331</v>
      </c>
      <c r="E643" s="85" t="e">
        <f>VLOOKUP(A643,Ingreso!K:P,6,FALSE)</f>
        <v>#N/A</v>
      </c>
      <c r="F643" s="85">
        <f>IF('Informe Kelly'!H636=$A$2,'Informe Kelly'!F636,"")</f>
        <v>0.29421296296296295</v>
      </c>
      <c r="G643" s="85" t="str">
        <f>IF('Informe Kelly'!H636=$A$3,'Informe Kelly'!F636,"")</f>
        <v/>
      </c>
      <c r="H643" s="85" t="e">
        <f>IF(C643=C641,0,IF(D643=D642,0,(HLOOKUP(C643,Ingreso!$AN$10:$AU$260,VLOOKUP(A643,Ingreso!$AL$11:$AM$260,2,FALSE)))/24))</f>
        <v>#N/A</v>
      </c>
      <c r="I643" s="77" t="e">
        <f t="shared" si="19"/>
        <v>#N/A</v>
      </c>
    </row>
    <row r="644" spans="1:9">
      <c r="A644" s="85" t="str">
        <f>VLOOKUP('Informe Kelly'!A637,Base!A:B,2,FALSE)</f>
        <v>13.100.464-8</v>
      </c>
      <c r="B644" s="85" t="str">
        <f>VLOOKUP('Informe Kelly'!A637,Base!A:G,7,FALSE)</f>
        <v>GALLARDO  OYARCE,JOSE A.</v>
      </c>
      <c r="C644" s="91">
        <f>'Informe Kelly'!E637</f>
        <v>40647</v>
      </c>
      <c r="D644" s="96">
        <f t="shared" si="18"/>
        <v>331</v>
      </c>
      <c r="E644" s="85" t="e">
        <f>VLOOKUP(A644,Ingreso!K:P,6,FALSE)</f>
        <v>#N/A</v>
      </c>
      <c r="F644" s="85" t="str">
        <f>IF('Informe Kelly'!H637=$A$2,'Informe Kelly'!F637,"")</f>
        <v/>
      </c>
      <c r="G644" s="85">
        <f>IF('Informe Kelly'!H637=$A$3,'Informe Kelly'!F637,"")</f>
        <v>0.64398148148148149</v>
      </c>
      <c r="H644" s="85">
        <f>IF(C644=C642,0,IF(D644=D643,0,(HLOOKUP(C644,Ingreso!$AN$10:$AU$260,VLOOKUP(A644,Ingreso!$AL$11:$AM$260,2,FALSE)))/24))</f>
        <v>0</v>
      </c>
      <c r="I644" s="77">
        <f t="shared" si="19"/>
        <v>0</v>
      </c>
    </row>
    <row r="645" spans="1:9">
      <c r="A645" s="85" t="str">
        <f>VLOOKUP('Informe Kelly'!A638,Base!A:B,2,FALSE)</f>
        <v>13.100.464-8</v>
      </c>
      <c r="B645" s="85" t="str">
        <f>VLOOKUP('Informe Kelly'!A638,Base!A:G,7,FALSE)</f>
        <v>GALLARDO  OYARCE,JOSE A.</v>
      </c>
      <c r="C645" s="91">
        <f>'Informe Kelly'!E638</f>
        <v>40648</v>
      </c>
      <c r="D645" s="96">
        <f t="shared" si="18"/>
        <v>332</v>
      </c>
      <c r="E645" s="85" t="e">
        <f>VLOOKUP(A645,Ingreso!K:P,6,FALSE)</f>
        <v>#N/A</v>
      </c>
      <c r="F645" s="85" t="str">
        <f>IF('Informe Kelly'!H638=$A$2,'Informe Kelly'!F638,"")</f>
        <v/>
      </c>
      <c r="G645" s="85">
        <f>IF('Informe Kelly'!H638=$A$3,'Informe Kelly'!F638,"")</f>
        <v>0.64377314814814812</v>
      </c>
      <c r="H645" s="85" t="e">
        <f>IF(C645=C643,0,IF(D645=D644,0,(HLOOKUP(C645,Ingreso!$AN$10:$AU$260,VLOOKUP(A645,Ingreso!$AL$11:$AM$260,2,FALSE)))/24))</f>
        <v>#N/A</v>
      </c>
      <c r="I645" s="77" t="e">
        <f t="shared" si="19"/>
        <v>#N/A</v>
      </c>
    </row>
    <row r="646" spans="1:9">
      <c r="A646" s="85" t="str">
        <f>VLOOKUP('Informe Kelly'!A639,Base!A:B,2,FALSE)</f>
        <v>13.100.464-8</v>
      </c>
      <c r="B646" s="85" t="str">
        <f>VLOOKUP('Informe Kelly'!A639,Base!A:G,7,FALSE)</f>
        <v>GALLARDO  OYARCE,JOSE A.</v>
      </c>
      <c r="C646" s="91">
        <f>'Informe Kelly'!E639</f>
        <v>40648</v>
      </c>
      <c r="D646" s="96">
        <f t="shared" si="18"/>
        <v>332</v>
      </c>
      <c r="E646" s="85" t="e">
        <f>VLOOKUP(A646,Ingreso!K:P,6,FALSE)</f>
        <v>#N/A</v>
      </c>
      <c r="F646" s="85">
        <f>IF('Informe Kelly'!H639=$A$2,'Informe Kelly'!F639,"")</f>
        <v>0.29508101851851853</v>
      </c>
      <c r="G646" s="85" t="str">
        <f>IF('Informe Kelly'!H639=$A$3,'Informe Kelly'!F639,"")</f>
        <v/>
      </c>
      <c r="H646" s="85">
        <f>IF(C646=C644,0,IF(D646=D645,0,(HLOOKUP(C646,Ingreso!$AN$10:$AU$260,VLOOKUP(A646,Ingreso!$AL$11:$AM$260,2,FALSE)))/24))</f>
        <v>0</v>
      </c>
      <c r="I646" s="77">
        <f t="shared" si="19"/>
        <v>0</v>
      </c>
    </row>
    <row r="647" spans="1:9">
      <c r="A647" s="85" t="str">
        <f>VLOOKUP('Informe Kelly'!A640,Base!A:B,2,FALSE)</f>
        <v>13.100.464-8</v>
      </c>
      <c r="B647" s="85" t="str">
        <f>VLOOKUP('Informe Kelly'!A640,Base!A:G,7,FALSE)</f>
        <v>GALLARDO  OYARCE,JOSE A.</v>
      </c>
      <c r="C647" s="91">
        <f>'Informe Kelly'!E640</f>
        <v>40649</v>
      </c>
      <c r="D647" s="96">
        <f t="shared" si="18"/>
        <v>333</v>
      </c>
      <c r="E647" s="85" t="e">
        <f>VLOOKUP(A647,Ingreso!K:P,6,FALSE)</f>
        <v>#N/A</v>
      </c>
      <c r="F647" s="85">
        <f>IF('Informe Kelly'!H640=$A$2,'Informe Kelly'!F640,"")</f>
        <v>0.29398148148148145</v>
      </c>
      <c r="G647" s="85" t="str">
        <f>IF('Informe Kelly'!H640=$A$3,'Informe Kelly'!F640,"")</f>
        <v/>
      </c>
      <c r="H647" s="85" t="e">
        <f>IF(C647=C645,0,IF(D647=D646,0,(HLOOKUP(C647,Ingreso!$AN$10:$AU$260,VLOOKUP(A647,Ingreso!$AL$11:$AM$260,2,FALSE)))/24))</f>
        <v>#N/A</v>
      </c>
      <c r="I647" s="77" t="e">
        <f t="shared" si="19"/>
        <v>#N/A</v>
      </c>
    </row>
    <row r="648" spans="1:9">
      <c r="A648" s="85" t="str">
        <f>VLOOKUP('Informe Kelly'!A641,Base!A:B,2,FALSE)</f>
        <v>13.100.464-8</v>
      </c>
      <c r="B648" s="85" t="str">
        <f>VLOOKUP('Informe Kelly'!A641,Base!A:G,7,FALSE)</f>
        <v>GALLARDO  OYARCE,JOSE A.</v>
      </c>
      <c r="C648" s="91">
        <f>'Informe Kelly'!E641</f>
        <v>40649</v>
      </c>
      <c r="D648" s="96">
        <f t="shared" si="18"/>
        <v>333</v>
      </c>
      <c r="E648" s="85" t="e">
        <f>VLOOKUP(A648,Ingreso!K:P,6,FALSE)</f>
        <v>#N/A</v>
      </c>
      <c r="F648" s="85" t="str">
        <f>IF('Informe Kelly'!H641=$A$2,'Informe Kelly'!F641,"")</f>
        <v/>
      </c>
      <c r="G648" s="85">
        <f>IF('Informe Kelly'!H641=$A$3,'Informe Kelly'!F641,"")</f>
        <v>0.63990740740740737</v>
      </c>
      <c r="H648" s="85">
        <f>IF(C648=C646,0,IF(D648=D647,0,(HLOOKUP(C648,Ingreso!$AN$10:$AU$260,VLOOKUP(A648,Ingreso!$AL$11:$AM$260,2,FALSE)))/24))</f>
        <v>0</v>
      </c>
      <c r="I648" s="77">
        <f t="shared" si="19"/>
        <v>0</v>
      </c>
    </row>
    <row r="649" spans="1:9">
      <c r="A649" s="85" t="str">
        <f>VLOOKUP('Informe Kelly'!A642,Base!A:B,2,FALSE)</f>
        <v>13.236.100-2</v>
      </c>
      <c r="B649" s="85" t="str">
        <f>VLOOKUP('Informe Kelly'!A642,Base!A:G,7,FALSE)</f>
        <v>BUSTAMANTE GONZALEZ MARCO ANTONIO</v>
      </c>
      <c r="C649" s="91">
        <f>'Informe Kelly'!E642</f>
        <v>40644</v>
      </c>
      <c r="D649" s="96">
        <f t="shared" ref="D649:D712" si="20">IF(C648=C649,IF(C649=C646,D648,IF(C649=C647,D648+1,D648)),D648+1)</f>
        <v>334</v>
      </c>
      <c r="E649" s="85" t="str">
        <f>VLOOKUP(A649,Ingreso!K:P,6,FALSE)</f>
        <v>Admin</v>
      </c>
      <c r="F649" s="85">
        <f>IF('Informe Kelly'!H642=$A$2,'Informe Kelly'!F642,"")</f>
        <v>0.37665509259259261</v>
      </c>
      <c r="G649" s="85" t="str">
        <f>IF('Informe Kelly'!H642=$A$3,'Informe Kelly'!F642,"")</f>
        <v/>
      </c>
      <c r="H649" s="85">
        <f>IF(C649=C647,0,IF(D649=D648,0,(HLOOKUP(C649,Ingreso!$AN$10:$AU$260,VLOOKUP(A649,Ingreso!$AL$11:$AM$260,2,FALSE)))/24))</f>
        <v>4.1666666666666664E-2</v>
      </c>
      <c r="I649" s="77">
        <f t="shared" si="19"/>
        <v>0.41666666666666669</v>
      </c>
    </row>
    <row r="650" spans="1:9">
      <c r="A650" s="85" t="str">
        <f>VLOOKUP('Informe Kelly'!A643,Base!A:B,2,FALSE)</f>
        <v>13.236.100-2</v>
      </c>
      <c r="B650" s="85" t="str">
        <f>VLOOKUP('Informe Kelly'!A643,Base!A:G,7,FALSE)</f>
        <v>BUSTAMANTE GONZALEZ MARCO ANTONIO</v>
      </c>
      <c r="C650" s="91">
        <f>'Informe Kelly'!E643</f>
        <v>40644</v>
      </c>
      <c r="D650" s="96">
        <f t="shared" si="20"/>
        <v>334</v>
      </c>
      <c r="E650" s="85" t="str">
        <f>VLOOKUP(A650,Ingreso!K:P,6,FALSE)</f>
        <v>Admin</v>
      </c>
      <c r="F650" s="85" t="str">
        <f>IF('Informe Kelly'!H643=$A$2,'Informe Kelly'!F643,"")</f>
        <v/>
      </c>
      <c r="G650" s="85">
        <f>IF('Informe Kelly'!H643=$A$3,'Informe Kelly'!F643,"")</f>
        <v>0.76302083333333337</v>
      </c>
      <c r="H650" s="85">
        <f>IF(C650=C648,0,IF(D650=D649,0,(HLOOKUP(C650,Ingreso!$AN$10:$AU$260,VLOOKUP(A650,Ingreso!$AL$11:$AM$260,2,FALSE)))/24))</f>
        <v>0</v>
      </c>
      <c r="I650" s="77">
        <f t="shared" ref="I650:I713" si="21">IF(C650=C648,0,IF(D650=D649,0,(VLOOKUP(E650,$C$2:$D$5,2,FALSE))))</f>
        <v>0</v>
      </c>
    </row>
    <row r="651" spans="1:9">
      <c r="A651" s="85" t="str">
        <f>VLOOKUP('Informe Kelly'!A644,Base!A:B,2,FALSE)</f>
        <v>13.236.100-2</v>
      </c>
      <c r="B651" s="85" t="str">
        <f>VLOOKUP('Informe Kelly'!A644,Base!A:G,7,FALSE)</f>
        <v>BUSTAMANTE GONZALEZ MARCO ANTONIO</v>
      </c>
      <c r="C651" s="91">
        <f>'Informe Kelly'!E644</f>
        <v>40645</v>
      </c>
      <c r="D651" s="96">
        <f t="shared" si="20"/>
        <v>335</v>
      </c>
      <c r="E651" s="85" t="str">
        <f>VLOOKUP(A651,Ingreso!K:P,6,FALSE)</f>
        <v>Admin</v>
      </c>
      <c r="F651" s="85">
        <f>IF('Informe Kelly'!H644=$A$2,'Informe Kelly'!F644,"")</f>
        <v>0.36283564814814812</v>
      </c>
      <c r="G651" s="85" t="str">
        <f>IF('Informe Kelly'!H644=$A$3,'Informe Kelly'!F644,"")</f>
        <v/>
      </c>
      <c r="H651" s="85">
        <f>IF(C651=C649,0,IF(D651=D650,0,(HLOOKUP(C651,Ingreso!$AN$10:$AU$260,VLOOKUP(A651,Ingreso!$AL$11:$AM$260,2,FALSE)))/24))</f>
        <v>4.1666666666666664E-2</v>
      </c>
      <c r="I651" s="77">
        <f t="shared" si="21"/>
        <v>0.41666666666666669</v>
      </c>
    </row>
    <row r="652" spans="1:9">
      <c r="A652" s="85" t="str">
        <f>VLOOKUP('Informe Kelly'!A645,Base!A:B,2,FALSE)</f>
        <v>13.236.100-2</v>
      </c>
      <c r="B652" s="85" t="str">
        <f>VLOOKUP('Informe Kelly'!A645,Base!A:G,7,FALSE)</f>
        <v>BUSTAMANTE GONZALEZ MARCO ANTONIO</v>
      </c>
      <c r="C652" s="91">
        <f>'Informe Kelly'!E645</f>
        <v>40645</v>
      </c>
      <c r="D652" s="96">
        <f t="shared" si="20"/>
        <v>335</v>
      </c>
      <c r="E652" s="85" t="str">
        <f>VLOOKUP(A652,Ingreso!K:P,6,FALSE)</f>
        <v>Admin</v>
      </c>
      <c r="F652" s="85" t="str">
        <f>IF('Informe Kelly'!H645=$A$2,'Informe Kelly'!F645,"")</f>
        <v/>
      </c>
      <c r="G652" s="85">
        <f>IF('Informe Kelly'!H645=$A$3,'Informe Kelly'!F645,"")</f>
        <v>0.82534722222222223</v>
      </c>
      <c r="H652" s="85">
        <f>IF(C652=C650,0,IF(D652=D651,0,(HLOOKUP(C652,Ingreso!$AN$10:$AU$260,VLOOKUP(A652,Ingreso!$AL$11:$AM$260,2,FALSE)))/24))</f>
        <v>0</v>
      </c>
      <c r="I652" s="77">
        <f t="shared" si="21"/>
        <v>0</v>
      </c>
    </row>
    <row r="653" spans="1:9">
      <c r="A653" s="85" t="str">
        <f>VLOOKUP('Informe Kelly'!A646,Base!A:B,2,FALSE)</f>
        <v>13.236.100-2</v>
      </c>
      <c r="B653" s="85" t="str">
        <f>VLOOKUP('Informe Kelly'!A646,Base!A:G,7,FALSE)</f>
        <v>BUSTAMANTE GONZALEZ MARCO ANTONIO</v>
      </c>
      <c r="C653" s="91">
        <f>'Informe Kelly'!E646</f>
        <v>40646</v>
      </c>
      <c r="D653" s="96">
        <f t="shared" si="20"/>
        <v>336</v>
      </c>
      <c r="E653" s="85" t="str">
        <f>VLOOKUP(A653,Ingreso!K:P,6,FALSE)</f>
        <v>Admin</v>
      </c>
      <c r="F653" s="85">
        <f>IF('Informe Kelly'!H646=$A$2,'Informe Kelly'!F646,"")</f>
        <v>0.35728009259259258</v>
      </c>
      <c r="G653" s="85" t="str">
        <f>IF('Informe Kelly'!H646=$A$3,'Informe Kelly'!F646,"")</f>
        <v/>
      </c>
      <c r="H653" s="85">
        <f>IF(C653=C651,0,IF(D653=D652,0,(HLOOKUP(C653,Ingreso!$AN$10:$AU$260,VLOOKUP(A653,Ingreso!$AL$11:$AM$260,2,FALSE)))/24))</f>
        <v>4.1666666666666664E-2</v>
      </c>
      <c r="I653" s="77">
        <f t="shared" si="21"/>
        <v>0.41666666666666669</v>
      </c>
    </row>
    <row r="654" spans="1:9">
      <c r="A654" s="85" t="str">
        <f>VLOOKUP('Informe Kelly'!A647,Base!A:B,2,FALSE)</f>
        <v>13.236.100-2</v>
      </c>
      <c r="B654" s="85" t="str">
        <f>VLOOKUP('Informe Kelly'!A647,Base!A:G,7,FALSE)</f>
        <v>BUSTAMANTE GONZALEZ MARCO ANTONIO</v>
      </c>
      <c r="C654" s="91">
        <f>'Informe Kelly'!E647</f>
        <v>40646</v>
      </c>
      <c r="D654" s="96">
        <f t="shared" si="20"/>
        <v>336</v>
      </c>
      <c r="E654" s="85" t="str">
        <f>VLOOKUP(A654,Ingreso!K:P,6,FALSE)</f>
        <v>Admin</v>
      </c>
      <c r="F654" s="85" t="str">
        <f>IF('Informe Kelly'!H647=$A$2,'Informe Kelly'!F647,"")</f>
        <v/>
      </c>
      <c r="G654" s="85">
        <f>IF('Informe Kelly'!H647=$A$3,'Informe Kelly'!F647,"")</f>
        <v>0.8189467592592593</v>
      </c>
      <c r="H654" s="85">
        <f>IF(C654=C652,0,IF(D654=D653,0,(HLOOKUP(C654,Ingreso!$AN$10:$AU$260,VLOOKUP(A654,Ingreso!$AL$11:$AM$260,2,FALSE)))/24))</f>
        <v>0</v>
      </c>
      <c r="I654" s="77">
        <f t="shared" si="21"/>
        <v>0</v>
      </c>
    </row>
    <row r="655" spans="1:9">
      <c r="A655" s="85" t="str">
        <f>VLOOKUP('Informe Kelly'!A648,Base!A:B,2,FALSE)</f>
        <v>13.236.100-2</v>
      </c>
      <c r="B655" s="85" t="str">
        <f>VLOOKUP('Informe Kelly'!A648,Base!A:G,7,FALSE)</f>
        <v>BUSTAMANTE GONZALEZ MARCO ANTONIO</v>
      </c>
      <c r="C655" s="91">
        <f>'Informe Kelly'!E648</f>
        <v>40647</v>
      </c>
      <c r="D655" s="96">
        <f t="shared" si="20"/>
        <v>337</v>
      </c>
      <c r="E655" s="85" t="str">
        <f>VLOOKUP(A655,Ingreso!K:P,6,FALSE)</f>
        <v>Admin</v>
      </c>
      <c r="F655" s="85">
        <f>IF('Informe Kelly'!H648=$A$2,'Informe Kelly'!F648,"")</f>
        <v>0.35567129629629629</v>
      </c>
      <c r="G655" s="85" t="str">
        <f>IF('Informe Kelly'!H648=$A$3,'Informe Kelly'!F648,"")</f>
        <v/>
      </c>
      <c r="H655" s="85">
        <f>IF(C655=C653,0,IF(D655=D654,0,(HLOOKUP(C655,Ingreso!$AN$10:$AU$260,VLOOKUP(A655,Ingreso!$AL$11:$AM$260,2,FALSE)))/24))</f>
        <v>4.1666666666666664E-2</v>
      </c>
      <c r="I655" s="77">
        <f t="shared" si="21"/>
        <v>0.41666666666666669</v>
      </c>
    </row>
    <row r="656" spans="1:9">
      <c r="A656" s="85" t="str">
        <f>VLOOKUP('Informe Kelly'!A649,Base!A:B,2,FALSE)</f>
        <v>13.236.100-2</v>
      </c>
      <c r="B656" s="85" t="str">
        <f>VLOOKUP('Informe Kelly'!A649,Base!A:G,7,FALSE)</f>
        <v>BUSTAMANTE GONZALEZ MARCO ANTONIO</v>
      </c>
      <c r="C656" s="91">
        <f>'Informe Kelly'!E649</f>
        <v>40647</v>
      </c>
      <c r="D656" s="96">
        <f t="shared" si="20"/>
        <v>337</v>
      </c>
      <c r="E656" s="85" t="str">
        <f>VLOOKUP(A656,Ingreso!K:P,6,FALSE)</f>
        <v>Admin</v>
      </c>
      <c r="F656" s="85" t="str">
        <f>IF('Informe Kelly'!H649=$A$2,'Informe Kelly'!F649,"")</f>
        <v/>
      </c>
      <c r="G656" s="85">
        <f>IF('Informe Kelly'!H649=$A$3,'Informe Kelly'!F649,"")</f>
        <v>0.79861111111111116</v>
      </c>
      <c r="H656" s="85">
        <f>IF(C656=C654,0,IF(D656=D655,0,(HLOOKUP(C656,Ingreso!$AN$10:$AU$260,VLOOKUP(A656,Ingreso!$AL$11:$AM$260,2,FALSE)))/24))</f>
        <v>0</v>
      </c>
      <c r="I656" s="77">
        <f t="shared" si="21"/>
        <v>0</v>
      </c>
    </row>
    <row r="657" spans="1:9">
      <c r="A657" s="85" t="str">
        <f>VLOOKUP('Informe Kelly'!A650,Base!A:B,2,FALSE)</f>
        <v>13.236.100-2</v>
      </c>
      <c r="B657" s="85" t="str">
        <f>VLOOKUP('Informe Kelly'!A650,Base!A:G,7,FALSE)</f>
        <v>BUSTAMANTE GONZALEZ MARCO ANTONIO</v>
      </c>
      <c r="C657" s="91">
        <f>'Informe Kelly'!E650</f>
        <v>40648</v>
      </c>
      <c r="D657" s="96">
        <f t="shared" si="20"/>
        <v>338</v>
      </c>
      <c r="E657" s="85" t="str">
        <f>VLOOKUP(A657,Ingreso!K:P,6,FALSE)</f>
        <v>Admin</v>
      </c>
      <c r="F657" s="85" t="str">
        <f>IF('Informe Kelly'!H650=$A$2,'Informe Kelly'!F650,"")</f>
        <v/>
      </c>
      <c r="G657" s="85">
        <f>IF('Informe Kelly'!H650=$A$3,'Informe Kelly'!F650,"")</f>
        <v>0.75521990740740741</v>
      </c>
      <c r="H657" s="85">
        <f>IF(C657=C655,0,IF(D657=D656,0,(HLOOKUP(C657,Ingreso!$AN$10:$AU$260,VLOOKUP(A657,Ingreso!$AL$11:$AM$260,2,FALSE)))/24))</f>
        <v>4.1666666666666664E-2</v>
      </c>
      <c r="I657" s="77">
        <f t="shared" si="21"/>
        <v>0.41666666666666669</v>
      </c>
    </row>
    <row r="658" spans="1:9">
      <c r="A658" s="85" t="str">
        <f>VLOOKUP('Informe Kelly'!A651,Base!A:B,2,FALSE)</f>
        <v>13.236.100-2</v>
      </c>
      <c r="B658" s="85" t="str">
        <f>VLOOKUP('Informe Kelly'!A651,Base!A:G,7,FALSE)</f>
        <v>BUSTAMANTE GONZALEZ MARCO ANTONIO</v>
      </c>
      <c r="C658" s="91">
        <f>'Informe Kelly'!E651</f>
        <v>40648</v>
      </c>
      <c r="D658" s="96">
        <f t="shared" si="20"/>
        <v>338</v>
      </c>
      <c r="E658" s="85" t="str">
        <f>VLOOKUP(A658,Ingreso!K:P,6,FALSE)</f>
        <v>Admin</v>
      </c>
      <c r="F658" s="85">
        <f>IF('Informe Kelly'!H651=$A$2,'Informe Kelly'!F651,"")</f>
        <v>0.36826388888888889</v>
      </c>
      <c r="G658" s="85" t="str">
        <f>IF('Informe Kelly'!H651=$A$3,'Informe Kelly'!F651,"")</f>
        <v/>
      </c>
      <c r="H658" s="85">
        <f>IF(C658=C656,0,IF(D658=D657,0,(HLOOKUP(C658,Ingreso!$AN$10:$AU$260,VLOOKUP(A658,Ingreso!$AL$11:$AM$260,2,FALSE)))/24))</f>
        <v>0</v>
      </c>
      <c r="I658" s="77">
        <f t="shared" si="21"/>
        <v>0</v>
      </c>
    </row>
    <row r="659" spans="1:9">
      <c r="A659" s="85" t="str">
        <f>VLOOKUP('Informe Kelly'!A652,Base!A:B,2,FALSE)</f>
        <v>13.295.279-5</v>
      </c>
      <c r="B659" s="85" t="str">
        <f>VLOOKUP('Informe Kelly'!A652,Base!A:G,7,FALSE)</f>
        <v>TOLEDO YENEVES JUAN OSVALDO</v>
      </c>
      <c r="C659" s="91">
        <f>'Informe Kelly'!E652</f>
        <v>40644</v>
      </c>
      <c r="D659" s="96">
        <f t="shared" si="20"/>
        <v>339</v>
      </c>
      <c r="E659" s="85" t="str">
        <f>VLOOKUP(A659,Ingreso!K:P,6,FALSE)</f>
        <v>Turno C</v>
      </c>
      <c r="F659" s="85">
        <f>IF('Informe Kelly'!H652=$A$2,'Informe Kelly'!F652,"")</f>
        <v>1.0543981481481481E-2</v>
      </c>
      <c r="G659" s="85" t="str">
        <f>IF('Informe Kelly'!H652=$A$3,'Informe Kelly'!F652,"")</f>
        <v/>
      </c>
      <c r="H659" s="85">
        <f>IF(C659=C657,0,IF(D659=D658,0,(HLOOKUP(C659,Ingreso!$AN$10:$AU$260,VLOOKUP(A659,Ingreso!$AL$11:$AM$260,2,FALSE)))/24))</f>
        <v>0.3125</v>
      </c>
      <c r="I659" s="77">
        <f t="shared" si="21"/>
        <v>0.375</v>
      </c>
    </row>
    <row r="660" spans="1:9">
      <c r="A660" s="85" t="str">
        <f>VLOOKUP('Informe Kelly'!A653,Base!A:B,2,FALSE)</f>
        <v>13.295.279-5</v>
      </c>
      <c r="B660" s="85" t="str">
        <f>VLOOKUP('Informe Kelly'!A653,Base!A:G,7,FALSE)</f>
        <v>TOLEDO YENEVES JUAN OSVALDO</v>
      </c>
      <c r="C660" s="91">
        <f>'Informe Kelly'!E653</f>
        <v>40644</v>
      </c>
      <c r="D660" s="96">
        <f t="shared" si="20"/>
        <v>339</v>
      </c>
      <c r="E660" s="85" t="str">
        <f>VLOOKUP(A660,Ingreso!K:P,6,FALSE)</f>
        <v>Turno C</v>
      </c>
      <c r="F660" s="85" t="str">
        <f>IF('Informe Kelly'!H653=$A$2,'Informe Kelly'!F653,"")</f>
        <v/>
      </c>
      <c r="G660" s="85">
        <f>IF('Informe Kelly'!H653=$A$3,'Informe Kelly'!F653,"")</f>
        <v>0.33414351851851848</v>
      </c>
      <c r="H660" s="85">
        <f>IF(C660=C658,0,IF(D660=D659,0,(HLOOKUP(C660,Ingreso!$AN$10:$AU$260,VLOOKUP(A660,Ingreso!$AL$11:$AM$260,2,FALSE)))/24))</f>
        <v>0</v>
      </c>
      <c r="I660" s="77">
        <f t="shared" si="21"/>
        <v>0</v>
      </c>
    </row>
    <row r="661" spans="1:9">
      <c r="A661" s="85" t="str">
        <f>VLOOKUP('Informe Kelly'!A654,Base!A:B,2,FALSE)</f>
        <v>13.295.279-5</v>
      </c>
      <c r="B661" s="85" t="str">
        <f>VLOOKUP('Informe Kelly'!A654,Base!A:G,7,FALSE)</f>
        <v>TOLEDO YENEVES JUAN OSVALDO</v>
      </c>
      <c r="C661" s="91">
        <f>'Informe Kelly'!E654</f>
        <v>40644</v>
      </c>
      <c r="D661" s="96">
        <f t="shared" si="20"/>
        <v>340</v>
      </c>
      <c r="E661" s="85" t="str">
        <f>VLOOKUP(A661,Ingreso!K:P,6,FALSE)</f>
        <v>Turno C</v>
      </c>
      <c r="F661" s="85">
        <f>IF('Informe Kelly'!H654=$A$2,'Informe Kelly'!F654,"")</f>
        <v>0.91506944444444438</v>
      </c>
      <c r="G661" s="85" t="str">
        <f>IF('Informe Kelly'!H654=$A$3,'Informe Kelly'!F654,"")</f>
        <v/>
      </c>
      <c r="H661" s="85">
        <f>IF(C661=C659,0,IF(D661=D660,0,(HLOOKUP(C661,Ingreso!$AN$10:$AU$260,VLOOKUP(A661,Ingreso!$AL$11:$AM$260,2,FALSE)))/24))</f>
        <v>0</v>
      </c>
      <c r="I661" s="77">
        <f t="shared" si="21"/>
        <v>0</v>
      </c>
    </row>
    <row r="662" spans="1:9">
      <c r="A662" s="85" t="str">
        <f>VLOOKUP('Informe Kelly'!A655,Base!A:B,2,FALSE)</f>
        <v>13.295.279-5</v>
      </c>
      <c r="B662" s="85" t="str">
        <f>VLOOKUP('Informe Kelly'!A655,Base!A:G,7,FALSE)</f>
        <v>TOLEDO YENEVES JUAN OSVALDO</v>
      </c>
      <c r="C662" s="91">
        <f>'Informe Kelly'!E655</f>
        <v>40645</v>
      </c>
      <c r="D662" s="96">
        <f t="shared" si="20"/>
        <v>341</v>
      </c>
      <c r="E662" s="85" t="str">
        <f>VLOOKUP(A662,Ingreso!K:P,6,FALSE)</f>
        <v>Turno C</v>
      </c>
      <c r="F662" s="85">
        <f>IF('Informe Kelly'!H655=$A$2,'Informe Kelly'!F655,"")</f>
        <v>0.91802083333333329</v>
      </c>
      <c r="G662" s="85" t="str">
        <f>IF('Informe Kelly'!H655=$A$3,'Informe Kelly'!F655,"")</f>
        <v/>
      </c>
      <c r="H662" s="85">
        <f>IF(C662=C660,0,IF(D662=D661,0,(HLOOKUP(C662,Ingreso!$AN$10:$AU$260,VLOOKUP(A662,Ingreso!$AL$11:$AM$260,2,FALSE)))/24))</f>
        <v>0</v>
      </c>
      <c r="I662" s="77">
        <f t="shared" si="21"/>
        <v>0.375</v>
      </c>
    </row>
    <row r="663" spans="1:9">
      <c r="A663" s="85" t="str">
        <f>VLOOKUP('Informe Kelly'!A656,Base!A:B,2,FALSE)</f>
        <v>13.295.279-5</v>
      </c>
      <c r="B663" s="85" t="str">
        <f>VLOOKUP('Informe Kelly'!A656,Base!A:G,7,FALSE)</f>
        <v>TOLEDO YENEVES JUAN OSVALDO</v>
      </c>
      <c r="C663" s="91">
        <f>'Informe Kelly'!E656</f>
        <v>40645</v>
      </c>
      <c r="D663" s="96">
        <f t="shared" si="20"/>
        <v>341</v>
      </c>
      <c r="E663" s="85" t="str">
        <f>VLOOKUP(A663,Ingreso!K:P,6,FALSE)</f>
        <v>Turno C</v>
      </c>
      <c r="F663" s="85" t="str">
        <f>IF('Informe Kelly'!H656=$A$2,'Informe Kelly'!F656,"")</f>
        <v/>
      </c>
      <c r="G663" s="85">
        <f>IF('Informe Kelly'!H656=$A$3,'Informe Kelly'!F656,"")</f>
        <v>0.32425925925925925</v>
      </c>
      <c r="H663" s="85">
        <f>IF(C663=C661,0,IF(D663=D662,0,(HLOOKUP(C663,Ingreso!$AN$10:$AU$260,VLOOKUP(A663,Ingreso!$AL$11:$AM$260,2,FALSE)))/24))</f>
        <v>0</v>
      </c>
      <c r="I663" s="77">
        <f t="shared" si="21"/>
        <v>0</v>
      </c>
    </row>
    <row r="664" spans="1:9">
      <c r="A664" s="85" t="str">
        <f>VLOOKUP('Informe Kelly'!A657,Base!A:B,2,FALSE)</f>
        <v>13.295.279-5</v>
      </c>
      <c r="B664" s="85" t="str">
        <f>VLOOKUP('Informe Kelly'!A657,Base!A:G,7,FALSE)</f>
        <v>TOLEDO YENEVES JUAN OSVALDO</v>
      </c>
      <c r="C664" s="91">
        <f>'Informe Kelly'!E657</f>
        <v>40646</v>
      </c>
      <c r="D664" s="96">
        <f t="shared" si="20"/>
        <v>342</v>
      </c>
      <c r="E664" s="85" t="str">
        <f>VLOOKUP(A664,Ingreso!K:P,6,FALSE)</f>
        <v>Turno C</v>
      </c>
      <c r="F664" s="85" t="str">
        <f>IF('Informe Kelly'!H657=$A$2,'Informe Kelly'!F657,"")</f>
        <v/>
      </c>
      <c r="G664" s="85">
        <f>IF('Informe Kelly'!H657=$A$3,'Informe Kelly'!F657,"")</f>
        <v>0.32768518518518519</v>
      </c>
      <c r="H664" s="85">
        <f>IF(C664=C662,0,IF(D664=D663,0,(HLOOKUP(C664,Ingreso!$AN$10:$AU$260,VLOOKUP(A664,Ingreso!$AL$11:$AM$260,2,FALSE)))/24))</f>
        <v>0</v>
      </c>
      <c r="I664" s="77">
        <f t="shared" si="21"/>
        <v>0.375</v>
      </c>
    </row>
    <row r="665" spans="1:9">
      <c r="A665" s="85" t="str">
        <f>VLOOKUP('Informe Kelly'!A658,Base!A:B,2,FALSE)</f>
        <v>13.295.279-5</v>
      </c>
      <c r="B665" s="85" t="str">
        <f>VLOOKUP('Informe Kelly'!A658,Base!A:G,7,FALSE)</f>
        <v>TOLEDO YENEVES JUAN OSVALDO</v>
      </c>
      <c r="C665" s="91">
        <f>'Informe Kelly'!E658</f>
        <v>40646</v>
      </c>
      <c r="D665" s="96">
        <f t="shared" si="20"/>
        <v>342</v>
      </c>
      <c r="E665" s="85" t="str">
        <f>VLOOKUP(A665,Ingreso!K:P,6,FALSE)</f>
        <v>Turno C</v>
      </c>
      <c r="F665" s="85">
        <f>IF('Informe Kelly'!H658=$A$2,'Informe Kelly'!F658,"")</f>
        <v>0.91839120370370375</v>
      </c>
      <c r="G665" s="85" t="str">
        <f>IF('Informe Kelly'!H658=$A$3,'Informe Kelly'!F658,"")</f>
        <v/>
      </c>
      <c r="H665" s="85">
        <f>IF(C665=C663,0,IF(D665=D664,0,(HLOOKUP(C665,Ingreso!$AN$10:$AU$260,VLOOKUP(A665,Ingreso!$AL$11:$AM$260,2,FALSE)))/24))</f>
        <v>0</v>
      </c>
      <c r="I665" s="77">
        <f t="shared" si="21"/>
        <v>0</v>
      </c>
    </row>
    <row r="666" spans="1:9">
      <c r="A666" s="85" t="str">
        <f>VLOOKUP('Informe Kelly'!A659,Base!A:B,2,FALSE)</f>
        <v>13.295.279-5</v>
      </c>
      <c r="B666" s="85" t="str">
        <f>VLOOKUP('Informe Kelly'!A659,Base!A:G,7,FALSE)</f>
        <v>TOLEDO YENEVES JUAN OSVALDO</v>
      </c>
      <c r="C666" s="91">
        <f>'Informe Kelly'!E659</f>
        <v>40647</v>
      </c>
      <c r="D666" s="96">
        <f t="shared" si="20"/>
        <v>343</v>
      </c>
      <c r="E666" s="85" t="str">
        <f>VLOOKUP(A666,Ingreso!K:P,6,FALSE)</f>
        <v>Turno C</v>
      </c>
      <c r="F666" s="85" t="str">
        <f>IF('Informe Kelly'!H659=$A$2,'Informe Kelly'!F659,"")</f>
        <v/>
      </c>
      <c r="G666" s="85">
        <f>IF('Informe Kelly'!H659=$A$3,'Informe Kelly'!F659,"")</f>
        <v>0.32872685185185185</v>
      </c>
      <c r="H666" s="85">
        <f>IF(C666=C664,0,IF(D666=D665,0,(HLOOKUP(C666,Ingreso!$AN$10:$AU$260,VLOOKUP(A666,Ingreso!$AL$11:$AM$260,2,FALSE)))/24))</f>
        <v>0</v>
      </c>
      <c r="I666" s="77">
        <f t="shared" si="21"/>
        <v>0.375</v>
      </c>
    </row>
    <row r="667" spans="1:9">
      <c r="A667" s="85" t="str">
        <f>VLOOKUP('Informe Kelly'!A660,Base!A:B,2,FALSE)</f>
        <v>13.295.279-5</v>
      </c>
      <c r="B667" s="85" t="str">
        <f>VLOOKUP('Informe Kelly'!A660,Base!A:G,7,FALSE)</f>
        <v>TOLEDO YENEVES JUAN OSVALDO</v>
      </c>
      <c r="C667" s="91">
        <f>'Informe Kelly'!E660</f>
        <v>40647</v>
      </c>
      <c r="D667" s="96">
        <f t="shared" si="20"/>
        <v>343</v>
      </c>
      <c r="E667" s="85" t="str">
        <f>VLOOKUP(A667,Ingreso!K:P,6,FALSE)</f>
        <v>Turno C</v>
      </c>
      <c r="F667" s="85">
        <f>IF('Informe Kelly'!H660=$A$2,'Informe Kelly'!F660,"")</f>
        <v>0.91447916666666673</v>
      </c>
      <c r="G667" s="85" t="str">
        <f>IF('Informe Kelly'!H660=$A$3,'Informe Kelly'!F660,"")</f>
        <v/>
      </c>
      <c r="H667" s="85">
        <f>IF(C667=C665,0,IF(D667=D666,0,(HLOOKUP(C667,Ingreso!$AN$10:$AU$260,VLOOKUP(A667,Ingreso!$AL$11:$AM$260,2,FALSE)))/24))</f>
        <v>0</v>
      </c>
      <c r="I667" s="77">
        <f t="shared" si="21"/>
        <v>0</v>
      </c>
    </row>
    <row r="668" spans="1:9">
      <c r="A668" s="85" t="str">
        <f>VLOOKUP('Informe Kelly'!A661,Base!A:B,2,FALSE)</f>
        <v>13.295.279-5</v>
      </c>
      <c r="B668" s="85" t="str">
        <f>VLOOKUP('Informe Kelly'!A661,Base!A:G,7,FALSE)</f>
        <v>TOLEDO YENEVES JUAN OSVALDO</v>
      </c>
      <c r="C668" s="91">
        <f>'Informe Kelly'!E661</f>
        <v>40648</v>
      </c>
      <c r="D668" s="96">
        <f t="shared" si="20"/>
        <v>344</v>
      </c>
      <c r="E668" s="85" t="str">
        <f>VLOOKUP(A668,Ingreso!K:P,6,FALSE)</f>
        <v>Turno C</v>
      </c>
      <c r="F668" s="85">
        <f>IF('Informe Kelly'!H661=$A$2,'Informe Kelly'!F661,"")</f>
        <v>0.92722222222222228</v>
      </c>
      <c r="G668" s="85" t="str">
        <f>IF('Informe Kelly'!H661=$A$3,'Informe Kelly'!F661,"")</f>
        <v/>
      </c>
      <c r="H668" s="85">
        <f>IF(C668=C666,0,IF(D668=D667,0,(HLOOKUP(C668,Ingreso!$AN$10:$AU$260,VLOOKUP(A668,Ingreso!$AL$11:$AM$260,2,FALSE)))/24))</f>
        <v>0</v>
      </c>
      <c r="I668" s="77">
        <f t="shared" si="21"/>
        <v>0.375</v>
      </c>
    </row>
    <row r="669" spans="1:9">
      <c r="A669" s="85" t="str">
        <f>VLOOKUP('Informe Kelly'!A662,Base!A:B,2,FALSE)</f>
        <v>13.295.279-5</v>
      </c>
      <c r="B669" s="85" t="str">
        <f>VLOOKUP('Informe Kelly'!A662,Base!A:G,7,FALSE)</f>
        <v>TOLEDO YENEVES JUAN OSVALDO</v>
      </c>
      <c r="C669" s="91">
        <f>'Informe Kelly'!E662</f>
        <v>40648</v>
      </c>
      <c r="D669" s="96">
        <f t="shared" si="20"/>
        <v>344</v>
      </c>
      <c r="E669" s="85" t="str">
        <f>VLOOKUP(A669,Ingreso!K:P,6,FALSE)</f>
        <v>Turno C</v>
      </c>
      <c r="F669" s="85" t="str">
        <f>IF('Informe Kelly'!H662=$A$2,'Informe Kelly'!F662,"")</f>
        <v/>
      </c>
      <c r="G669" s="85">
        <f>IF('Informe Kelly'!H662=$A$3,'Informe Kelly'!F662,"")</f>
        <v>0.32505787037037037</v>
      </c>
      <c r="H669" s="85">
        <f>IF(C669=C667,0,IF(D669=D668,0,(HLOOKUP(C669,Ingreso!$AN$10:$AU$260,VLOOKUP(A669,Ingreso!$AL$11:$AM$260,2,FALSE)))/24))</f>
        <v>0</v>
      </c>
      <c r="I669" s="77">
        <f t="shared" si="21"/>
        <v>0</v>
      </c>
    </row>
    <row r="670" spans="1:9">
      <c r="A670" s="85" t="str">
        <f>VLOOKUP('Informe Kelly'!A663,Base!A:B,2,FALSE)</f>
        <v>13.295.279-5</v>
      </c>
      <c r="B670" s="85" t="str">
        <f>VLOOKUP('Informe Kelly'!A663,Base!A:G,7,FALSE)</f>
        <v>TOLEDO YENEVES JUAN OSVALDO</v>
      </c>
      <c r="C670" s="91">
        <f>'Informe Kelly'!E663</f>
        <v>40649</v>
      </c>
      <c r="D670" s="96">
        <f t="shared" si="20"/>
        <v>345</v>
      </c>
      <c r="E670" s="85" t="str">
        <f>VLOOKUP(A670,Ingreso!K:P,6,FALSE)</f>
        <v>Turno C</v>
      </c>
      <c r="F670" s="85" t="str">
        <f>IF('Informe Kelly'!H663=$A$2,'Informe Kelly'!F663,"")</f>
        <v/>
      </c>
      <c r="G670" s="85">
        <f>IF('Informe Kelly'!H663=$A$3,'Informe Kelly'!F663,"")</f>
        <v>0.32791666666666669</v>
      </c>
      <c r="H670" s="85">
        <f>IF(C670=C668,0,IF(D670=D669,0,(HLOOKUP(C670,Ingreso!$AN$10:$AU$260,VLOOKUP(A670,Ingreso!$AL$11:$AM$260,2,FALSE)))/24))</f>
        <v>0</v>
      </c>
      <c r="I670" s="77">
        <f t="shared" si="21"/>
        <v>0.375</v>
      </c>
    </row>
    <row r="671" spans="1:9">
      <c r="A671" s="85" t="str">
        <f>VLOOKUP('Informe Kelly'!A664,Base!A:B,2,FALSE)</f>
        <v>13.486.907-0</v>
      </c>
      <c r="B671" s="85" t="str">
        <f>VLOOKUP('Informe Kelly'!A664,Base!A:G,7,FALSE)</f>
        <v>MALDONADO DIAZ MIGUEL</v>
      </c>
      <c r="C671" s="91">
        <f>'Informe Kelly'!E664</f>
        <v>40644</v>
      </c>
      <c r="D671" s="96">
        <f t="shared" si="20"/>
        <v>346</v>
      </c>
      <c r="E671" s="85" t="str">
        <f>VLOOKUP(A671,Ingreso!K:P,6,FALSE)</f>
        <v>Turno A</v>
      </c>
      <c r="F671" s="85">
        <f>IF('Informe Kelly'!H664=$A$2,'Informe Kelly'!F664,"")</f>
        <v>0.29071759259259261</v>
      </c>
      <c r="G671" s="85" t="str">
        <f>IF('Informe Kelly'!H664=$A$3,'Informe Kelly'!F664,"")</f>
        <v/>
      </c>
      <c r="H671" s="85">
        <f>IF(C671=C669,0,IF(D671=D670,0,(HLOOKUP(C671,Ingreso!$AN$10:$AU$260,VLOOKUP(A671,Ingreso!$AL$11:$AM$260,2,FALSE)))/24))</f>
        <v>0</v>
      </c>
      <c r="I671" s="77">
        <f t="shared" si="21"/>
        <v>0.3125</v>
      </c>
    </row>
    <row r="672" spans="1:9">
      <c r="A672" s="85" t="str">
        <f>VLOOKUP('Informe Kelly'!A665,Base!A:B,2,FALSE)</f>
        <v>13.486.907-0</v>
      </c>
      <c r="B672" s="85" t="str">
        <f>VLOOKUP('Informe Kelly'!A665,Base!A:G,7,FALSE)</f>
        <v>MALDONADO DIAZ MIGUEL</v>
      </c>
      <c r="C672" s="91">
        <f>'Informe Kelly'!E665</f>
        <v>40644</v>
      </c>
      <c r="D672" s="96">
        <f t="shared" si="20"/>
        <v>346</v>
      </c>
      <c r="E672" s="85" t="str">
        <f>VLOOKUP(A672,Ingreso!K:P,6,FALSE)</f>
        <v>Turno A</v>
      </c>
      <c r="F672" s="85" t="str">
        <f>IF('Informe Kelly'!H665=$A$2,'Informe Kelly'!F665,"")</f>
        <v/>
      </c>
      <c r="G672" s="85">
        <f>IF('Informe Kelly'!H665=$A$3,'Informe Kelly'!F665,"")</f>
        <v>0.63241898148148146</v>
      </c>
      <c r="H672" s="85">
        <f>IF(C672=C670,0,IF(D672=D671,0,(HLOOKUP(C672,Ingreso!$AN$10:$AU$260,VLOOKUP(A672,Ingreso!$AL$11:$AM$260,2,FALSE)))/24))</f>
        <v>0</v>
      </c>
      <c r="I672" s="77">
        <f t="shared" si="21"/>
        <v>0</v>
      </c>
    </row>
    <row r="673" spans="1:21">
      <c r="A673" s="85" t="str">
        <f>VLOOKUP('Informe Kelly'!A666,Base!A:B,2,FALSE)</f>
        <v>13.486.907-0</v>
      </c>
      <c r="B673" s="85" t="str">
        <f>VLOOKUP('Informe Kelly'!A666,Base!A:G,7,FALSE)</f>
        <v>MALDONADO DIAZ MIGUEL</v>
      </c>
      <c r="C673" s="91">
        <f>'Informe Kelly'!E666</f>
        <v>40645</v>
      </c>
      <c r="D673" s="96">
        <f t="shared" si="20"/>
        <v>347</v>
      </c>
      <c r="E673" s="85" t="str">
        <f>VLOOKUP(A673,Ingreso!K:P,6,FALSE)</f>
        <v>Turno A</v>
      </c>
      <c r="F673" s="85">
        <f>IF('Informe Kelly'!H666=$A$2,'Informe Kelly'!F666,"")</f>
        <v>0.29060185185185183</v>
      </c>
      <c r="G673" s="85" t="str">
        <f>IF('Informe Kelly'!H666=$A$3,'Informe Kelly'!F666,"")</f>
        <v/>
      </c>
      <c r="H673" s="85">
        <f>IF(C673=C671,0,IF(D673=D672,0,(HLOOKUP(C673,Ingreso!$AN$10:$AU$260,VLOOKUP(A673,Ingreso!$AL$11:$AM$260,2,FALSE)))/24))</f>
        <v>0</v>
      </c>
      <c r="I673" s="77">
        <f t="shared" si="21"/>
        <v>0.3125</v>
      </c>
    </row>
    <row r="674" spans="1:21">
      <c r="A674" s="85" t="str">
        <f>VLOOKUP('Informe Kelly'!A667,Base!A:B,2,FALSE)</f>
        <v>13.486.907-0</v>
      </c>
      <c r="B674" s="85" t="str">
        <f>VLOOKUP('Informe Kelly'!A667,Base!A:G,7,FALSE)</f>
        <v>MALDONADO DIAZ MIGUEL</v>
      </c>
      <c r="C674" s="91">
        <f>'Informe Kelly'!E667</f>
        <v>40645</v>
      </c>
      <c r="D674" s="96">
        <f t="shared" si="20"/>
        <v>347</v>
      </c>
      <c r="E674" s="85" t="str">
        <f>VLOOKUP(A674,Ingreso!K:P,6,FALSE)</f>
        <v>Turno A</v>
      </c>
      <c r="F674" s="85" t="str">
        <f>IF('Informe Kelly'!H667=$A$2,'Informe Kelly'!F667,"")</f>
        <v/>
      </c>
      <c r="G674" s="85">
        <f>IF('Informe Kelly'!H667=$A$3,'Informe Kelly'!F667,"")</f>
        <v>0.62767361111111108</v>
      </c>
      <c r="H674" s="85">
        <f>IF(C674=C672,0,IF(D674=D673,0,(HLOOKUP(C674,Ingreso!$AN$10:$AU$260,VLOOKUP(A674,Ingreso!$AL$11:$AM$260,2,FALSE)))/24))</f>
        <v>0</v>
      </c>
      <c r="I674" s="77">
        <f t="shared" si="21"/>
        <v>0</v>
      </c>
    </row>
    <row r="675" spans="1:21">
      <c r="A675" s="85" t="str">
        <f>VLOOKUP('Informe Kelly'!A668,Base!A:B,2,FALSE)</f>
        <v>13.486.907-0</v>
      </c>
      <c r="B675" s="85" t="str">
        <f>VLOOKUP('Informe Kelly'!A668,Base!A:G,7,FALSE)</f>
        <v>MALDONADO DIAZ MIGUEL</v>
      </c>
      <c r="C675" s="91">
        <f>'Informe Kelly'!E668</f>
        <v>40646</v>
      </c>
      <c r="D675" s="96">
        <f t="shared" si="20"/>
        <v>348</v>
      </c>
      <c r="E675" s="85" t="str">
        <f>VLOOKUP(A675,Ingreso!K:P,6,FALSE)</f>
        <v>Turno A</v>
      </c>
      <c r="F675" s="85">
        <f>IF('Informe Kelly'!H668=$A$2,'Informe Kelly'!F668,"")</f>
        <v>0.28907407407407409</v>
      </c>
      <c r="G675" s="85" t="str">
        <f>IF('Informe Kelly'!H668=$A$3,'Informe Kelly'!F668,"")</f>
        <v/>
      </c>
      <c r="H675" s="85">
        <f>IF(C675=C673,0,IF(D675=D674,0,(HLOOKUP(C675,Ingreso!$AN$10:$AU$260,VLOOKUP(A675,Ingreso!$AL$11:$AM$260,2,FALSE)))/24))</f>
        <v>0</v>
      </c>
      <c r="I675" s="77">
        <f t="shared" si="21"/>
        <v>0.3125</v>
      </c>
    </row>
    <row r="676" spans="1:21">
      <c r="A676" s="85" t="str">
        <f>VLOOKUP('Informe Kelly'!A669,Base!A:B,2,FALSE)</f>
        <v>13.486.907-0</v>
      </c>
      <c r="B676" s="85" t="str">
        <f>VLOOKUP('Informe Kelly'!A669,Base!A:G,7,FALSE)</f>
        <v>MALDONADO DIAZ MIGUEL</v>
      </c>
      <c r="C676" s="91">
        <f>'Informe Kelly'!E669</f>
        <v>40646</v>
      </c>
      <c r="D676" s="96">
        <f t="shared" si="20"/>
        <v>348</v>
      </c>
      <c r="E676" s="85" t="str">
        <f>VLOOKUP(A676,Ingreso!K:P,6,FALSE)</f>
        <v>Turno A</v>
      </c>
      <c r="F676" s="85" t="str">
        <f>IF('Informe Kelly'!H669=$A$2,'Informe Kelly'!F669,"")</f>
        <v/>
      </c>
      <c r="G676" s="85">
        <f>IF('Informe Kelly'!H669=$A$3,'Informe Kelly'!F669,"")</f>
        <v>0.63296296296296295</v>
      </c>
      <c r="H676" s="85">
        <f>IF(C676=C674,0,IF(D676=D675,0,(HLOOKUP(C676,Ingreso!$AN$10:$AU$260,VLOOKUP(A676,Ingreso!$AL$11:$AM$260,2,FALSE)))/24))</f>
        <v>0</v>
      </c>
      <c r="I676" s="77">
        <f t="shared" si="21"/>
        <v>0</v>
      </c>
    </row>
    <row r="677" spans="1:21">
      <c r="A677" s="85" t="str">
        <f>VLOOKUP('Informe Kelly'!A670,Base!A:B,2,FALSE)</f>
        <v>13.486.907-0</v>
      </c>
      <c r="B677" s="85" t="str">
        <f>VLOOKUP('Informe Kelly'!A670,Base!A:G,7,FALSE)</f>
        <v>MALDONADO DIAZ MIGUEL</v>
      </c>
      <c r="C677" s="91">
        <f>'Informe Kelly'!E670</f>
        <v>40647</v>
      </c>
      <c r="D677" s="96">
        <f t="shared" si="20"/>
        <v>349</v>
      </c>
      <c r="E677" s="85" t="str">
        <f>VLOOKUP(A677,Ingreso!K:P,6,FALSE)</f>
        <v>Turno A</v>
      </c>
      <c r="F677" s="85">
        <f>IF('Informe Kelly'!H670=$A$2,'Informe Kelly'!F670,"")</f>
        <v>0.29898148148148146</v>
      </c>
      <c r="G677" s="85" t="str">
        <f>IF('Informe Kelly'!H670=$A$3,'Informe Kelly'!F670,"")</f>
        <v/>
      </c>
      <c r="H677" s="85">
        <f>IF(C677=C675,0,IF(D677=D676,0,(HLOOKUP(C677,Ingreso!$AN$10:$AU$260,VLOOKUP(A677,Ingreso!$AL$11:$AM$260,2,FALSE)))/24))</f>
        <v>0</v>
      </c>
      <c r="I677" s="77">
        <f t="shared" si="21"/>
        <v>0.3125</v>
      </c>
    </row>
    <row r="678" spans="1:21">
      <c r="A678" s="85" t="str">
        <f>VLOOKUP('Informe Kelly'!A671,Base!A:B,2,FALSE)</f>
        <v>13.486.907-0</v>
      </c>
      <c r="B678" s="85" t="str">
        <f>VLOOKUP('Informe Kelly'!A671,Base!A:G,7,FALSE)</f>
        <v>MALDONADO DIAZ MIGUEL</v>
      </c>
      <c r="C678" s="91">
        <f>'Informe Kelly'!E671</f>
        <v>40647</v>
      </c>
      <c r="D678" s="96">
        <f t="shared" si="20"/>
        <v>349</v>
      </c>
      <c r="E678" s="85" t="str">
        <f>VLOOKUP(A678,Ingreso!K:P,6,FALSE)</f>
        <v>Turno A</v>
      </c>
      <c r="F678" s="85" t="str">
        <f>IF('Informe Kelly'!H671=$A$2,'Informe Kelly'!F671,"")</f>
        <v/>
      </c>
      <c r="G678" s="85">
        <f>IF('Informe Kelly'!H671=$A$3,'Informe Kelly'!F671,"")</f>
        <v>0.62357638888888889</v>
      </c>
      <c r="H678" s="85">
        <f>IF(C678=C676,0,IF(D678=D677,0,(HLOOKUP(C678,Ingreso!$AN$10:$AU$260,VLOOKUP(A678,Ingreso!$AL$11:$AM$260,2,FALSE)))/24))</f>
        <v>0</v>
      </c>
      <c r="I678" s="77">
        <f t="shared" si="21"/>
        <v>0</v>
      </c>
    </row>
    <row r="679" spans="1:21">
      <c r="A679" s="85" t="str">
        <f>VLOOKUP('Informe Kelly'!A672,Base!A:B,2,FALSE)</f>
        <v>13.486.907-0</v>
      </c>
      <c r="B679" s="85" t="str">
        <f>VLOOKUP('Informe Kelly'!A672,Base!A:G,7,FALSE)</f>
        <v>MALDONADO DIAZ MIGUEL</v>
      </c>
      <c r="C679" s="91">
        <f>'Informe Kelly'!E672</f>
        <v>40648</v>
      </c>
      <c r="D679" s="96">
        <f t="shared" si="20"/>
        <v>350</v>
      </c>
      <c r="E679" s="85" t="str">
        <f>VLOOKUP(A679,Ingreso!K:P,6,FALSE)</f>
        <v>Turno A</v>
      </c>
      <c r="F679" s="85">
        <f>IF('Informe Kelly'!H672=$A$2,'Informe Kelly'!F672,"")</f>
        <v>0.29298611111111111</v>
      </c>
      <c r="G679" s="85" t="str">
        <f>IF('Informe Kelly'!H672=$A$3,'Informe Kelly'!F672,"")</f>
        <v/>
      </c>
      <c r="H679" s="85">
        <f>IF(C679=C677,0,IF(D679=D678,0,(HLOOKUP(C679,Ingreso!$AN$10:$AU$260,VLOOKUP(A679,Ingreso!$AL$11:$AM$260,2,FALSE)))/24))</f>
        <v>0</v>
      </c>
      <c r="I679" s="77">
        <f t="shared" si="21"/>
        <v>0.3125</v>
      </c>
    </row>
    <row r="680" spans="1:21">
      <c r="A680" s="85" t="str">
        <f>VLOOKUP('Informe Kelly'!A673,Base!A:B,2,FALSE)</f>
        <v>13.486.907-0</v>
      </c>
      <c r="B680" s="85" t="str">
        <f>VLOOKUP('Informe Kelly'!A673,Base!A:G,7,FALSE)</f>
        <v>MALDONADO DIAZ MIGUEL</v>
      </c>
      <c r="C680" s="91">
        <f>'Informe Kelly'!E673</f>
        <v>40648</v>
      </c>
      <c r="D680" s="96">
        <f t="shared" si="20"/>
        <v>350</v>
      </c>
      <c r="E680" s="85" t="str">
        <f>VLOOKUP(A680,Ingreso!K:P,6,FALSE)</f>
        <v>Turno A</v>
      </c>
      <c r="F680" s="85" t="str">
        <f>IF('Informe Kelly'!H673=$A$2,'Informe Kelly'!F673,"")</f>
        <v/>
      </c>
      <c r="G680" s="85">
        <f>IF('Informe Kelly'!H673=$A$3,'Informe Kelly'!F673,"")</f>
        <v>0.63518518518518519</v>
      </c>
      <c r="H680" s="85">
        <f>IF(C680=C678,0,IF(D680=D679,0,(HLOOKUP(C680,Ingreso!$AN$10:$AU$260,VLOOKUP(A680,Ingreso!$AL$11:$AM$260,2,FALSE)))/24))</f>
        <v>0</v>
      </c>
      <c r="I680" s="77">
        <f t="shared" si="21"/>
        <v>0</v>
      </c>
    </row>
    <row r="681" spans="1:21">
      <c r="A681" s="85" t="str">
        <f>VLOOKUP('Informe Kelly'!A674,Base!A:B,2,FALSE)</f>
        <v>13.486.907-0</v>
      </c>
      <c r="B681" s="85" t="str">
        <f>VLOOKUP('Informe Kelly'!A674,Base!A:G,7,FALSE)</f>
        <v>MALDONADO DIAZ MIGUEL</v>
      </c>
      <c r="C681" s="91">
        <f>'Informe Kelly'!E674</f>
        <v>40649</v>
      </c>
      <c r="D681" s="96">
        <f t="shared" si="20"/>
        <v>351</v>
      </c>
      <c r="E681" s="85" t="str">
        <f>VLOOKUP(A681,Ingreso!K:P,6,FALSE)</f>
        <v>Turno A</v>
      </c>
      <c r="F681" s="85" t="str">
        <f>IF('Informe Kelly'!H674=$A$2,'Informe Kelly'!F674,"")</f>
        <v/>
      </c>
      <c r="G681" s="85">
        <f>IF('Informe Kelly'!H674=$A$3,'Informe Kelly'!F674,"")</f>
        <v>0.62688657407407411</v>
      </c>
      <c r="H681" s="85">
        <f>IF(C681=C679,0,IF(D681=D680,0,(HLOOKUP(C681,Ingreso!$AN$10:$AU$260,VLOOKUP(A681,Ingreso!$AL$11:$AM$260,2,FALSE)))/24))</f>
        <v>0</v>
      </c>
      <c r="I681" s="77">
        <f t="shared" si="21"/>
        <v>0.3125</v>
      </c>
    </row>
    <row r="682" spans="1:21">
      <c r="A682" s="85" t="str">
        <f>VLOOKUP('Informe Kelly'!A675,Base!A:B,2,FALSE)</f>
        <v>13.486.907-0</v>
      </c>
      <c r="B682" s="85" t="str">
        <f>VLOOKUP('Informe Kelly'!A675,Base!A:G,7,FALSE)</f>
        <v>MALDONADO DIAZ MIGUEL</v>
      </c>
      <c r="C682" s="91">
        <f>'Informe Kelly'!E675</f>
        <v>40649</v>
      </c>
      <c r="D682" s="96">
        <f t="shared" si="20"/>
        <v>351</v>
      </c>
      <c r="E682" s="85" t="str">
        <f>VLOOKUP(A682,Ingreso!K:P,6,FALSE)</f>
        <v>Turno A</v>
      </c>
      <c r="F682" s="85">
        <f>IF('Informe Kelly'!H675=$A$2,'Informe Kelly'!F675,"")</f>
        <v>0.29138888888888886</v>
      </c>
      <c r="G682" s="85" t="str">
        <f>IF('Informe Kelly'!H675=$A$3,'Informe Kelly'!F675,"")</f>
        <v/>
      </c>
      <c r="H682" s="85">
        <f>IF(C682=C680,0,IF(D682=D681,0,(HLOOKUP(C682,Ingreso!$AN$10:$AU$260,VLOOKUP(A682,Ingreso!$AL$11:$AM$260,2,FALSE)))/24))</f>
        <v>0</v>
      </c>
      <c r="I682" s="77">
        <f t="shared" si="21"/>
        <v>0</v>
      </c>
    </row>
    <row r="683" spans="1:21" s="66" customFormat="1">
      <c r="A683" s="93" t="str">
        <f>VLOOKUP('Informe Kelly'!A676,Base!A:B,2,FALSE)</f>
        <v>13.557.248-9</v>
      </c>
      <c r="B683" s="93" t="str">
        <f>VLOOKUP('Informe Kelly'!A676,Base!A:G,7,FALSE)</f>
        <v>BERRIOS LOPEZ OSCAR MAURICIO</v>
      </c>
      <c r="C683" s="94">
        <f>'Informe Kelly'!E676</f>
        <v>40644</v>
      </c>
      <c r="D683" s="97">
        <f t="shared" si="20"/>
        <v>352</v>
      </c>
      <c r="E683" s="93" t="str">
        <f>VLOOKUP(A683,Ingreso!K:P,6,FALSE)</f>
        <v>Admin</v>
      </c>
      <c r="F683" s="93">
        <f>IF('Informe Kelly'!H676=$A$2,'Informe Kelly'!F676,"")</f>
        <v>4.0393518518518521E-3</v>
      </c>
      <c r="G683" s="93" t="str">
        <f>IF('Informe Kelly'!H676=$A$3,'Informe Kelly'!F676,"")</f>
        <v/>
      </c>
      <c r="H683" s="93">
        <f>IF(C683=C681,0,IF(D683=D682,0,(HLOOKUP(C683,Ingreso!$AN$10:$AU$260,VLOOKUP(A683,Ingreso!$AL$11:$AM$260,2,FALSE)))/24))</f>
        <v>0.3125</v>
      </c>
      <c r="I683" s="77">
        <f t="shared" si="21"/>
        <v>0.41666666666666669</v>
      </c>
      <c r="P683" s="95"/>
      <c r="Q683" s="102"/>
      <c r="R683" s="103"/>
      <c r="S683" s="104"/>
      <c r="T683" s="104"/>
      <c r="U683" s="104"/>
    </row>
    <row r="684" spans="1:21" s="66" customFormat="1">
      <c r="A684" s="93" t="str">
        <f>VLOOKUP('Informe Kelly'!A677,Base!A:B,2,FALSE)</f>
        <v>13.557.248-9</v>
      </c>
      <c r="B684" s="93" t="str">
        <f>VLOOKUP('Informe Kelly'!A677,Base!A:G,7,FALSE)</f>
        <v>BERRIOS LOPEZ OSCAR MAURICIO</v>
      </c>
      <c r="C684" s="94">
        <f>'Informe Kelly'!E677</f>
        <v>40644</v>
      </c>
      <c r="D684" s="97">
        <f t="shared" si="20"/>
        <v>352</v>
      </c>
      <c r="E684" s="93" t="str">
        <f>VLOOKUP(A684,Ingreso!K:P,6,FALSE)</f>
        <v>Admin</v>
      </c>
      <c r="F684" s="93" t="str">
        <f>IF('Informe Kelly'!H677=$A$2,'Informe Kelly'!F677,"")</f>
        <v/>
      </c>
      <c r="G684" s="93">
        <f>IF('Informe Kelly'!H677=$A$3,'Informe Kelly'!F677,"")</f>
        <v>0.35031250000000003</v>
      </c>
      <c r="H684" s="93">
        <f>IF(C684=C682,0,IF(D684=D683,0,(HLOOKUP(C684,Ingreso!$AN$10:$AU$260,VLOOKUP(A684,Ingreso!$AL$11:$AM$260,2,FALSE)))/24))</f>
        <v>0</v>
      </c>
      <c r="I684" s="77">
        <f t="shared" si="21"/>
        <v>0</v>
      </c>
      <c r="P684" s="95"/>
      <c r="Q684" s="102"/>
      <c r="R684" s="103"/>
      <c r="S684" s="104"/>
      <c r="T684" s="104"/>
      <c r="U684" s="104"/>
    </row>
    <row r="685" spans="1:21" s="66" customFormat="1">
      <c r="A685" s="93" t="str">
        <f>VLOOKUP('Informe Kelly'!A678,Base!A:B,2,FALSE)</f>
        <v>13.557.248-9</v>
      </c>
      <c r="B685" s="93" t="str">
        <f>VLOOKUP('Informe Kelly'!A678,Base!A:G,7,FALSE)</f>
        <v>BERRIOS LOPEZ OSCAR MAURICIO</v>
      </c>
      <c r="C685" s="94">
        <f>'Informe Kelly'!E678</f>
        <v>40645</v>
      </c>
      <c r="D685" s="97">
        <f t="shared" si="20"/>
        <v>353</v>
      </c>
      <c r="E685" s="93" t="str">
        <f>VLOOKUP(A685,Ingreso!K:P,6,FALSE)</f>
        <v>Admin</v>
      </c>
      <c r="F685" s="93">
        <f>IF('Informe Kelly'!H678=$A$2,'Informe Kelly'!F678,"")</f>
        <v>0.31578703703703703</v>
      </c>
      <c r="G685" s="93" t="str">
        <f>IF('Informe Kelly'!H678=$A$3,'Informe Kelly'!F678,"")</f>
        <v/>
      </c>
      <c r="H685" s="93">
        <f>IF(C685=C683,0,IF(D685=D684,0,(HLOOKUP(C685,Ingreso!$AN$10:$AU$260,VLOOKUP(A685,Ingreso!$AL$11:$AM$260,2,FALSE)))/24))</f>
        <v>0</v>
      </c>
      <c r="I685" s="77">
        <f t="shared" si="21"/>
        <v>0.41666666666666669</v>
      </c>
      <c r="P685" s="95"/>
      <c r="Q685" s="102"/>
      <c r="R685" s="103"/>
      <c r="S685" s="104"/>
      <c r="T685" s="104"/>
      <c r="U685" s="104"/>
    </row>
    <row r="686" spans="1:21" s="66" customFormat="1">
      <c r="A686" s="93" t="str">
        <f>VLOOKUP('Informe Kelly'!A679,Base!A:B,2,FALSE)</f>
        <v>13.557.248-9</v>
      </c>
      <c r="B686" s="93" t="str">
        <f>VLOOKUP('Informe Kelly'!A679,Base!A:G,7,FALSE)</f>
        <v>BERRIOS LOPEZ OSCAR MAURICIO</v>
      </c>
      <c r="C686" s="94">
        <f>'Informe Kelly'!E679</f>
        <v>40645</v>
      </c>
      <c r="D686" s="97">
        <f t="shared" si="20"/>
        <v>353</v>
      </c>
      <c r="E686" s="93" t="str">
        <f>VLOOKUP(A686,Ingreso!K:P,6,FALSE)</f>
        <v>Admin</v>
      </c>
      <c r="F686" s="93" t="str">
        <f>IF('Informe Kelly'!H679=$A$2,'Informe Kelly'!F679,"")</f>
        <v/>
      </c>
      <c r="G686" s="93">
        <f>IF('Informe Kelly'!H679=$A$3,'Informe Kelly'!F679,"")</f>
        <v>0.81896990740740738</v>
      </c>
      <c r="H686" s="93">
        <f>IF(C686=C684,0,IF(D686=D685,0,(HLOOKUP(C686,Ingreso!$AN$10:$AU$260,VLOOKUP(A686,Ingreso!$AL$11:$AM$260,2,FALSE)))/24))</f>
        <v>0</v>
      </c>
      <c r="I686" s="77">
        <f t="shared" si="21"/>
        <v>0</v>
      </c>
      <c r="P686" s="95"/>
      <c r="Q686" s="102"/>
      <c r="R686" s="103"/>
      <c r="S686" s="104"/>
      <c r="T686" s="104"/>
      <c r="U686" s="104"/>
    </row>
    <row r="687" spans="1:21" s="66" customFormat="1">
      <c r="A687" s="93" t="str">
        <f>VLOOKUP('Informe Kelly'!A680,Base!A:B,2,FALSE)</f>
        <v>13.557.248-9</v>
      </c>
      <c r="B687" s="93" t="str">
        <f>VLOOKUP('Informe Kelly'!A680,Base!A:G,7,FALSE)</f>
        <v>BERRIOS LOPEZ OSCAR MAURICIO</v>
      </c>
      <c r="C687" s="94">
        <f>'Informe Kelly'!E680</f>
        <v>40646</v>
      </c>
      <c r="D687" s="97">
        <f t="shared" si="20"/>
        <v>354</v>
      </c>
      <c r="E687" s="93" t="str">
        <f>VLOOKUP(A687,Ingreso!K:P,6,FALSE)</f>
        <v>Admin</v>
      </c>
      <c r="F687" s="93">
        <f>IF('Informe Kelly'!H680=$A$2,'Informe Kelly'!F680,"")</f>
        <v>0.31509259259259259</v>
      </c>
      <c r="G687" s="93" t="str">
        <f>IF('Informe Kelly'!H680=$A$3,'Informe Kelly'!F680,"")</f>
        <v/>
      </c>
      <c r="H687" s="93">
        <f>IF(C687=C685,0,IF(D687=D686,0,(HLOOKUP(C687,Ingreso!$AN$10:$AU$260,VLOOKUP(A687,Ingreso!$AL$11:$AM$260,2,FALSE)))/24))</f>
        <v>0</v>
      </c>
      <c r="I687" s="77">
        <f t="shared" si="21"/>
        <v>0.41666666666666669</v>
      </c>
      <c r="P687" s="95"/>
      <c r="Q687" s="102"/>
      <c r="R687" s="103"/>
      <c r="S687" s="104"/>
      <c r="T687" s="104"/>
      <c r="U687" s="104"/>
    </row>
    <row r="688" spans="1:21" s="66" customFormat="1">
      <c r="A688" s="93" t="str">
        <f>VLOOKUP('Informe Kelly'!A681,Base!A:B,2,FALSE)</f>
        <v>13.557.248-9</v>
      </c>
      <c r="B688" s="93" t="str">
        <f>VLOOKUP('Informe Kelly'!A681,Base!A:G,7,FALSE)</f>
        <v>BERRIOS LOPEZ OSCAR MAURICIO</v>
      </c>
      <c r="C688" s="94">
        <f>'Informe Kelly'!E681</f>
        <v>40646</v>
      </c>
      <c r="D688" s="97">
        <f t="shared" si="20"/>
        <v>354</v>
      </c>
      <c r="E688" s="93" t="str">
        <f>VLOOKUP(A688,Ingreso!K:P,6,FALSE)</f>
        <v>Admin</v>
      </c>
      <c r="F688" s="93" t="str">
        <f>IF('Informe Kelly'!H681=$A$2,'Informe Kelly'!F681,"")</f>
        <v/>
      </c>
      <c r="G688" s="93">
        <f>IF('Informe Kelly'!H681=$A$3,'Informe Kelly'!F681,"")</f>
        <v>0.85385416666666669</v>
      </c>
      <c r="H688" s="93">
        <f>IF(C688=C686,0,IF(D688=D687,0,(HLOOKUP(C688,Ingreso!$AN$10:$AU$260,VLOOKUP(A688,Ingreso!$AL$11:$AM$260,2,FALSE)))/24))</f>
        <v>0</v>
      </c>
      <c r="I688" s="77">
        <f t="shared" si="21"/>
        <v>0</v>
      </c>
      <c r="P688" s="95"/>
      <c r="Q688" s="102"/>
      <c r="R688" s="103"/>
      <c r="S688" s="104"/>
      <c r="T688" s="104"/>
      <c r="U688" s="104"/>
    </row>
    <row r="689" spans="1:21" s="66" customFormat="1">
      <c r="A689" s="93" t="str">
        <f>VLOOKUP('Informe Kelly'!A682,Base!A:B,2,FALSE)</f>
        <v>13.557.248-9</v>
      </c>
      <c r="B689" s="93" t="str">
        <f>VLOOKUP('Informe Kelly'!A682,Base!A:G,7,FALSE)</f>
        <v>BERRIOS LOPEZ OSCAR MAURICIO</v>
      </c>
      <c r="C689" s="94">
        <f>'Informe Kelly'!E682</f>
        <v>40647</v>
      </c>
      <c r="D689" s="97">
        <f t="shared" si="20"/>
        <v>355</v>
      </c>
      <c r="E689" s="93" t="str">
        <f>VLOOKUP(A689,Ingreso!K:P,6,FALSE)</f>
        <v>Admin</v>
      </c>
      <c r="F689" s="93">
        <f>IF('Informe Kelly'!H682=$A$2,'Informe Kelly'!F682,"")</f>
        <v>0.3162847222222222</v>
      </c>
      <c r="G689" s="93" t="str">
        <f>IF('Informe Kelly'!H682=$A$3,'Informe Kelly'!F682,"")</f>
        <v/>
      </c>
      <c r="H689" s="93">
        <f>IF(C689=C687,0,IF(D689=D688,0,(HLOOKUP(C689,Ingreso!$AN$10:$AU$260,VLOOKUP(A689,Ingreso!$AL$11:$AM$260,2,FALSE)))/24))</f>
        <v>0</v>
      </c>
      <c r="I689" s="77">
        <f t="shared" si="21"/>
        <v>0.41666666666666669</v>
      </c>
      <c r="P689" s="95"/>
      <c r="Q689" s="102"/>
      <c r="R689" s="103"/>
      <c r="S689" s="104"/>
      <c r="T689" s="104"/>
      <c r="U689" s="104"/>
    </row>
    <row r="690" spans="1:21" s="66" customFormat="1">
      <c r="A690" s="93" t="str">
        <f>VLOOKUP('Informe Kelly'!A683,Base!A:B,2,FALSE)</f>
        <v>13.557.248-9</v>
      </c>
      <c r="B690" s="93" t="str">
        <f>VLOOKUP('Informe Kelly'!A683,Base!A:G,7,FALSE)</f>
        <v>BERRIOS LOPEZ OSCAR MAURICIO</v>
      </c>
      <c r="C690" s="94">
        <f>'Informe Kelly'!E683</f>
        <v>40647</v>
      </c>
      <c r="D690" s="97">
        <f t="shared" si="20"/>
        <v>355</v>
      </c>
      <c r="E690" s="93" t="str">
        <f>VLOOKUP(A690,Ingreso!K:P,6,FALSE)</f>
        <v>Admin</v>
      </c>
      <c r="F690" s="93">
        <f>IF('Informe Kelly'!H683=$A$2,'Informe Kelly'!F683,"")</f>
        <v>0.75315972222222216</v>
      </c>
      <c r="G690" s="93" t="str">
        <f>IF('Informe Kelly'!H683=$A$3,'Informe Kelly'!F683,"")</f>
        <v/>
      </c>
      <c r="H690" s="93">
        <f>IF(C690=C688,0,IF(D690=D689,0,(HLOOKUP(C690,Ingreso!$AN$10:$AU$260,VLOOKUP(A690,Ingreso!$AL$11:$AM$260,2,FALSE)))/24))</f>
        <v>0</v>
      </c>
      <c r="I690" s="77">
        <f t="shared" si="21"/>
        <v>0</v>
      </c>
      <c r="P690" s="95"/>
      <c r="Q690" s="102"/>
      <c r="R690" s="103"/>
      <c r="S690" s="104"/>
      <c r="T690" s="104"/>
      <c r="U690" s="104"/>
    </row>
    <row r="691" spans="1:21" s="66" customFormat="1">
      <c r="A691" s="93" t="str">
        <f>VLOOKUP('Informe Kelly'!A684,Base!A:B,2,FALSE)</f>
        <v>13.557.248-9</v>
      </c>
      <c r="B691" s="93" t="str">
        <f>VLOOKUP('Informe Kelly'!A684,Base!A:G,7,FALSE)</f>
        <v>BERRIOS LOPEZ OSCAR MAURICIO</v>
      </c>
      <c r="C691" s="94">
        <f>'Informe Kelly'!E684</f>
        <v>40648</v>
      </c>
      <c r="D691" s="97">
        <f t="shared" si="20"/>
        <v>356</v>
      </c>
      <c r="E691" s="93" t="str">
        <f>VLOOKUP(A691,Ingreso!K:P,6,FALSE)</f>
        <v>Admin</v>
      </c>
      <c r="F691" s="93" t="str">
        <f>IF('Informe Kelly'!H684=$A$2,'Informe Kelly'!F684,"")</f>
        <v/>
      </c>
      <c r="G691" s="93">
        <f>IF('Informe Kelly'!H684=$A$3,'Informe Kelly'!F684,"")</f>
        <v>0.67237268518518523</v>
      </c>
      <c r="H691" s="93">
        <f>IF(C691=C689,0,IF(D691=D690,0,(HLOOKUP(C691,Ingreso!$AN$10:$AU$260,VLOOKUP(A691,Ingreso!$AL$11:$AM$260,2,FALSE)))/24))</f>
        <v>0</v>
      </c>
      <c r="I691" s="77">
        <f t="shared" si="21"/>
        <v>0.41666666666666669</v>
      </c>
      <c r="P691" s="95"/>
      <c r="Q691" s="102"/>
      <c r="R691" s="103"/>
      <c r="S691" s="104"/>
      <c r="T691" s="104"/>
      <c r="U691" s="104"/>
    </row>
    <row r="692" spans="1:21" s="66" customFormat="1">
      <c r="A692" s="93" t="str">
        <f>VLOOKUP('Informe Kelly'!A685,Base!A:B,2,FALSE)</f>
        <v>13.557.248-9</v>
      </c>
      <c r="B692" s="93" t="str">
        <f>VLOOKUP('Informe Kelly'!A685,Base!A:G,7,FALSE)</f>
        <v>BERRIOS LOPEZ OSCAR MAURICIO</v>
      </c>
      <c r="C692" s="94">
        <f>'Informe Kelly'!E685</f>
        <v>40648</v>
      </c>
      <c r="D692" s="97">
        <f t="shared" si="20"/>
        <v>356</v>
      </c>
      <c r="E692" s="93" t="str">
        <f>VLOOKUP(A692,Ingreso!K:P,6,FALSE)</f>
        <v>Admin</v>
      </c>
      <c r="F692" s="93">
        <f>IF('Informe Kelly'!H685=$A$2,'Informe Kelly'!F685,"")</f>
        <v>0.31231481481481482</v>
      </c>
      <c r="G692" s="93" t="str">
        <f>IF('Informe Kelly'!H685=$A$3,'Informe Kelly'!F685,"")</f>
        <v/>
      </c>
      <c r="H692" s="93">
        <f>IF(C692=C690,0,IF(D692=D691,0,(HLOOKUP(C692,Ingreso!$AN$10:$AU$260,VLOOKUP(A692,Ingreso!$AL$11:$AM$260,2,FALSE)))/24))</f>
        <v>0</v>
      </c>
      <c r="I692" s="77">
        <f t="shared" si="21"/>
        <v>0</v>
      </c>
      <c r="P692" s="95"/>
      <c r="Q692" s="102"/>
      <c r="R692" s="103"/>
      <c r="S692" s="104"/>
      <c r="T692" s="104"/>
      <c r="U692" s="104"/>
    </row>
    <row r="693" spans="1:21">
      <c r="A693" s="85" t="str">
        <f>VLOOKUP('Informe Kelly'!A686,Base!A:B,2,FALSE)</f>
        <v>13.681.026-K</v>
      </c>
      <c r="B693" s="85" t="str">
        <f>VLOOKUP('Informe Kelly'!A686,Base!A:G,7,FALSE)</f>
        <v>OYANEDEL COFRE JULIO HERNAN</v>
      </c>
      <c r="C693" s="91">
        <f>'Informe Kelly'!E686</f>
        <v>40644</v>
      </c>
      <c r="D693" s="96">
        <f t="shared" si="20"/>
        <v>357</v>
      </c>
      <c r="E693" s="85" t="str">
        <f>VLOOKUP(A693,Ingreso!K:P,6,FALSE)</f>
        <v>Turno A</v>
      </c>
      <c r="F693" s="85">
        <f>IF('Informe Kelly'!H686=$A$2,'Informe Kelly'!F686,"")</f>
        <v>0.29075231481481484</v>
      </c>
      <c r="G693" s="85" t="str">
        <f>IF('Informe Kelly'!H686=$A$3,'Informe Kelly'!F686,"")</f>
        <v/>
      </c>
      <c r="H693" s="85">
        <f>IF(C693=C691,0,IF(D693=D692,0,(HLOOKUP(C693,Ingreso!$AN$10:$AU$260,VLOOKUP(A693,Ingreso!$AL$11:$AM$260,2,FALSE)))/24))</f>
        <v>0</v>
      </c>
      <c r="I693" s="77">
        <f t="shared" si="21"/>
        <v>0.3125</v>
      </c>
    </row>
    <row r="694" spans="1:21">
      <c r="A694" s="85" t="str">
        <f>VLOOKUP('Informe Kelly'!A687,Base!A:B,2,FALSE)</f>
        <v>13.681.026-K</v>
      </c>
      <c r="B694" s="85" t="str">
        <f>VLOOKUP('Informe Kelly'!A687,Base!A:G,7,FALSE)</f>
        <v>OYANEDEL COFRE JULIO HERNAN</v>
      </c>
      <c r="C694" s="91">
        <f>'Informe Kelly'!E687</f>
        <v>40644</v>
      </c>
      <c r="D694" s="96">
        <f t="shared" si="20"/>
        <v>357</v>
      </c>
      <c r="E694" s="85" t="str">
        <f>VLOOKUP(A694,Ingreso!K:P,6,FALSE)</f>
        <v>Turno A</v>
      </c>
      <c r="F694" s="85" t="str">
        <f>IF('Informe Kelly'!H687=$A$2,'Informe Kelly'!F687,"")</f>
        <v/>
      </c>
      <c r="G694" s="85">
        <f>IF('Informe Kelly'!H687=$A$3,'Informe Kelly'!F687,"")</f>
        <v>0.64091435185185186</v>
      </c>
      <c r="H694" s="85">
        <f>IF(C694=C692,0,IF(D694=D693,0,(HLOOKUP(C694,Ingreso!$AN$10:$AU$260,VLOOKUP(A694,Ingreso!$AL$11:$AM$260,2,FALSE)))/24))</f>
        <v>0</v>
      </c>
      <c r="I694" s="77">
        <f t="shared" si="21"/>
        <v>0</v>
      </c>
    </row>
    <row r="695" spans="1:21">
      <c r="A695" s="85" t="str">
        <f>VLOOKUP('Informe Kelly'!A688,Base!A:B,2,FALSE)</f>
        <v>13.681.026-K</v>
      </c>
      <c r="B695" s="85" t="str">
        <f>VLOOKUP('Informe Kelly'!A688,Base!A:G,7,FALSE)</f>
        <v>OYANEDEL COFRE JULIO HERNAN</v>
      </c>
      <c r="C695" s="91">
        <f>'Informe Kelly'!E688</f>
        <v>40645</v>
      </c>
      <c r="D695" s="96">
        <f t="shared" si="20"/>
        <v>358</v>
      </c>
      <c r="E695" s="85" t="str">
        <f>VLOOKUP(A695,Ingreso!K:P,6,FALSE)</f>
        <v>Turno A</v>
      </c>
      <c r="F695" s="85">
        <f>IF('Informe Kelly'!H688=$A$2,'Informe Kelly'!F688,"")</f>
        <v>0.35446759259259258</v>
      </c>
      <c r="G695" s="85" t="str">
        <f>IF('Informe Kelly'!H688=$A$3,'Informe Kelly'!F688,"")</f>
        <v/>
      </c>
      <c r="H695" s="85">
        <f>IF(C695=C693,0,IF(D695=D694,0,(HLOOKUP(C695,Ingreso!$AN$10:$AU$260,VLOOKUP(A695,Ingreso!$AL$11:$AM$260,2,FALSE)))/24))</f>
        <v>0</v>
      </c>
      <c r="I695" s="77">
        <f t="shared" si="21"/>
        <v>0.3125</v>
      </c>
    </row>
    <row r="696" spans="1:21">
      <c r="A696" s="85" t="str">
        <f>VLOOKUP('Informe Kelly'!A689,Base!A:B,2,FALSE)</f>
        <v>13.681.026-K</v>
      </c>
      <c r="B696" s="85" t="str">
        <f>VLOOKUP('Informe Kelly'!A689,Base!A:G,7,FALSE)</f>
        <v>OYANEDEL COFRE JULIO HERNAN</v>
      </c>
      <c r="C696" s="91">
        <f>'Informe Kelly'!E689</f>
        <v>40645</v>
      </c>
      <c r="D696" s="96">
        <f t="shared" si="20"/>
        <v>358</v>
      </c>
      <c r="E696" s="85" t="str">
        <f>VLOOKUP(A696,Ingreso!K:P,6,FALSE)</f>
        <v>Turno A</v>
      </c>
      <c r="F696" s="85" t="str">
        <f>IF('Informe Kelly'!H689=$A$2,'Informe Kelly'!F689,"")</f>
        <v/>
      </c>
      <c r="G696" s="85">
        <f>IF('Informe Kelly'!H689=$A$3,'Informe Kelly'!F689,"")</f>
        <v>0.6381944444444444</v>
      </c>
      <c r="H696" s="85">
        <f>IF(C696=C694,0,IF(D696=D695,0,(HLOOKUP(C696,Ingreso!$AN$10:$AU$260,VLOOKUP(A696,Ingreso!$AL$11:$AM$260,2,FALSE)))/24))</f>
        <v>0</v>
      </c>
      <c r="I696" s="77">
        <f t="shared" si="21"/>
        <v>0</v>
      </c>
    </row>
    <row r="697" spans="1:21">
      <c r="A697" s="85" t="str">
        <f>VLOOKUP('Informe Kelly'!A690,Base!A:B,2,FALSE)</f>
        <v>13.681.026-K</v>
      </c>
      <c r="B697" s="85" t="str">
        <f>VLOOKUP('Informe Kelly'!A690,Base!A:G,7,FALSE)</f>
        <v>OYANEDEL COFRE JULIO HERNAN</v>
      </c>
      <c r="C697" s="91">
        <f>'Informe Kelly'!E690</f>
        <v>40646</v>
      </c>
      <c r="D697" s="96">
        <f t="shared" si="20"/>
        <v>359</v>
      </c>
      <c r="E697" s="85" t="str">
        <f>VLOOKUP(A697,Ingreso!K:P,6,FALSE)</f>
        <v>Turno A</v>
      </c>
      <c r="F697" s="85">
        <f>IF('Informe Kelly'!H690=$A$2,'Informe Kelly'!F690,"")</f>
        <v>0.29596064814814815</v>
      </c>
      <c r="G697" s="85" t="str">
        <f>IF('Informe Kelly'!H690=$A$3,'Informe Kelly'!F690,"")</f>
        <v/>
      </c>
      <c r="H697" s="85">
        <f>IF(C697=C695,0,IF(D697=D696,0,(HLOOKUP(C697,Ingreso!$AN$10:$AU$260,VLOOKUP(A697,Ingreso!$AL$11:$AM$260,2,FALSE)))/24))</f>
        <v>0</v>
      </c>
      <c r="I697" s="77">
        <f t="shared" si="21"/>
        <v>0.3125</v>
      </c>
    </row>
    <row r="698" spans="1:21">
      <c r="A698" s="85" t="str">
        <f>VLOOKUP('Informe Kelly'!A691,Base!A:B,2,FALSE)</f>
        <v>13.681.026-K</v>
      </c>
      <c r="B698" s="85" t="str">
        <f>VLOOKUP('Informe Kelly'!A691,Base!A:G,7,FALSE)</f>
        <v>OYANEDEL COFRE JULIO HERNAN</v>
      </c>
      <c r="C698" s="91">
        <f>'Informe Kelly'!E691</f>
        <v>40646</v>
      </c>
      <c r="D698" s="96">
        <f t="shared" si="20"/>
        <v>359</v>
      </c>
      <c r="E698" s="85" t="str">
        <f>VLOOKUP(A698,Ingreso!K:P,6,FALSE)</f>
        <v>Turno A</v>
      </c>
      <c r="F698" s="85" t="str">
        <f>IF('Informe Kelly'!H691=$A$2,'Informe Kelly'!F691,"")</f>
        <v/>
      </c>
      <c r="G698" s="85">
        <f>IF('Informe Kelly'!H691=$A$3,'Informe Kelly'!F691,"")</f>
        <v>0.64315972222222217</v>
      </c>
      <c r="H698" s="85">
        <f>IF(C698=C696,0,IF(D698=D697,0,(HLOOKUP(C698,Ingreso!$AN$10:$AU$260,VLOOKUP(A698,Ingreso!$AL$11:$AM$260,2,FALSE)))/24))</f>
        <v>0</v>
      </c>
      <c r="I698" s="77">
        <f t="shared" si="21"/>
        <v>0</v>
      </c>
    </row>
    <row r="699" spans="1:21">
      <c r="A699" s="85" t="str">
        <f>VLOOKUP('Informe Kelly'!A692,Base!A:B,2,FALSE)</f>
        <v>13.681.026-K</v>
      </c>
      <c r="B699" s="85" t="str">
        <f>VLOOKUP('Informe Kelly'!A692,Base!A:G,7,FALSE)</f>
        <v>OYANEDEL COFRE JULIO HERNAN</v>
      </c>
      <c r="C699" s="91">
        <f>'Informe Kelly'!E692</f>
        <v>40647</v>
      </c>
      <c r="D699" s="96">
        <f t="shared" si="20"/>
        <v>360</v>
      </c>
      <c r="E699" s="85" t="str">
        <f>VLOOKUP(A699,Ingreso!K:P,6,FALSE)</f>
        <v>Turno A</v>
      </c>
      <c r="F699" s="85">
        <f>IF('Informe Kelly'!H692=$A$2,'Informe Kelly'!F692,"")</f>
        <v>0.29993055555555553</v>
      </c>
      <c r="G699" s="85" t="str">
        <f>IF('Informe Kelly'!H692=$A$3,'Informe Kelly'!F692,"")</f>
        <v/>
      </c>
      <c r="H699" s="85">
        <f>IF(C699=C697,0,IF(D699=D698,0,(HLOOKUP(C699,Ingreso!$AN$10:$AU$260,VLOOKUP(A699,Ingreso!$AL$11:$AM$260,2,FALSE)))/24))</f>
        <v>0</v>
      </c>
      <c r="I699" s="77">
        <f t="shared" si="21"/>
        <v>0.3125</v>
      </c>
    </row>
    <row r="700" spans="1:21">
      <c r="A700" s="85" t="str">
        <f>VLOOKUP('Informe Kelly'!A693,Base!A:B,2,FALSE)</f>
        <v>13.681.026-K</v>
      </c>
      <c r="B700" s="85" t="str">
        <f>VLOOKUP('Informe Kelly'!A693,Base!A:G,7,FALSE)</f>
        <v>OYANEDEL COFRE JULIO HERNAN</v>
      </c>
      <c r="C700" s="91">
        <f>'Informe Kelly'!E693</f>
        <v>40647</v>
      </c>
      <c r="D700" s="96">
        <f t="shared" si="20"/>
        <v>360</v>
      </c>
      <c r="E700" s="85" t="str">
        <f>VLOOKUP(A700,Ingreso!K:P,6,FALSE)</f>
        <v>Turno A</v>
      </c>
      <c r="F700" s="85" t="str">
        <f>IF('Informe Kelly'!H693=$A$2,'Informe Kelly'!F693,"")</f>
        <v/>
      </c>
      <c r="G700" s="85">
        <f>IF('Informe Kelly'!H693=$A$3,'Informe Kelly'!F693,"")</f>
        <v>0.63341435185185191</v>
      </c>
      <c r="H700" s="85">
        <f>IF(C700=C698,0,IF(D700=D699,0,(HLOOKUP(C700,Ingreso!$AN$10:$AU$260,VLOOKUP(A700,Ingreso!$AL$11:$AM$260,2,FALSE)))/24))</f>
        <v>0</v>
      </c>
      <c r="I700" s="77">
        <f t="shared" si="21"/>
        <v>0</v>
      </c>
    </row>
    <row r="701" spans="1:21">
      <c r="A701" s="85" t="str">
        <f>VLOOKUP('Informe Kelly'!A694,Base!A:B,2,FALSE)</f>
        <v>13.681.026-K</v>
      </c>
      <c r="B701" s="85" t="str">
        <f>VLOOKUP('Informe Kelly'!A694,Base!A:G,7,FALSE)</f>
        <v>OYANEDEL COFRE JULIO HERNAN</v>
      </c>
      <c r="C701" s="91">
        <f>'Informe Kelly'!E694</f>
        <v>40648</v>
      </c>
      <c r="D701" s="96">
        <f t="shared" si="20"/>
        <v>361</v>
      </c>
      <c r="E701" s="85" t="str">
        <f>VLOOKUP(A701,Ingreso!K:P,6,FALSE)</f>
        <v>Turno A</v>
      </c>
      <c r="F701" s="85" t="str">
        <f>IF('Informe Kelly'!H694=$A$2,'Informe Kelly'!F694,"")</f>
        <v/>
      </c>
      <c r="G701" s="85">
        <f>IF('Informe Kelly'!H694=$A$3,'Informe Kelly'!F694,"")</f>
        <v>0.6390393518518519</v>
      </c>
      <c r="H701" s="85">
        <f>IF(C701=C699,0,IF(D701=D700,0,(HLOOKUP(C701,Ingreso!$AN$10:$AU$260,VLOOKUP(A701,Ingreso!$AL$11:$AM$260,2,FALSE)))/24))</f>
        <v>0</v>
      </c>
      <c r="I701" s="77">
        <f t="shared" si="21"/>
        <v>0.3125</v>
      </c>
    </row>
    <row r="702" spans="1:21">
      <c r="A702" s="85" t="str">
        <f>VLOOKUP('Informe Kelly'!A695,Base!A:B,2,FALSE)</f>
        <v>13.681.026-K</v>
      </c>
      <c r="B702" s="85" t="str">
        <f>VLOOKUP('Informe Kelly'!A695,Base!A:G,7,FALSE)</f>
        <v>OYANEDEL COFRE JULIO HERNAN</v>
      </c>
      <c r="C702" s="91">
        <f>'Informe Kelly'!E695</f>
        <v>40648</v>
      </c>
      <c r="D702" s="96">
        <f t="shared" si="20"/>
        <v>361</v>
      </c>
      <c r="E702" s="85" t="str">
        <f>VLOOKUP(A702,Ingreso!K:P,6,FALSE)</f>
        <v>Turno A</v>
      </c>
      <c r="F702" s="85">
        <f>IF('Informe Kelly'!H695=$A$2,'Informe Kelly'!F695,"")</f>
        <v>0.29693287037037036</v>
      </c>
      <c r="G702" s="85" t="str">
        <f>IF('Informe Kelly'!H695=$A$3,'Informe Kelly'!F695,"")</f>
        <v/>
      </c>
      <c r="H702" s="85">
        <f>IF(C702=C700,0,IF(D702=D701,0,(HLOOKUP(C702,Ingreso!$AN$10:$AU$260,VLOOKUP(A702,Ingreso!$AL$11:$AM$260,2,FALSE)))/24))</f>
        <v>0</v>
      </c>
      <c r="I702" s="77">
        <f t="shared" si="21"/>
        <v>0</v>
      </c>
    </row>
    <row r="703" spans="1:21">
      <c r="A703" s="85" t="str">
        <f>VLOOKUP('Informe Kelly'!A696,Base!A:B,2,FALSE)</f>
        <v>13.681.026-K</v>
      </c>
      <c r="B703" s="85" t="str">
        <f>VLOOKUP('Informe Kelly'!A696,Base!A:G,7,FALSE)</f>
        <v>OYANEDEL COFRE JULIO HERNAN</v>
      </c>
      <c r="C703" s="91">
        <f>'Informe Kelly'!E696</f>
        <v>40649</v>
      </c>
      <c r="D703" s="96">
        <f t="shared" si="20"/>
        <v>362</v>
      </c>
      <c r="E703" s="85" t="str">
        <f>VLOOKUP(A703,Ingreso!K:P,6,FALSE)</f>
        <v>Turno A</v>
      </c>
      <c r="F703" s="85">
        <f>IF('Informe Kelly'!H696=$A$2,'Informe Kelly'!F696,"")</f>
        <v>0.29452546296296295</v>
      </c>
      <c r="G703" s="85" t="str">
        <f>IF('Informe Kelly'!H696=$A$3,'Informe Kelly'!F696,"")</f>
        <v/>
      </c>
      <c r="H703" s="85">
        <f>IF(C703=C701,0,IF(D703=D702,0,(HLOOKUP(C703,Ingreso!$AN$10:$AU$260,VLOOKUP(A703,Ingreso!$AL$11:$AM$260,2,FALSE)))/24))</f>
        <v>0</v>
      </c>
      <c r="I703" s="77">
        <f t="shared" si="21"/>
        <v>0.3125</v>
      </c>
    </row>
    <row r="704" spans="1:21">
      <c r="A704" s="85" t="str">
        <f>VLOOKUP('Informe Kelly'!A697,Base!A:B,2,FALSE)</f>
        <v>13.681.026-K</v>
      </c>
      <c r="B704" s="85" t="str">
        <f>VLOOKUP('Informe Kelly'!A697,Base!A:G,7,FALSE)</f>
        <v>OYANEDEL COFRE JULIO HERNAN</v>
      </c>
      <c r="C704" s="91">
        <f>'Informe Kelly'!E697</f>
        <v>40649</v>
      </c>
      <c r="D704" s="96">
        <f t="shared" si="20"/>
        <v>362</v>
      </c>
      <c r="E704" s="85" t="str">
        <f>VLOOKUP(A704,Ingreso!K:P,6,FALSE)</f>
        <v>Turno A</v>
      </c>
      <c r="F704" s="85" t="str">
        <f>IF('Informe Kelly'!H697=$A$2,'Informe Kelly'!F697,"")</f>
        <v/>
      </c>
      <c r="G704" s="85">
        <f>IF('Informe Kelly'!H697=$A$3,'Informe Kelly'!F697,"")</f>
        <v>0.62699074074074079</v>
      </c>
      <c r="H704" s="85">
        <f>IF(C704=C702,0,IF(D704=D703,0,(HLOOKUP(C704,Ingreso!$AN$10:$AU$260,VLOOKUP(A704,Ingreso!$AL$11:$AM$260,2,FALSE)))/24))</f>
        <v>0</v>
      </c>
      <c r="I704" s="77">
        <f t="shared" si="21"/>
        <v>0</v>
      </c>
    </row>
    <row r="705" spans="1:9">
      <c r="A705" s="85" t="str">
        <f>VLOOKUP('Informe Kelly'!A698,Base!A:B,2,FALSE)</f>
        <v>13.701.209-K</v>
      </c>
      <c r="B705" s="85" t="str">
        <f>VLOOKUP('Informe Kelly'!A698,Base!A:G,7,FALSE)</f>
        <v>SANCHEZ TORRES MARCELINO JHONATTAN</v>
      </c>
      <c r="C705" s="91">
        <f>'Informe Kelly'!E698</f>
        <v>40644</v>
      </c>
      <c r="D705" s="96">
        <f t="shared" si="20"/>
        <v>363</v>
      </c>
      <c r="E705" s="85" t="str">
        <f>VLOOKUP(A705,Ingreso!K:P,6,FALSE)</f>
        <v>Turno B</v>
      </c>
      <c r="F705" s="85">
        <f>IF('Informe Kelly'!H698=$A$2,'Informe Kelly'!F698,"")</f>
        <v>0.60895833333333338</v>
      </c>
      <c r="G705" s="85" t="str">
        <f>IF('Informe Kelly'!H698=$A$3,'Informe Kelly'!F698,"")</f>
        <v/>
      </c>
      <c r="H705" s="85">
        <f>IF(C705=C703,0,IF(D705=D704,0,(HLOOKUP(C705,Ingreso!$AN$10:$AU$260,VLOOKUP(A705,Ingreso!$AL$11:$AM$260,2,FALSE)))/24))</f>
        <v>0</v>
      </c>
      <c r="I705" s="77">
        <f t="shared" si="21"/>
        <v>0.3125</v>
      </c>
    </row>
    <row r="706" spans="1:9">
      <c r="A706" s="85" t="str">
        <f>VLOOKUP('Informe Kelly'!A699,Base!A:B,2,FALSE)</f>
        <v>13.701.209-K</v>
      </c>
      <c r="B706" s="85" t="str">
        <f>VLOOKUP('Informe Kelly'!A699,Base!A:G,7,FALSE)</f>
        <v>SANCHEZ TORRES MARCELINO JHONATTAN</v>
      </c>
      <c r="C706" s="91">
        <f>'Informe Kelly'!E699</f>
        <v>40644</v>
      </c>
      <c r="D706" s="96">
        <f t="shared" si="20"/>
        <v>363</v>
      </c>
      <c r="E706" s="85" t="str">
        <f>VLOOKUP(A706,Ingreso!K:P,6,FALSE)</f>
        <v>Turno B</v>
      </c>
      <c r="F706" s="85" t="str">
        <f>IF('Informe Kelly'!H699=$A$2,'Informe Kelly'!F699,"")</f>
        <v/>
      </c>
      <c r="G706" s="85">
        <f>IF('Informe Kelly'!H699=$A$3,'Informe Kelly'!F699,"")</f>
        <v>0.9425</v>
      </c>
      <c r="H706" s="85">
        <f>IF(C706=C704,0,IF(D706=D705,0,(HLOOKUP(C706,Ingreso!$AN$10:$AU$260,VLOOKUP(A706,Ingreso!$AL$11:$AM$260,2,FALSE)))/24))</f>
        <v>0</v>
      </c>
      <c r="I706" s="77">
        <f t="shared" si="21"/>
        <v>0</v>
      </c>
    </row>
    <row r="707" spans="1:9">
      <c r="A707" s="85" t="str">
        <f>VLOOKUP('Informe Kelly'!A700,Base!A:B,2,FALSE)</f>
        <v>13.701.209-K</v>
      </c>
      <c r="B707" s="85" t="str">
        <f>VLOOKUP('Informe Kelly'!A700,Base!A:G,7,FALSE)</f>
        <v>SANCHEZ TORRES MARCELINO JHONATTAN</v>
      </c>
      <c r="C707" s="91">
        <f>'Informe Kelly'!E700</f>
        <v>40645</v>
      </c>
      <c r="D707" s="96">
        <f t="shared" si="20"/>
        <v>364</v>
      </c>
      <c r="E707" s="85" t="str">
        <f>VLOOKUP(A707,Ingreso!K:P,6,FALSE)</f>
        <v>Turno B</v>
      </c>
      <c r="F707" s="85">
        <f>IF('Informe Kelly'!H700=$A$2,'Informe Kelly'!F700,"")</f>
        <v>0.6050578703703704</v>
      </c>
      <c r="G707" s="85" t="str">
        <f>IF('Informe Kelly'!H700=$A$3,'Informe Kelly'!F700,"")</f>
        <v/>
      </c>
      <c r="H707" s="85">
        <f>IF(C707=C705,0,IF(D707=D706,0,(HLOOKUP(C707,Ingreso!$AN$10:$AU$260,VLOOKUP(A707,Ingreso!$AL$11:$AM$260,2,FALSE)))/24))</f>
        <v>0</v>
      </c>
      <c r="I707" s="77">
        <f t="shared" si="21"/>
        <v>0.3125</v>
      </c>
    </row>
    <row r="708" spans="1:9">
      <c r="A708" s="85" t="str">
        <f>VLOOKUP('Informe Kelly'!A701,Base!A:B,2,FALSE)</f>
        <v>13.701.209-K</v>
      </c>
      <c r="B708" s="85" t="str">
        <f>VLOOKUP('Informe Kelly'!A701,Base!A:G,7,FALSE)</f>
        <v>SANCHEZ TORRES MARCELINO JHONATTAN</v>
      </c>
      <c r="C708" s="91">
        <f>'Informe Kelly'!E701</f>
        <v>40645</v>
      </c>
      <c r="D708" s="96">
        <f t="shared" si="20"/>
        <v>364</v>
      </c>
      <c r="E708" s="85" t="str">
        <f>VLOOKUP(A708,Ingreso!K:P,6,FALSE)</f>
        <v>Turno B</v>
      </c>
      <c r="F708" s="85" t="str">
        <f>IF('Informe Kelly'!H701=$A$2,'Informe Kelly'!F701,"")</f>
        <v/>
      </c>
      <c r="G708" s="85">
        <f>IF('Informe Kelly'!H701=$A$3,'Informe Kelly'!F701,"")</f>
        <v>0.94557870370370367</v>
      </c>
      <c r="H708" s="85">
        <f>IF(C708=C706,0,IF(D708=D707,0,(HLOOKUP(C708,Ingreso!$AN$10:$AU$260,VLOOKUP(A708,Ingreso!$AL$11:$AM$260,2,FALSE)))/24))</f>
        <v>0</v>
      </c>
      <c r="I708" s="77">
        <f t="shared" si="21"/>
        <v>0</v>
      </c>
    </row>
    <row r="709" spans="1:9">
      <c r="A709" s="85" t="str">
        <f>VLOOKUP('Informe Kelly'!A702,Base!A:B,2,FALSE)</f>
        <v>13.701.209-K</v>
      </c>
      <c r="B709" s="85" t="str">
        <f>VLOOKUP('Informe Kelly'!A702,Base!A:G,7,FALSE)</f>
        <v>SANCHEZ TORRES MARCELINO JHONATTAN</v>
      </c>
      <c r="C709" s="91">
        <f>'Informe Kelly'!E702</f>
        <v>40646</v>
      </c>
      <c r="D709" s="96">
        <f t="shared" si="20"/>
        <v>365</v>
      </c>
      <c r="E709" s="85" t="str">
        <f>VLOOKUP(A709,Ingreso!K:P,6,FALSE)</f>
        <v>Turno B</v>
      </c>
      <c r="F709" s="85">
        <f>IF('Informe Kelly'!H702=$A$2,'Informe Kelly'!F702,"")</f>
        <v>0.60796296296296293</v>
      </c>
      <c r="G709" s="85" t="str">
        <f>IF('Informe Kelly'!H702=$A$3,'Informe Kelly'!F702,"")</f>
        <v/>
      </c>
      <c r="H709" s="85">
        <f>IF(C709=C707,0,IF(D709=D708,0,(HLOOKUP(C709,Ingreso!$AN$10:$AU$260,VLOOKUP(A709,Ingreso!$AL$11:$AM$260,2,FALSE)))/24))</f>
        <v>0</v>
      </c>
      <c r="I709" s="77">
        <f t="shared" si="21"/>
        <v>0.3125</v>
      </c>
    </row>
    <row r="710" spans="1:9">
      <c r="A710" s="85" t="str">
        <f>VLOOKUP('Informe Kelly'!A703,Base!A:B,2,FALSE)</f>
        <v>13.701.209-K</v>
      </c>
      <c r="B710" s="85" t="str">
        <f>VLOOKUP('Informe Kelly'!A703,Base!A:G,7,FALSE)</f>
        <v>SANCHEZ TORRES MARCELINO JHONATTAN</v>
      </c>
      <c r="C710" s="91">
        <f>'Informe Kelly'!E703</f>
        <v>40646</v>
      </c>
      <c r="D710" s="96">
        <f t="shared" si="20"/>
        <v>365</v>
      </c>
      <c r="E710" s="85" t="str">
        <f>VLOOKUP(A710,Ingreso!K:P,6,FALSE)</f>
        <v>Turno B</v>
      </c>
      <c r="F710" s="85" t="str">
        <f>IF('Informe Kelly'!H703=$A$2,'Informe Kelly'!F703,"")</f>
        <v/>
      </c>
      <c r="G710" s="85">
        <f>IF('Informe Kelly'!H703=$A$3,'Informe Kelly'!F703,"")</f>
        <v>0.9435069444444445</v>
      </c>
      <c r="H710" s="85">
        <f>IF(C710=C708,0,IF(D710=D709,0,(HLOOKUP(C710,Ingreso!$AN$10:$AU$260,VLOOKUP(A710,Ingreso!$AL$11:$AM$260,2,FALSE)))/24))</f>
        <v>0</v>
      </c>
      <c r="I710" s="77">
        <f t="shared" si="21"/>
        <v>0</v>
      </c>
    </row>
    <row r="711" spans="1:9">
      <c r="A711" s="85" t="str">
        <f>VLOOKUP('Informe Kelly'!A704,Base!A:B,2,FALSE)</f>
        <v>13.701.209-K</v>
      </c>
      <c r="B711" s="85" t="str">
        <f>VLOOKUP('Informe Kelly'!A704,Base!A:G,7,FALSE)</f>
        <v>SANCHEZ TORRES MARCELINO JHONATTAN</v>
      </c>
      <c r="C711" s="91">
        <f>'Informe Kelly'!E704</f>
        <v>40647</v>
      </c>
      <c r="D711" s="96">
        <f t="shared" si="20"/>
        <v>366</v>
      </c>
      <c r="E711" s="85" t="str">
        <f>VLOOKUP(A711,Ingreso!K:P,6,FALSE)</f>
        <v>Turno B</v>
      </c>
      <c r="F711" s="85">
        <f>IF('Informe Kelly'!H704=$A$2,'Informe Kelly'!F704,"")</f>
        <v>0.60704861111111108</v>
      </c>
      <c r="G711" s="85" t="str">
        <f>IF('Informe Kelly'!H704=$A$3,'Informe Kelly'!F704,"")</f>
        <v/>
      </c>
      <c r="H711" s="85">
        <f>IF(C711=C709,0,IF(D711=D710,0,(HLOOKUP(C711,Ingreso!$AN$10:$AU$260,VLOOKUP(A711,Ingreso!$AL$11:$AM$260,2,FALSE)))/24))</f>
        <v>0</v>
      </c>
      <c r="I711" s="77">
        <f t="shared" si="21"/>
        <v>0.3125</v>
      </c>
    </row>
    <row r="712" spans="1:9">
      <c r="A712" s="85" t="str">
        <f>VLOOKUP('Informe Kelly'!A705,Base!A:B,2,FALSE)</f>
        <v>13.701.209-K</v>
      </c>
      <c r="B712" s="85" t="str">
        <f>VLOOKUP('Informe Kelly'!A705,Base!A:G,7,FALSE)</f>
        <v>SANCHEZ TORRES MARCELINO JHONATTAN</v>
      </c>
      <c r="C712" s="91">
        <f>'Informe Kelly'!E705</f>
        <v>40647</v>
      </c>
      <c r="D712" s="96">
        <f t="shared" si="20"/>
        <v>366</v>
      </c>
      <c r="E712" s="85" t="str">
        <f>VLOOKUP(A712,Ingreso!K:P,6,FALSE)</f>
        <v>Turno B</v>
      </c>
      <c r="F712" s="85" t="str">
        <f>IF('Informe Kelly'!H705=$A$2,'Informe Kelly'!F705,"")</f>
        <v/>
      </c>
      <c r="G712" s="85">
        <f>IF('Informe Kelly'!H705=$A$3,'Informe Kelly'!F705,"")</f>
        <v>0.94106481481481474</v>
      </c>
      <c r="H712" s="85">
        <f>IF(C712=C710,0,IF(D712=D711,0,(HLOOKUP(C712,Ingreso!$AN$10:$AU$260,VLOOKUP(A712,Ingreso!$AL$11:$AM$260,2,FALSE)))/24))</f>
        <v>0</v>
      </c>
      <c r="I712" s="77">
        <f t="shared" si="21"/>
        <v>0</v>
      </c>
    </row>
    <row r="713" spans="1:9">
      <c r="A713" s="85" t="str">
        <f>VLOOKUP('Informe Kelly'!A706,Base!A:B,2,FALSE)</f>
        <v>13.701.209-K</v>
      </c>
      <c r="B713" s="85" t="str">
        <f>VLOOKUP('Informe Kelly'!A706,Base!A:G,7,FALSE)</f>
        <v>SANCHEZ TORRES MARCELINO JHONATTAN</v>
      </c>
      <c r="C713" s="91">
        <f>'Informe Kelly'!E706</f>
        <v>40648</v>
      </c>
      <c r="D713" s="96">
        <f t="shared" ref="D713:D776" si="22">IF(C712=C713,IF(C713=C710,D712,IF(C713=C711,D712+1,D712)),D712+1)</f>
        <v>367</v>
      </c>
      <c r="E713" s="85" t="str">
        <f>VLOOKUP(A713,Ingreso!K:P,6,FALSE)</f>
        <v>Turno B</v>
      </c>
      <c r="F713" s="85">
        <f>IF('Informe Kelly'!H706=$A$2,'Informe Kelly'!F706,"")</f>
        <v>0.60616898148148146</v>
      </c>
      <c r="G713" s="85" t="str">
        <f>IF('Informe Kelly'!H706=$A$3,'Informe Kelly'!F706,"")</f>
        <v/>
      </c>
      <c r="H713" s="85">
        <f>IF(C713=C711,0,IF(D713=D712,0,(HLOOKUP(C713,Ingreso!$AN$10:$AU$260,VLOOKUP(A713,Ingreso!$AL$11:$AM$260,2,FALSE)))/24))</f>
        <v>0</v>
      </c>
      <c r="I713" s="77">
        <f t="shared" si="21"/>
        <v>0.3125</v>
      </c>
    </row>
    <row r="714" spans="1:9">
      <c r="A714" s="85" t="str">
        <f>VLOOKUP('Informe Kelly'!A707,Base!A:B,2,FALSE)</f>
        <v>13.701.209-K</v>
      </c>
      <c r="B714" s="85" t="str">
        <f>VLOOKUP('Informe Kelly'!A707,Base!A:G,7,FALSE)</f>
        <v>SANCHEZ TORRES MARCELINO JHONATTAN</v>
      </c>
      <c r="C714" s="91">
        <f>'Informe Kelly'!E707</f>
        <v>40648</v>
      </c>
      <c r="D714" s="96">
        <f t="shared" si="22"/>
        <v>367</v>
      </c>
      <c r="E714" s="85" t="str">
        <f>VLOOKUP(A714,Ingreso!K:P,6,FALSE)</f>
        <v>Turno B</v>
      </c>
      <c r="F714" s="85" t="str">
        <f>IF('Informe Kelly'!H707=$A$2,'Informe Kelly'!F707,"")</f>
        <v/>
      </c>
      <c r="G714" s="85">
        <f>IF('Informe Kelly'!H707=$A$3,'Informe Kelly'!F707,"")</f>
        <v>0.94837962962962974</v>
      </c>
      <c r="H714" s="85">
        <f>IF(C714=C712,0,IF(D714=D713,0,(HLOOKUP(C714,Ingreso!$AN$10:$AU$260,VLOOKUP(A714,Ingreso!$AL$11:$AM$260,2,FALSE)))/24))</f>
        <v>0</v>
      </c>
      <c r="I714" s="77">
        <f t="shared" ref="I714:I777" si="23">IF(C714=C712,0,IF(D714=D713,0,(VLOOKUP(E714,$C$2:$D$5,2,FALSE))))</f>
        <v>0</v>
      </c>
    </row>
    <row r="715" spans="1:9">
      <c r="A715" s="85" t="str">
        <f>VLOOKUP('Informe Kelly'!A708,Base!A:B,2,FALSE)</f>
        <v>13.701.209-K</v>
      </c>
      <c r="B715" s="85" t="str">
        <f>VLOOKUP('Informe Kelly'!A708,Base!A:G,7,FALSE)</f>
        <v>SANCHEZ TORRES MARCELINO JHONATTAN</v>
      </c>
      <c r="C715" s="91">
        <f>'Informe Kelly'!E708</f>
        <v>40649</v>
      </c>
      <c r="D715" s="96">
        <f t="shared" si="22"/>
        <v>368</v>
      </c>
      <c r="E715" s="85" t="str">
        <f>VLOOKUP(A715,Ingreso!K:P,6,FALSE)</f>
        <v>Turno B</v>
      </c>
      <c r="F715" s="85" t="str">
        <f>IF('Informe Kelly'!H708=$A$2,'Informe Kelly'!F708,"")</f>
        <v/>
      </c>
      <c r="G715" s="85">
        <f>IF('Informe Kelly'!H708=$A$3,'Informe Kelly'!F708,"")</f>
        <v>0.63481481481481483</v>
      </c>
      <c r="H715" s="85">
        <f>IF(C715=C713,0,IF(D715=D714,0,(HLOOKUP(C715,Ingreso!$AN$10:$AU$260,VLOOKUP(A715,Ingreso!$AL$11:$AM$260,2,FALSE)))/24))</f>
        <v>0</v>
      </c>
      <c r="I715" s="77">
        <f t="shared" si="23"/>
        <v>0.3125</v>
      </c>
    </row>
    <row r="716" spans="1:9">
      <c r="A716" s="85" t="str">
        <f>VLOOKUP('Informe Kelly'!A709,Base!A:B,2,FALSE)</f>
        <v>13.701.209-K</v>
      </c>
      <c r="B716" s="85" t="str">
        <f>VLOOKUP('Informe Kelly'!A709,Base!A:G,7,FALSE)</f>
        <v>SANCHEZ TORRES MARCELINO JHONATTAN</v>
      </c>
      <c r="C716" s="91">
        <f>'Informe Kelly'!E709</f>
        <v>40649</v>
      </c>
      <c r="D716" s="96">
        <f t="shared" si="22"/>
        <v>368</v>
      </c>
      <c r="E716" s="85" t="str">
        <f>VLOOKUP(A716,Ingreso!K:P,6,FALSE)</f>
        <v>Turno B</v>
      </c>
      <c r="F716" s="85">
        <f>IF('Informe Kelly'!H709=$A$2,'Informe Kelly'!F709,"")</f>
        <v>0.2946759259259259</v>
      </c>
      <c r="G716" s="85" t="str">
        <f>IF('Informe Kelly'!H709=$A$3,'Informe Kelly'!F709,"")</f>
        <v/>
      </c>
      <c r="H716" s="85">
        <f>IF(C716=C714,0,IF(D716=D715,0,(HLOOKUP(C716,Ingreso!$AN$10:$AU$260,VLOOKUP(A716,Ingreso!$AL$11:$AM$260,2,FALSE)))/24))</f>
        <v>0</v>
      </c>
      <c r="I716" s="77">
        <f t="shared" si="23"/>
        <v>0</v>
      </c>
    </row>
    <row r="717" spans="1:9">
      <c r="A717" s="85" t="str">
        <f>VLOOKUP('Informe Kelly'!A710,Base!A:B,2,FALSE)</f>
        <v>13.769.935-4</v>
      </c>
      <c r="B717" s="85" t="str">
        <f>VLOOKUP('Informe Kelly'!A710,Base!A:G,7,FALSE)</f>
        <v>LEDESMA ARRIAGADA GONZALO</v>
      </c>
      <c r="C717" s="91">
        <f>'Informe Kelly'!E710</f>
        <v>40646</v>
      </c>
      <c r="D717" s="96">
        <f t="shared" si="22"/>
        <v>369</v>
      </c>
      <c r="E717" s="85" t="e">
        <f>VLOOKUP(A717,Ingreso!K:P,6,FALSE)</f>
        <v>#N/A</v>
      </c>
      <c r="F717" s="85">
        <f>IF('Informe Kelly'!H710=$A$2,'Informe Kelly'!F710,"")</f>
        <v>0.36288194444444444</v>
      </c>
      <c r="G717" s="85" t="str">
        <f>IF('Informe Kelly'!H710=$A$3,'Informe Kelly'!F710,"")</f>
        <v/>
      </c>
      <c r="H717" s="85" t="e">
        <f>IF(C717=C715,0,IF(D717=D716,0,(HLOOKUP(C717,Ingreso!$AN$10:$AU$260,VLOOKUP(A717,Ingreso!$AL$11:$AM$260,2,FALSE)))/24))</f>
        <v>#N/A</v>
      </c>
      <c r="I717" s="77" t="e">
        <f t="shared" si="23"/>
        <v>#N/A</v>
      </c>
    </row>
    <row r="718" spans="1:9">
      <c r="A718" s="85" t="str">
        <f>VLOOKUP('Informe Kelly'!A711,Base!A:B,2,FALSE)</f>
        <v>13.769.935-4</v>
      </c>
      <c r="B718" s="85" t="str">
        <f>VLOOKUP('Informe Kelly'!A711,Base!A:G,7,FALSE)</f>
        <v>LEDESMA ARRIAGADA GONZALO</v>
      </c>
      <c r="C718" s="91">
        <f>'Informe Kelly'!E711</f>
        <v>40646</v>
      </c>
      <c r="D718" s="96">
        <f t="shared" si="22"/>
        <v>369</v>
      </c>
      <c r="E718" s="85" t="e">
        <f>VLOOKUP(A718,Ingreso!K:P,6,FALSE)</f>
        <v>#N/A</v>
      </c>
      <c r="F718" s="85" t="str">
        <f>IF('Informe Kelly'!H711=$A$2,'Informe Kelly'!F711,"")</f>
        <v/>
      </c>
      <c r="G718" s="85">
        <f>IF('Informe Kelly'!H711=$A$3,'Informe Kelly'!F711,"")</f>
        <v>0.87563657407407414</v>
      </c>
      <c r="H718" s="85">
        <f>IF(C718=C716,0,IF(D718=D717,0,(HLOOKUP(C718,Ingreso!$AN$10:$AU$260,VLOOKUP(A718,Ingreso!$AL$11:$AM$260,2,FALSE)))/24))</f>
        <v>0</v>
      </c>
      <c r="I718" s="77">
        <f t="shared" si="23"/>
        <v>0</v>
      </c>
    </row>
    <row r="719" spans="1:9">
      <c r="A719" s="85" t="str">
        <f>VLOOKUP('Informe Kelly'!A712,Base!A:B,2,FALSE)</f>
        <v>13.769.935-4</v>
      </c>
      <c r="B719" s="85" t="str">
        <f>VLOOKUP('Informe Kelly'!A712,Base!A:G,7,FALSE)</f>
        <v>LEDESMA ARRIAGADA GONZALO</v>
      </c>
      <c r="C719" s="91">
        <f>'Informe Kelly'!E712</f>
        <v>40647</v>
      </c>
      <c r="D719" s="96">
        <f t="shared" si="22"/>
        <v>370</v>
      </c>
      <c r="E719" s="85" t="e">
        <f>VLOOKUP(A719,Ingreso!K:P,6,FALSE)</f>
        <v>#N/A</v>
      </c>
      <c r="F719" s="85">
        <f>IF('Informe Kelly'!H712=$A$2,'Informe Kelly'!F712,"")</f>
        <v>0.35373842592592591</v>
      </c>
      <c r="G719" s="85" t="str">
        <f>IF('Informe Kelly'!H712=$A$3,'Informe Kelly'!F712,"")</f>
        <v/>
      </c>
      <c r="H719" s="85" t="e">
        <f>IF(C719=C717,0,IF(D719=D718,0,(HLOOKUP(C719,Ingreso!$AN$10:$AU$260,VLOOKUP(A719,Ingreso!$AL$11:$AM$260,2,FALSE)))/24))</f>
        <v>#N/A</v>
      </c>
      <c r="I719" s="77" t="e">
        <f t="shared" si="23"/>
        <v>#N/A</v>
      </c>
    </row>
    <row r="720" spans="1:9">
      <c r="A720" s="85" t="str">
        <f>VLOOKUP('Informe Kelly'!A713,Base!A:B,2,FALSE)</f>
        <v>13.769.935-4</v>
      </c>
      <c r="B720" s="85" t="str">
        <f>VLOOKUP('Informe Kelly'!A713,Base!A:G,7,FALSE)</f>
        <v>LEDESMA ARRIAGADA GONZALO</v>
      </c>
      <c r="C720" s="91">
        <f>'Informe Kelly'!E713</f>
        <v>40647</v>
      </c>
      <c r="D720" s="96">
        <f t="shared" si="22"/>
        <v>370</v>
      </c>
      <c r="E720" s="85" t="e">
        <f>VLOOKUP(A720,Ingreso!K:P,6,FALSE)</f>
        <v>#N/A</v>
      </c>
      <c r="F720" s="85" t="str">
        <f>IF('Informe Kelly'!H713=$A$2,'Informe Kelly'!F713,"")</f>
        <v/>
      </c>
      <c r="G720" s="85">
        <f>IF('Informe Kelly'!H713=$A$3,'Informe Kelly'!F713,"")</f>
        <v>0.78866898148148146</v>
      </c>
      <c r="H720" s="85">
        <f>IF(C720=C718,0,IF(D720=D719,0,(HLOOKUP(C720,Ingreso!$AN$10:$AU$260,VLOOKUP(A720,Ingreso!$AL$11:$AM$260,2,FALSE)))/24))</f>
        <v>0</v>
      </c>
      <c r="I720" s="77">
        <f t="shared" si="23"/>
        <v>0</v>
      </c>
    </row>
    <row r="721" spans="1:9">
      <c r="A721" s="85" t="str">
        <f>VLOOKUP('Informe Kelly'!A714,Base!A:B,2,FALSE)</f>
        <v>13.769.935-4</v>
      </c>
      <c r="B721" s="85" t="str">
        <f>VLOOKUP('Informe Kelly'!A714,Base!A:G,7,FALSE)</f>
        <v>LEDESMA ARRIAGADA GONZALO</v>
      </c>
      <c r="C721" s="91">
        <f>'Informe Kelly'!E714</f>
        <v>40648</v>
      </c>
      <c r="D721" s="96">
        <f t="shared" si="22"/>
        <v>371</v>
      </c>
      <c r="E721" s="85" t="e">
        <f>VLOOKUP(A721,Ingreso!K:P,6,FALSE)</f>
        <v>#N/A</v>
      </c>
      <c r="F721" s="85">
        <f>IF('Informe Kelly'!H714=$A$2,'Informe Kelly'!F714,"")</f>
        <v>0.3583796296296296</v>
      </c>
      <c r="G721" s="85" t="str">
        <f>IF('Informe Kelly'!H714=$A$3,'Informe Kelly'!F714,"")</f>
        <v/>
      </c>
      <c r="H721" s="85" t="e">
        <f>IF(C721=C719,0,IF(D721=D720,0,(HLOOKUP(C721,Ingreso!$AN$10:$AU$260,VLOOKUP(A721,Ingreso!$AL$11:$AM$260,2,FALSE)))/24))</f>
        <v>#N/A</v>
      </c>
      <c r="I721" s="77" t="e">
        <f t="shared" si="23"/>
        <v>#N/A</v>
      </c>
    </row>
    <row r="722" spans="1:9">
      <c r="A722" s="85" t="str">
        <f>VLOOKUP('Informe Kelly'!A715,Base!A:B,2,FALSE)</f>
        <v>13.769.935-4</v>
      </c>
      <c r="B722" s="85" t="str">
        <f>VLOOKUP('Informe Kelly'!A715,Base!A:G,7,FALSE)</f>
        <v>LEDESMA ARRIAGADA GONZALO</v>
      </c>
      <c r="C722" s="91">
        <f>'Informe Kelly'!E715</f>
        <v>40648</v>
      </c>
      <c r="D722" s="96">
        <f t="shared" si="22"/>
        <v>371</v>
      </c>
      <c r="E722" s="85" t="e">
        <f>VLOOKUP(A722,Ingreso!K:P,6,FALSE)</f>
        <v>#N/A</v>
      </c>
      <c r="F722" s="85" t="str">
        <f>IF('Informe Kelly'!H715=$A$2,'Informe Kelly'!F715,"")</f>
        <v/>
      </c>
      <c r="G722" s="85">
        <f>IF('Informe Kelly'!H715=$A$3,'Informe Kelly'!F715,"")</f>
        <v>0.72745370370370377</v>
      </c>
      <c r="H722" s="85">
        <f>IF(C722=C720,0,IF(D722=D721,0,(HLOOKUP(C722,Ingreso!$AN$10:$AU$260,VLOOKUP(A722,Ingreso!$AL$11:$AM$260,2,FALSE)))/24))</f>
        <v>0</v>
      </c>
      <c r="I722" s="77">
        <f t="shared" si="23"/>
        <v>0</v>
      </c>
    </row>
    <row r="723" spans="1:9">
      <c r="A723" s="85" t="str">
        <f>VLOOKUP('Informe Kelly'!A716,Base!A:B,2,FALSE)</f>
        <v>13.834.251-4</v>
      </c>
      <c r="B723" s="85" t="str">
        <f>VLOOKUP('Informe Kelly'!A716,Base!A:G,7,FALSE)</f>
        <v>MILLAN HERRERA MARIA ELIANA</v>
      </c>
      <c r="C723" s="91">
        <f>'Informe Kelly'!E716</f>
        <v>40644</v>
      </c>
      <c r="D723" s="96">
        <f t="shared" si="22"/>
        <v>372</v>
      </c>
      <c r="E723" s="85" t="str">
        <f>VLOOKUP(A723,Ingreso!K:P,6,FALSE)</f>
        <v>Turno A</v>
      </c>
      <c r="F723" s="85">
        <f>IF('Informe Kelly'!H716=$A$2,'Informe Kelly'!F716,"")</f>
        <v>0.32402777777777775</v>
      </c>
      <c r="G723" s="85" t="str">
        <f>IF('Informe Kelly'!H716=$A$3,'Informe Kelly'!F716,"")</f>
        <v/>
      </c>
      <c r="H723" s="85">
        <f>IF(C723=C721,0,IF(D723=D722,0,(HLOOKUP(C723,Ingreso!$AN$10:$AU$260,VLOOKUP(A723,Ingreso!$AL$11:$AM$260,2,FALSE)))/24))</f>
        <v>8.3333333333333329E-2</v>
      </c>
      <c r="I723" s="77">
        <f t="shared" si="23"/>
        <v>0.3125</v>
      </c>
    </row>
    <row r="724" spans="1:9">
      <c r="A724" s="85" t="str">
        <f>VLOOKUP('Informe Kelly'!A717,Base!A:B,2,FALSE)</f>
        <v>13.834.251-4</v>
      </c>
      <c r="B724" s="85" t="str">
        <f>VLOOKUP('Informe Kelly'!A717,Base!A:G,7,FALSE)</f>
        <v>MILLAN HERRERA MARIA ELIANA</v>
      </c>
      <c r="C724" s="91">
        <f>'Informe Kelly'!E717</f>
        <v>40644</v>
      </c>
      <c r="D724" s="96">
        <f t="shared" si="22"/>
        <v>372</v>
      </c>
      <c r="E724" s="85" t="str">
        <f>VLOOKUP(A724,Ingreso!K:P,6,FALSE)</f>
        <v>Turno A</v>
      </c>
      <c r="F724" s="85" t="str">
        <f>IF('Informe Kelly'!H717=$A$2,'Informe Kelly'!F717,"")</f>
        <v/>
      </c>
      <c r="G724" s="85">
        <f>IF('Informe Kelly'!H717=$A$3,'Informe Kelly'!F717,"")</f>
        <v>0.77585648148148145</v>
      </c>
      <c r="H724" s="85">
        <f>IF(C724=C722,0,IF(D724=D723,0,(HLOOKUP(C724,Ingreso!$AN$10:$AU$260,VLOOKUP(A724,Ingreso!$AL$11:$AM$260,2,FALSE)))/24))</f>
        <v>0</v>
      </c>
      <c r="I724" s="77">
        <f t="shared" si="23"/>
        <v>0</v>
      </c>
    </row>
    <row r="725" spans="1:9">
      <c r="A725" s="85" t="str">
        <f>VLOOKUP('Informe Kelly'!A718,Base!A:B,2,FALSE)</f>
        <v>13.834.251-4</v>
      </c>
      <c r="B725" s="85" t="str">
        <f>VLOOKUP('Informe Kelly'!A718,Base!A:G,7,FALSE)</f>
        <v>MILLAN HERRERA MARIA ELIANA</v>
      </c>
      <c r="C725" s="91">
        <f>'Informe Kelly'!E718</f>
        <v>40645</v>
      </c>
      <c r="D725" s="96">
        <f t="shared" si="22"/>
        <v>373</v>
      </c>
      <c r="E725" s="85" t="str">
        <f>VLOOKUP(A725,Ingreso!K:P,6,FALSE)</f>
        <v>Turno A</v>
      </c>
      <c r="F725" s="85">
        <f>IF('Informe Kelly'!H718=$A$2,'Informe Kelly'!F718,"")</f>
        <v>0.33493055555555556</v>
      </c>
      <c r="G725" s="85" t="str">
        <f>IF('Informe Kelly'!H718=$A$3,'Informe Kelly'!F718,"")</f>
        <v/>
      </c>
      <c r="H725" s="85">
        <f>IF(C725=C723,0,IF(D725=D724,0,(HLOOKUP(C725,Ingreso!$AN$10:$AU$260,VLOOKUP(A725,Ingreso!$AL$11:$AM$260,2,FALSE)))/24))</f>
        <v>8.3333333333333329E-2</v>
      </c>
      <c r="I725" s="77">
        <f t="shared" si="23"/>
        <v>0.3125</v>
      </c>
    </row>
    <row r="726" spans="1:9">
      <c r="A726" s="85" t="str">
        <f>VLOOKUP('Informe Kelly'!A719,Base!A:B,2,FALSE)</f>
        <v>13.834.251-4</v>
      </c>
      <c r="B726" s="85" t="str">
        <f>VLOOKUP('Informe Kelly'!A719,Base!A:G,7,FALSE)</f>
        <v>MILLAN HERRERA MARIA ELIANA</v>
      </c>
      <c r="C726" s="91">
        <f>'Informe Kelly'!E719</f>
        <v>40645</v>
      </c>
      <c r="D726" s="96">
        <f t="shared" si="22"/>
        <v>373</v>
      </c>
      <c r="E726" s="85" t="str">
        <f>VLOOKUP(A726,Ingreso!K:P,6,FALSE)</f>
        <v>Turno A</v>
      </c>
      <c r="F726" s="85" t="str">
        <f>IF('Informe Kelly'!H719=$A$2,'Informe Kelly'!F719,"")</f>
        <v/>
      </c>
      <c r="G726" s="85">
        <f>IF('Informe Kelly'!H719=$A$3,'Informe Kelly'!F719,"")</f>
        <v>0.78962962962962957</v>
      </c>
      <c r="H726" s="85">
        <f>IF(C726=C724,0,IF(D726=D725,0,(HLOOKUP(C726,Ingreso!$AN$10:$AU$260,VLOOKUP(A726,Ingreso!$AL$11:$AM$260,2,FALSE)))/24))</f>
        <v>0</v>
      </c>
      <c r="I726" s="77">
        <f t="shared" si="23"/>
        <v>0</v>
      </c>
    </row>
    <row r="727" spans="1:9">
      <c r="A727" s="85" t="str">
        <f>VLOOKUP('Informe Kelly'!A720,Base!A:B,2,FALSE)</f>
        <v>13.834.251-4</v>
      </c>
      <c r="B727" s="85" t="str">
        <f>VLOOKUP('Informe Kelly'!A720,Base!A:G,7,FALSE)</f>
        <v>MILLAN HERRERA MARIA ELIANA</v>
      </c>
      <c r="C727" s="91">
        <f>'Informe Kelly'!E720</f>
        <v>40646</v>
      </c>
      <c r="D727" s="96">
        <f t="shared" si="22"/>
        <v>374</v>
      </c>
      <c r="E727" s="85" t="str">
        <f>VLOOKUP(A727,Ingreso!K:P,6,FALSE)</f>
        <v>Turno A</v>
      </c>
      <c r="F727" s="85">
        <f>IF('Informe Kelly'!H720=$A$2,'Informe Kelly'!F720,"")</f>
        <v>0.33402777777777781</v>
      </c>
      <c r="G727" s="85" t="str">
        <f>IF('Informe Kelly'!H720=$A$3,'Informe Kelly'!F720,"")</f>
        <v/>
      </c>
      <c r="H727" s="85">
        <f>IF(C727=C725,0,IF(D727=D726,0,(HLOOKUP(C727,Ingreso!$AN$10:$AU$260,VLOOKUP(A727,Ingreso!$AL$11:$AM$260,2,FALSE)))/24))</f>
        <v>8.3333333333333329E-2</v>
      </c>
      <c r="I727" s="77">
        <f t="shared" si="23"/>
        <v>0.3125</v>
      </c>
    </row>
    <row r="728" spans="1:9">
      <c r="A728" s="85" t="str">
        <f>VLOOKUP('Informe Kelly'!A721,Base!A:B,2,FALSE)</f>
        <v>13.834.251-4</v>
      </c>
      <c r="B728" s="85" t="str">
        <f>VLOOKUP('Informe Kelly'!A721,Base!A:G,7,FALSE)</f>
        <v>MILLAN HERRERA MARIA ELIANA</v>
      </c>
      <c r="C728" s="91">
        <f>'Informe Kelly'!E721</f>
        <v>40646</v>
      </c>
      <c r="D728" s="96">
        <f t="shared" si="22"/>
        <v>374</v>
      </c>
      <c r="E728" s="85" t="str">
        <f>VLOOKUP(A728,Ingreso!K:P,6,FALSE)</f>
        <v>Turno A</v>
      </c>
      <c r="F728" s="85" t="str">
        <f>IF('Informe Kelly'!H721=$A$2,'Informe Kelly'!F721,"")</f>
        <v/>
      </c>
      <c r="G728" s="85">
        <f>IF('Informe Kelly'!H721=$A$3,'Informe Kelly'!F721,"")</f>
        <v>0.78012731481481479</v>
      </c>
      <c r="H728" s="85">
        <f>IF(C728=C726,0,IF(D728=D727,0,(HLOOKUP(C728,Ingreso!$AN$10:$AU$260,VLOOKUP(A728,Ingreso!$AL$11:$AM$260,2,FALSE)))/24))</f>
        <v>0</v>
      </c>
      <c r="I728" s="77">
        <f t="shared" si="23"/>
        <v>0</v>
      </c>
    </row>
    <row r="729" spans="1:9">
      <c r="A729" s="85" t="str">
        <f>VLOOKUP('Informe Kelly'!A722,Base!A:B,2,FALSE)</f>
        <v>13.834.251-4</v>
      </c>
      <c r="B729" s="85" t="str">
        <f>VLOOKUP('Informe Kelly'!A722,Base!A:G,7,FALSE)</f>
        <v>MILLAN HERRERA MARIA ELIANA</v>
      </c>
      <c r="C729" s="91">
        <f>'Informe Kelly'!E722</f>
        <v>40647</v>
      </c>
      <c r="D729" s="96">
        <f t="shared" si="22"/>
        <v>375</v>
      </c>
      <c r="E729" s="85" t="str">
        <f>VLOOKUP(A729,Ingreso!K:P,6,FALSE)</f>
        <v>Turno A</v>
      </c>
      <c r="F729" s="85">
        <f>IF('Informe Kelly'!H722=$A$2,'Informe Kelly'!F722,"")</f>
        <v>0.33357638888888891</v>
      </c>
      <c r="G729" s="85" t="str">
        <f>IF('Informe Kelly'!H722=$A$3,'Informe Kelly'!F722,"")</f>
        <v/>
      </c>
      <c r="H729" s="85">
        <f>IF(C729=C727,0,IF(D729=D728,0,(HLOOKUP(C729,Ingreso!$AN$10:$AU$260,VLOOKUP(A729,Ingreso!$AL$11:$AM$260,2,FALSE)))/24))</f>
        <v>8.3333333333333329E-2</v>
      </c>
      <c r="I729" s="77">
        <f t="shared" si="23"/>
        <v>0.3125</v>
      </c>
    </row>
    <row r="730" spans="1:9">
      <c r="A730" s="85" t="str">
        <f>VLOOKUP('Informe Kelly'!A723,Base!A:B,2,FALSE)</f>
        <v>13.834.251-4</v>
      </c>
      <c r="B730" s="85" t="str">
        <f>VLOOKUP('Informe Kelly'!A723,Base!A:G,7,FALSE)</f>
        <v>MILLAN HERRERA MARIA ELIANA</v>
      </c>
      <c r="C730" s="91">
        <f>'Informe Kelly'!E723</f>
        <v>40647</v>
      </c>
      <c r="D730" s="96">
        <f t="shared" si="22"/>
        <v>375</v>
      </c>
      <c r="E730" s="85" t="str">
        <f>VLOOKUP(A730,Ingreso!K:P,6,FALSE)</f>
        <v>Turno A</v>
      </c>
      <c r="F730" s="85" t="str">
        <f>IF('Informe Kelly'!H723=$A$2,'Informe Kelly'!F723,"")</f>
        <v/>
      </c>
      <c r="G730" s="85">
        <f>IF('Informe Kelly'!H723=$A$3,'Informe Kelly'!F723,"")</f>
        <v>0.78521990740740744</v>
      </c>
      <c r="H730" s="85">
        <f>IF(C730=C728,0,IF(D730=D729,0,(HLOOKUP(C730,Ingreso!$AN$10:$AU$260,VLOOKUP(A730,Ingreso!$AL$11:$AM$260,2,FALSE)))/24))</f>
        <v>0</v>
      </c>
      <c r="I730" s="77">
        <f t="shared" si="23"/>
        <v>0</v>
      </c>
    </row>
    <row r="731" spans="1:9">
      <c r="A731" s="85" t="str">
        <f>VLOOKUP('Informe Kelly'!A724,Base!A:B,2,FALSE)</f>
        <v>13.834.251-4</v>
      </c>
      <c r="B731" s="85" t="str">
        <f>VLOOKUP('Informe Kelly'!A724,Base!A:G,7,FALSE)</f>
        <v>MILLAN HERRERA MARIA ELIANA</v>
      </c>
      <c r="C731" s="91">
        <f>'Informe Kelly'!E724</f>
        <v>40648</v>
      </c>
      <c r="D731" s="96">
        <f t="shared" si="22"/>
        <v>376</v>
      </c>
      <c r="E731" s="85" t="str">
        <f>VLOOKUP(A731,Ingreso!K:P,6,FALSE)</f>
        <v>Turno A</v>
      </c>
      <c r="F731" s="85" t="str">
        <f>IF('Informe Kelly'!H724=$A$2,'Informe Kelly'!F724,"")</f>
        <v/>
      </c>
      <c r="G731" s="85">
        <f>IF('Informe Kelly'!H724=$A$3,'Informe Kelly'!F724,"")</f>
        <v>0.75075231481481486</v>
      </c>
      <c r="H731" s="85">
        <f>IF(C731=C729,0,IF(D731=D730,0,(HLOOKUP(C731,Ingreso!$AN$10:$AU$260,VLOOKUP(A731,Ingreso!$AL$11:$AM$260,2,FALSE)))/24))</f>
        <v>8.3333333333333329E-2</v>
      </c>
      <c r="I731" s="77">
        <f t="shared" si="23"/>
        <v>0.3125</v>
      </c>
    </row>
    <row r="732" spans="1:9">
      <c r="A732" s="85" t="str">
        <f>VLOOKUP('Informe Kelly'!A725,Base!A:B,2,FALSE)</f>
        <v>13.834.251-4</v>
      </c>
      <c r="B732" s="85" t="str">
        <f>VLOOKUP('Informe Kelly'!A725,Base!A:G,7,FALSE)</f>
        <v>MILLAN HERRERA MARIA ELIANA</v>
      </c>
      <c r="C732" s="91">
        <f>'Informe Kelly'!E725</f>
        <v>40648</v>
      </c>
      <c r="D732" s="96">
        <f t="shared" si="22"/>
        <v>376</v>
      </c>
      <c r="E732" s="85" t="str">
        <f>VLOOKUP(A732,Ingreso!K:P,6,FALSE)</f>
        <v>Turno A</v>
      </c>
      <c r="F732" s="85">
        <f>IF('Informe Kelly'!H725=$A$2,'Informe Kelly'!F725,"")</f>
        <v>0.33604166666666663</v>
      </c>
      <c r="G732" s="85" t="str">
        <f>IF('Informe Kelly'!H725=$A$3,'Informe Kelly'!F725,"")</f>
        <v/>
      </c>
      <c r="H732" s="85">
        <f>IF(C732=C730,0,IF(D732=D731,0,(HLOOKUP(C732,Ingreso!$AN$10:$AU$260,VLOOKUP(A732,Ingreso!$AL$11:$AM$260,2,FALSE)))/24))</f>
        <v>0</v>
      </c>
      <c r="I732" s="77">
        <f t="shared" si="23"/>
        <v>0</v>
      </c>
    </row>
    <row r="733" spans="1:9">
      <c r="A733" s="85" t="str">
        <f>VLOOKUP('Informe Kelly'!A726,Base!A:B,2,FALSE)</f>
        <v>13.834.251-4</v>
      </c>
      <c r="B733" s="85" t="str">
        <f>VLOOKUP('Informe Kelly'!A726,Base!A:G,7,FALSE)</f>
        <v>MILLAN HERRERA MARIA ELIANA</v>
      </c>
      <c r="C733" s="91">
        <f>'Informe Kelly'!E726</f>
        <v>40649</v>
      </c>
      <c r="D733" s="96">
        <f t="shared" si="22"/>
        <v>377</v>
      </c>
      <c r="E733" s="85" t="str">
        <f>VLOOKUP(A733,Ingreso!K:P,6,FALSE)</f>
        <v>Turno A</v>
      </c>
      <c r="F733" s="85">
        <f>IF('Informe Kelly'!H726=$A$2,'Informe Kelly'!F726,"")</f>
        <v>0.29982638888888891</v>
      </c>
      <c r="G733" s="85" t="str">
        <f>IF('Informe Kelly'!H726=$A$3,'Informe Kelly'!F726,"")</f>
        <v/>
      </c>
      <c r="H733" s="85">
        <f>IF(C733=C731,0,IF(D733=D732,0,(HLOOKUP(C733,Ingreso!$AN$10:$AU$260,VLOOKUP(A733,Ingreso!$AL$11:$AM$260,2,FALSE)))/24))</f>
        <v>0</v>
      </c>
      <c r="I733" s="77">
        <f t="shared" si="23"/>
        <v>0.3125</v>
      </c>
    </row>
    <row r="734" spans="1:9">
      <c r="A734" s="85" t="str">
        <f>VLOOKUP('Informe Kelly'!A727,Base!A:B,2,FALSE)</f>
        <v>13.834.251-4</v>
      </c>
      <c r="B734" s="85" t="str">
        <f>VLOOKUP('Informe Kelly'!A727,Base!A:G,7,FALSE)</f>
        <v>MILLAN HERRERA MARIA ELIANA</v>
      </c>
      <c r="C734" s="91">
        <f>'Informe Kelly'!E727</f>
        <v>40649</v>
      </c>
      <c r="D734" s="96">
        <f t="shared" si="22"/>
        <v>377</v>
      </c>
      <c r="E734" s="85" t="str">
        <f>VLOOKUP(A734,Ingreso!K:P,6,FALSE)</f>
        <v>Turno A</v>
      </c>
      <c r="F734" s="85" t="str">
        <f>IF('Informe Kelly'!H727=$A$2,'Informe Kelly'!F727,"")</f>
        <v/>
      </c>
      <c r="G734" s="85">
        <f>IF('Informe Kelly'!H727=$A$3,'Informe Kelly'!F727,"")</f>
        <v>0.63504629629629628</v>
      </c>
      <c r="H734" s="85">
        <f>IF(C734=C732,0,IF(D734=D733,0,(HLOOKUP(C734,Ingreso!$AN$10:$AU$260,VLOOKUP(A734,Ingreso!$AL$11:$AM$260,2,FALSE)))/24))</f>
        <v>0</v>
      </c>
      <c r="I734" s="77">
        <f t="shared" si="23"/>
        <v>0</v>
      </c>
    </row>
    <row r="735" spans="1:9">
      <c r="A735" s="85" t="str">
        <f>VLOOKUP('Informe Kelly'!A728,Base!A:B,2,FALSE)</f>
        <v>13.899.407-4</v>
      </c>
      <c r="B735" s="85" t="str">
        <f>VLOOKUP('Informe Kelly'!A728,Base!A:G,7,FALSE)</f>
        <v>BUSTAMANTE GONZALEZ MAURICIO ANDRES</v>
      </c>
      <c r="C735" s="91">
        <f>'Informe Kelly'!E728</f>
        <v>40644</v>
      </c>
      <c r="D735" s="96">
        <f t="shared" si="22"/>
        <v>378</v>
      </c>
      <c r="E735" s="85" t="str">
        <f>VLOOKUP(A735,Ingreso!K:P,6,FALSE)</f>
        <v>Turno C</v>
      </c>
      <c r="F735" s="85">
        <f>IF('Informe Kelly'!H728=$A$2,'Informe Kelly'!F728,"")</f>
        <v>1.0763888888888889E-3</v>
      </c>
      <c r="G735" s="85" t="str">
        <f>IF('Informe Kelly'!H728=$A$3,'Informe Kelly'!F728,"")</f>
        <v/>
      </c>
      <c r="H735" s="85">
        <f>IF(C735=C733,0,IF(D735=D734,0,(HLOOKUP(C735,Ingreso!$AN$10:$AU$260,VLOOKUP(A735,Ingreso!$AL$11:$AM$260,2,FALSE)))/24))</f>
        <v>0.3125</v>
      </c>
      <c r="I735" s="77">
        <f t="shared" si="23"/>
        <v>0.375</v>
      </c>
    </row>
    <row r="736" spans="1:9">
      <c r="A736" s="85" t="str">
        <f>VLOOKUP('Informe Kelly'!A729,Base!A:B,2,FALSE)</f>
        <v>13.899.407-4</v>
      </c>
      <c r="B736" s="85" t="str">
        <f>VLOOKUP('Informe Kelly'!A729,Base!A:G,7,FALSE)</f>
        <v>BUSTAMANTE GONZALEZ MAURICIO ANDRES</v>
      </c>
      <c r="C736" s="91">
        <f>'Informe Kelly'!E729</f>
        <v>40644</v>
      </c>
      <c r="D736" s="96">
        <f t="shared" si="22"/>
        <v>378</v>
      </c>
      <c r="E736" s="85" t="str">
        <f>VLOOKUP(A736,Ingreso!K:P,6,FALSE)</f>
        <v>Turno C</v>
      </c>
      <c r="F736" s="85" t="str">
        <f>IF('Informe Kelly'!H729=$A$2,'Informe Kelly'!F729,"")</f>
        <v/>
      </c>
      <c r="G736" s="85">
        <f>IF('Informe Kelly'!H729=$A$3,'Informe Kelly'!F729,"")</f>
        <v>0.31135416666666665</v>
      </c>
      <c r="H736" s="85">
        <f>IF(C736=C734,0,IF(D736=D735,0,(HLOOKUP(C736,Ingreso!$AN$10:$AU$260,VLOOKUP(A736,Ingreso!$AL$11:$AM$260,2,FALSE)))/24))</f>
        <v>0</v>
      </c>
      <c r="I736" s="77">
        <f t="shared" si="23"/>
        <v>0</v>
      </c>
    </row>
    <row r="737" spans="1:9">
      <c r="A737" s="85" t="str">
        <f>VLOOKUP('Informe Kelly'!A730,Base!A:B,2,FALSE)</f>
        <v>13.899.407-4</v>
      </c>
      <c r="B737" s="85" t="str">
        <f>VLOOKUP('Informe Kelly'!A730,Base!A:G,7,FALSE)</f>
        <v>BUSTAMANTE GONZALEZ MAURICIO ANDRES</v>
      </c>
      <c r="C737" s="91">
        <f>'Informe Kelly'!E730</f>
        <v>40644</v>
      </c>
      <c r="D737" s="96">
        <f t="shared" si="22"/>
        <v>379</v>
      </c>
      <c r="E737" s="85" t="str">
        <f>VLOOKUP(A737,Ingreso!K:P,6,FALSE)</f>
        <v>Turno C</v>
      </c>
      <c r="F737" s="85">
        <f>IF('Informe Kelly'!H730=$A$2,'Informe Kelly'!F730,"")</f>
        <v>0.92151620370370368</v>
      </c>
      <c r="G737" s="85" t="str">
        <f>IF('Informe Kelly'!H730=$A$3,'Informe Kelly'!F730,"")</f>
        <v/>
      </c>
      <c r="H737" s="85">
        <f>IF(C737=C735,0,IF(D737=D736,0,(HLOOKUP(C737,Ingreso!$AN$10:$AU$260,VLOOKUP(A737,Ingreso!$AL$11:$AM$260,2,FALSE)))/24))</f>
        <v>0</v>
      </c>
      <c r="I737" s="77">
        <f t="shared" si="23"/>
        <v>0</v>
      </c>
    </row>
    <row r="738" spans="1:9">
      <c r="A738" s="85" t="str">
        <f>VLOOKUP('Informe Kelly'!A731,Base!A:B,2,FALSE)</f>
        <v>13.899.407-4</v>
      </c>
      <c r="B738" s="85" t="str">
        <f>VLOOKUP('Informe Kelly'!A731,Base!A:G,7,FALSE)</f>
        <v>BUSTAMANTE GONZALEZ MAURICIO ANDRES</v>
      </c>
      <c r="C738" s="91">
        <f>'Informe Kelly'!E731</f>
        <v>40645</v>
      </c>
      <c r="D738" s="96">
        <f t="shared" si="22"/>
        <v>380</v>
      </c>
      <c r="E738" s="85" t="str">
        <f>VLOOKUP(A738,Ingreso!K:P,6,FALSE)</f>
        <v>Turno C</v>
      </c>
      <c r="F738" s="85" t="str">
        <f>IF('Informe Kelly'!H731=$A$2,'Informe Kelly'!F731,"")</f>
        <v/>
      </c>
      <c r="G738" s="85">
        <f>IF('Informe Kelly'!H731=$A$3,'Informe Kelly'!F731,"")</f>
        <v>0.31472222222222224</v>
      </c>
      <c r="H738" s="85">
        <f>IF(C738=C736,0,IF(D738=D737,0,(HLOOKUP(C738,Ingreso!$AN$10:$AU$260,VLOOKUP(A738,Ingreso!$AL$11:$AM$260,2,FALSE)))/24))</f>
        <v>0</v>
      </c>
      <c r="I738" s="77">
        <f t="shared" si="23"/>
        <v>0.375</v>
      </c>
    </row>
    <row r="739" spans="1:9">
      <c r="A739" s="85" t="str">
        <f>VLOOKUP('Informe Kelly'!A732,Base!A:B,2,FALSE)</f>
        <v>13.899.407-4</v>
      </c>
      <c r="B739" s="85" t="str">
        <f>VLOOKUP('Informe Kelly'!A732,Base!A:G,7,FALSE)</f>
        <v>BUSTAMANTE GONZALEZ MAURICIO ANDRES</v>
      </c>
      <c r="C739" s="91">
        <f>'Informe Kelly'!E732</f>
        <v>40645</v>
      </c>
      <c r="D739" s="96">
        <f t="shared" si="22"/>
        <v>380</v>
      </c>
      <c r="E739" s="85" t="str">
        <f>VLOOKUP(A739,Ingreso!K:P,6,FALSE)</f>
        <v>Turno C</v>
      </c>
      <c r="F739" s="85">
        <f>IF('Informe Kelly'!H732=$A$2,'Informe Kelly'!F732,"")</f>
        <v>0.91983796296296294</v>
      </c>
      <c r="G739" s="85" t="str">
        <f>IF('Informe Kelly'!H732=$A$3,'Informe Kelly'!F732,"")</f>
        <v/>
      </c>
      <c r="H739" s="85">
        <f>IF(C739=C737,0,IF(D739=D738,0,(HLOOKUP(C739,Ingreso!$AN$10:$AU$260,VLOOKUP(A739,Ingreso!$AL$11:$AM$260,2,FALSE)))/24))</f>
        <v>0</v>
      </c>
      <c r="I739" s="77">
        <f t="shared" si="23"/>
        <v>0</v>
      </c>
    </row>
    <row r="740" spans="1:9">
      <c r="A740" s="85" t="str">
        <f>VLOOKUP('Informe Kelly'!A733,Base!A:B,2,FALSE)</f>
        <v>13.899.407-4</v>
      </c>
      <c r="B740" s="85" t="str">
        <f>VLOOKUP('Informe Kelly'!A733,Base!A:G,7,FALSE)</f>
        <v>BUSTAMANTE GONZALEZ MAURICIO ANDRES</v>
      </c>
      <c r="C740" s="91">
        <f>'Informe Kelly'!E733</f>
        <v>40646</v>
      </c>
      <c r="D740" s="96">
        <f t="shared" si="22"/>
        <v>381</v>
      </c>
      <c r="E740" s="85" t="str">
        <f>VLOOKUP(A740,Ingreso!K:P,6,FALSE)</f>
        <v>Turno C</v>
      </c>
      <c r="F740" s="85" t="str">
        <f>IF('Informe Kelly'!H733=$A$2,'Informe Kelly'!F733,"")</f>
        <v/>
      </c>
      <c r="G740" s="85">
        <f>IF('Informe Kelly'!H733=$A$3,'Informe Kelly'!F733,"")</f>
        <v>0.31684027777777779</v>
      </c>
      <c r="H740" s="85">
        <f>IF(C740=C738,0,IF(D740=D739,0,(HLOOKUP(C740,Ingreso!$AN$10:$AU$260,VLOOKUP(A740,Ingreso!$AL$11:$AM$260,2,FALSE)))/24))</f>
        <v>0</v>
      </c>
      <c r="I740" s="77">
        <f t="shared" si="23"/>
        <v>0.375</v>
      </c>
    </row>
    <row r="741" spans="1:9">
      <c r="A741" s="85" t="str">
        <f>VLOOKUP('Informe Kelly'!A734,Base!A:B,2,FALSE)</f>
        <v>13.899.407-4</v>
      </c>
      <c r="B741" s="85" t="str">
        <f>VLOOKUP('Informe Kelly'!A734,Base!A:G,7,FALSE)</f>
        <v>BUSTAMANTE GONZALEZ MAURICIO ANDRES</v>
      </c>
      <c r="C741" s="91">
        <f>'Informe Kelly'!E734</f>
        <v>40646</v>
      </c>
      <c r="D741" s="96">
        <f t="shared" si="22"/>
        <v>381</v>
      </c>
      <c r="E741" s="85" t="str">
        <f>VLOOKUP(A741,Ingreso!K:P,6,FALSE)</f>
        <v>Turno C</v>
      </c>
      <c r="F741" s="85">
        <f>IF('Informe Kelly'!H734=$A$2,'Informe Kelly'!F734,"")</f>
        <v>0.9215740740740741</v>
      </c>
      <c r="G741" s="85" t="str">
        <f>IF('Informe Kelly'!H734=$A$3,'Informe Kelly'!F734,"")</f>
        <v/>
      </c>
      <c r="H741" s="85">
        <f>IF(C741=C739,0,IF(D741=D740,0,(HLOOKUP(C741,Ingreso!$AN$10:$AU$260,VLOOKUP(A741,Ingreso!$AL$11:$AM$260,2,FALSE)))/24))</f>
        <v>0</v>
      </c>
      <c r="I741" s="77">
        <f t="shared" si="23"/>
        <v>0</v>
      </c>
    </row>
    <row r="742" spans="1:9">
      <c r="A742" s="85" t="str">
        <f>VLOOKUP('Informe Kelly'!A735,Base!A:B,2,FALSE)</f>
        <v>13.899.407-4</v>
      </c>
      <c r="B742" s="85" t="str">
        <f>VLOOKUP('Informe Kelly'!A735,Base!A:G,7,FALSE)</f>
        <v>BUSTAMANTE GONZALEZ MAURICIO ANDRES</v>
      </c>
      <c r="C742" s="91">
        <f>'Informe Kelly'!E735</f>
        <v>40647</v>
      </c>
      <c r="D742" s="96">
        <f t="shared" si="22"/>
        <v>382</v>
      </c>
      <c r="E742" s="85" t="str">
        <f>VLOOKUP(A742,Ingreso!K:P,6,FALSE)</f>
        <v>Turno C</v>
      </c>
      <c r="F742" s="85" t="str">
        <f>IF('Informe Kelly'!H735=$A$2,'Informe Kelly'!F735,"")</f>
        <v/>
      </c>
      <c r="G742" s="85">
        <f>IF('Informe Kelly'!H735=$A$3,'Informe Kelly'!F735,"")</f>
        <v>0.32067129629629632</v>
      </c>
      <c r="H742" s="85">
        <f>IF(C742=C740,0,IF(D742=D741,0,(HLOOKUP(C742,Ingreso!$AN$10:$AU$260,VLOOKUP(A742,Ingreso!$AL$11:$AM$260,2,FALSE)))/24))</f>
        <v>0</v>
      </c>
      <c r="I742" s="77">
        <f t="shared" si="23"/>
        <v>0.375</v>
      </c>
    </row>
    <row r="743" spans="1:9">
      <c r="A743" s="85" t="str">
        <f>VLOOKUP('Informe Kelly'!A736,Base!A:B,2,FALSE)</f>
        <v>13.899.407-4</v>
      </c>
      <c r="B743" s="85" t="str">
        <f>VLOOKUP('Informe Kelly'!A736,Base!A:G,7,FALSE)</f>
        <v>BUSTAMANTE GONZALEZ MAURICIO ANDRES</v>
      </c>
      <c r="C743" s="91">
        <f>'Informe Kelly'!E736</f>
        <v>40647</v>
      </c>
      <c r="D743" s="96">
        <f t="shared" si="22"/>
        <v>382</v>
      </c>
      <c r="E743" s="85" t="str">
        <f>VLOOKUP(A743,Ingreso!K:P,6,FALSE)</f>
        <v>Turno C</v>
      </c>
      <c r="F743" s="85">
        <f>IF('Informe Kelly'!H736=$A$2,'Informe Kelly'!F736,"")</f>
        <v>0.92206018518518518</v>
      </c>
      <c r="G743" s="85" t="str">
        <f>IF('Informe Kelly'!H736=$A$3,'Informe Kelly'!F736,"")</f>
        <v/>
      </c>
      <c r="H743" s="85">
        <f>IF(C743=C741,0,IF(D743=D742,0,(HLOOKUP(C743,Ingreso!$AN$10:$AU$260,VLOOKUP(A743,Ingreso!$AL$11:$AM$260,2,FALSE)))/24))</f>
        <v>0</v>
      </c>
      <c r="I743" s="77">
        <f t="shared" si="23"/>
        <v>0</v>
      </c>
    </row>
    <row r="744" spans="1:9">
      <c r="A744" s="85" t="str">
        <f>VLOOKUP('Informe Kelly'!A737,Base!A:B,2,FALSE)</f>
        <v>13.899.407-4</v>
      </c>
      <c r="B744" s="85" t="str">
        <f>VLOOKUP('Informe Kelly'!A737,Base!A:G,7,FALSE)</f>
        <v>BUSTAMANTE GONZALEZ MAURICIO ANDRES</v>
      </c>
      <c r="C744" s="91">
        <f>'Informe Kelly'!E737</f>
        <v>40648</v>
      </c>
      <c r="D744" s="96">
        <f t="shared" si="22"/>
        <v>383</v>
      </c>
      <c r="E744" s="85" t="str">
        <f>VLOOKUP(A744,Ingreso!K:P,6,FALSE)</f>
        <v>Turno C</v>
      </c>
      <c r="F744" s="85">
        <f>IF('Informe Kelly'!H737=$A$2,'Informe Kelly'!F737,"")</f>
        <v>0.92115740740740737</v>
      </c>
      <c r="G744" s="85" t="str">
        <f>IF('Informe Kelly'!H737=$A$3,'Informe Kelly'!F737,"")</f>
        <v/>
      </c>
      <c r="H744" s="85">
        <f>IF(C744=C742,0,IF(D744=D743,0,(HLOOKUP(C744,Ingreso!$AN$10:$AU$260,VLOOKUP(A744,Ingreso!$AL$11:$AM$260,2,FALSE)))/24))</f>
        <v>0</v>
      </c>
      <c r="I744" s="77">
        <f t="shared" si="23"/>
        <v>0.375</v>
      </c>
    </row>
    <row r="745" spans="1:9">
      <c r="A745" s="85" t="str">
        <f>VLOOKUP('Informe Kelly'!A738,Base!A:B,2,FALSE)</f>
        <v>13.899.407-4</v>
      </c>
      <c r="B745" s="85" t="str">
        <f>VLOOKUP('Informe Kelly'!A738,Base!A:G,7,FALSE)</f>
        <v>BUSTAMANTE GONZALEZ MAURICIO ANDRES</v>
      </c>
      <c r="C745" s="91">
        <f>'Informe Kelly'!E738</f>
        <v>40648</v>
      </c>
      <c r="D745" s="96">
        <f t="shared" si="22"/>
        <v>383</v>
      </c>
      <c r="E745" s="85" t="str">
        <f>VLOOKUP(A745,Ingreso!K:P,6,FALSE)</f>
        <v>Turno C</v>
      </c>
      <c r="F745" s="85" t="str">
        <f>IF('Informe Kelly'!H738=$A$2,'Informe Kelly'!F738,"")</f>
        <v/>
      </c>
      <c r="G745" s="85">
        <f>IF('Informe Kelly'!H738=$A$3,'Informe Kelly'!F738,"")</f>
        <v>0.31702546296296297</v>
      </c>
      <c r="H745" s="85">
        <f>IF(C745=C743,0,IF(D745=D744,0,(HLOOKUP(C745,Ingreso!$AN$10:$AU$260,VLOOKUP(A745,Ingreso!$AL$11:$AM$260,2,FALSE)))/24))</f>
        <v>0</v>
      </c>
      <c r="I745" s="77">
        <f t="shared" si="23"/>
        <v>0</v>
      </c>
    </row>
    <row r="746" spans="1:9">
      <c r="A746" s="85" t="str">
        <f>VLOOKUP('Informe Kelly'!A739,Base!A:B,2,FALSE)</f>
        <v>13.899.407-4</v>
      </c>
      <c r="B746" s="85" t="str">
        <f>VLOOKUP('Informe Kelly'!A739,Base!A:G,7,FALSE)</f>
        <v>BUSTAMANTE GONZALEZ MAURICIO ANDRES</v>
      </c>
      <c r="C746" s="91">
        <f>'Informe Kelly'!E739</f>
        <v>40649</v>
      </c>
      <c r="D746" s="96">
        <f t="shared" si="22"/>
        <v>384</v>
      </c>
      <c r="E746" s="85" t="str">
        <f>VLOOKUP(A746,Ingreso!K:P,6,FALSE)</f>
        <v>Turno C</v>
      </c>
      <c r="F746" s="85" t="str">
        <f>IF('Informe Kelly'!H739=$A$2,'Informe Kelly'!F739,"")</f>
        <v/>
      </c>
      <c r="G746" s="85">
        <f>IF('Informe Kelly'!H739=$A$3,'Informe Kelly'!F739,"")</f>
        <v>0.32406249999999998</v>
      </c>
      <c r="H746" s="85">
        <f>IF(C746=C744,0,IF(D746=D745,0,(HLOOKUP(C746,Ingreso!$AN$10:$AU$260,VLOOKUP(A746,Ingreso!$AL$11:$AM$260,2,FALSE)))/24))</f>
        <v>0</v>
      </c>
      <c r="I746" s="77">
        <f t="shared" si="23"/>
        <v>0.375</v>
      </c>
    </row>
    <row r="747" spans="1:9">
      <c r="A747" s="85" t="str">
        <f>VLOOKUP('Informe Kelly'!A740,Base!A:B,2,FALSE)</f>
        <v>14.005.587-5</v>
      </c>
      <c r="B747" s="85" t="str">
        <f>VLOOKUP('Informe Kelly'!A740,Base!A:G,7,FALSE)</f>
        <v>RODRIGUEZ TORO GERARDO ALBERTO</v>
      </c>
      <c r="C747" s="91">
        <f>'Informe Kelly'!E740</f>
        <v>40644</v>
      </c>
      <c r="D747" s="96">
        <f t="shared" si="22"/>
        <v>385</v>
      </c>
      <c r="E747" s="85" t="e">
        <f>VLOOKUP(A747,Ingreso!K:P,6,FALSE)</f>
        <v>#N/A</v>
      </c>
      <c r="F747" s="85">
        <f>IF('Informe Kelly'!H740=$A$2,'Informe Kelly'!F740,"")</f>
        <v>0.30306712962962962</v>
      </c>
      <c r="G747" s="85" t="str">
        <f>IF('Informe Kelly'!H740=$A$3,'Informe Kelly'!F740,"")</f>
        <v/>
      </c>
      <c r="H747" s="85" t="e">
        <f>IF(C747=C745,0,IF(D747=D746,0,(HLOOKUP(C747,Ingreso!$AN$10:$AU$260,VLOOKUP(A747,Ingreso!$AL$11:$AM$260,2,FALSE)))/24))</f>
        <v>#N/A</v>
      </c>
      <c r="I747" s="77" t="e">
        <f t="shared" si="23"/>
        <v>#N/A</v>
      </c>
    </row>
    <row r="748" spans="1:9">
      <c r="A748" s="85" t="str">
        <f>VLOOKUP('Informe Kelly'!A741,Base!A:B,2,FALSE)</f>
        <v>14.005.587-5</v>
      </c>
      <c r="B748" s="85" t="str">
        <f>VLOOKUP('Informe Kelly'!A741,Base!A:G,7,FALSE)</f>
        <v>RODRIGUEZ TORO GERARDO ALBERTO</v>
      </c>
      <c r="C748" s="91">
        <f>'Informe Kelly'!E741</f>
        <v>40644</v>
      </c>
      <c r="D748" s="96">
        <f t="shared" si="22"/>
        <v>385</v>
      </c>
      <c r="E748" s="85" t="e">
        <f>VLOOKUP(A748,Ingreso!K:P,6,FALSE)</f>
        <v>#N/A</v>
      </c>
      <c r="F748" s="85" t="str">
        <f>IF('Informe Kelly'!H741=$A$2,'Informe Kelly'!F741,"")</f>
        <v/>
      </c>
      <c r="G748" s="85">
        <f>IF('Informe Kelly'!H741=$A$3,'Informe Kelly'!F741,"")</f>
        <v>0.6243171296296296</v>
      </c>
      <c r="H748" s="85">
        <f>IF(C748=C746,0,IF(D748=D747,0,(HLOOKUP(C748,Ingreso!$AN$10:$AU$260,VLOOKUP(A748,Ingreso!$AL$11:$AM$260,2,FALSE)))/24))</f>
        <v>0</v>
      </c>
      <c r="I748" s="77">
        <f t="shared" si="23"/>
        <v>0</v>
      </c>
    </row>
    <row r="749" spans="1:9">
      <c r="A749" s="85" t="str">
        <f>VLOOKUP('Informe Kelly'!A742,Base!A:B,2,FALSE)</f>
        <v>14.005.587-5</v>
      </c>
      <c r="B749" s="85" t="str">
        <f>VLOOKUP('Informe Kelly'!A742,Base!A:G,7,FALSE)</f>
        <v>RODRIGUEZ TORO GERARDO ALBERTO</v>
      </c>
      <c r="C749" s="91">
        <f>'Informe Kelly'!E742</f>
        <v>40645</v>
      </c>
      <c r="D749" s="96">
        <f t="shared" si="22"/>
        <v>386</v>
      </c>
      <c r="E749" s="85" t="e">
        <f>VLOOKUP(A749,Ingreso!K:P,6,FALSE)</f>
        <v>#N/A</v>
      </c>
      <c r="F749" s="85">
        <f>IF('Informe Kelly'!H742=$A$2,'Informe Kelly'!F742,"")</f>
        <v>0.30820601851851853</v>
      </c>
      <c r="G749" s="85" t="str">
        <f>IF('Informe Kelly'!H742=$A$3,'Informe Kelly'!F742,"")</f>
        <v/>
      </c>
      <c r="H749" s="85" t="e">
        <f>IF(C749=C747,0,IF(D749=D748,0,(HLOOKUP(C749,Ingreso!$AN$10:$AU$260,VLOOKUP(A749,Ingreso!$AL$11:$AM$260,2,FALSE)))/24))</f>
        <v>#N/A</v>
      </c>
      <c r="I749" s="77" t="e">
        <f t="shared" si="23"/>
        <v>#N/A</v>
      </c>
    </row>
    <row r="750" spans="1:9">
      <c r="A750" s="85" t="str">
        <f>VLOOKUP('Informe Kelly'!A743,Base!A:B,2,FALSE)</f>
        <v>14.005.587-5</v>
      </c>
      <c r="B750" s="85" t="str">
        <f>VLOOKUP('Informe Kelly'!A743,Base!A:G,7,FALSE)</f>
        <v>RODRIGUEZ TORO GERARDO ALBERTO</v>
      </c>
      <c r="C750" s="91">
        <f>'Informe Kelly'!E743</f>
        <v>40645</v>
      </c>
      <c r="D750" s="96">
        <f t="shared" si="22"/>
        <v>386</v>
      </c>
      <c r="E750" s="85" t="e">
        <f>VLOOKUP(A750,Ingreso!K:P,6,FALSE)</f>
        <v>#N/A</v>
      </c>
      <c r="F750" s="85" t="str">
        <f>IF('Informe Kelly'!H743=$A$2,'Informe Kelly'!F743,"")</f>
        <v/>
      </c>
      <c r="G750" s="85">
        <f>IF('Informe Kelly'!H743=$A$3,'Informe Kelly'!F743,"")</f>
        <v>0.62797453703703698</v>
      </c>
      <c r="H750" s="85">
        <f>IF(C750=C748,0,IF(D750=D749,0,(HLOOKUP(C750,Ingreso!$AN$10:$AU$260,VLOOKUP(A750,Ingreso!$AL$11:$AM$260,2,FALSE)))/24))</f>
        <v>0</v>
      </c>
      <c r="I750" s="77">
        <f t="shared" si="23"/>
        <v>0</v>
      </c>
    </row>
    <row r="751" spans="1:9">
      <c r="A751" s="85" t="str">
        <f>VLOOKUP('Informe Kelly'!A744,Base!A:B,2,FALSE)</f>
        <v>14.005.587-5</v>
      </c>
      <c r="B751" s="85" t="str">
        <f>VLOOKUP('Informe Kelly'!A744,Base!A:G,7,FALSE)</f>
        <v>RODRIGUEZ TORO GERARDO ALBERTO</v>
      </c>
      <c r="C751" s="91">
        <f>'Informe Kelly'!E744</f>
        <v>40646</v>
      </c>
      <c r="D751" s="96">
        <f t="shared" si="22"/>
        <v>387</v>
      </c>
      <c r="E751" s="85" t="e">
        <f>VLOOKUP(A751,Ingreso!K:P,6,FALSE)</f>
        <v>#N/A</v>
      </c>
      <c r="F751" s="85">
        <f>IF('Informe Kelly'!H744=$A$2,'Informe Kelly'!F744,"")</f>
        <v>0.30555555555555552</v>
      </c>
      <c r="G751" s="85" t="str">
        <f>IF('Informe Kelly'!H744=$A$3,'Informe Kelly'!F744,"")</f>
        <v/>
      </c>
      <c r="H751" s="85" t="e">
        <f>IF(C751=C749,0,IF(D751=D750,0,(HLOOKUP(C751,Ingreso!$AN$10:$AU$260,VLOOKUP(A751,Ingreso!$AL$11:$AM$260,2,FALSE)))/24))</f>
        <v>#N/A</v>
      </c>
      <c r="I751" s="77" t="e">
        <f t="shared" si="23"/>
        <v>#N/A</v>
      </c>
    </row>
    <row r="752" spans="1:9">
      <c r="A752" s="85" t="str">
        <f>VLOOKUP('Informe Kelly'!A745,Base!A:B,2,FALSE)</f>
        <v>14.005.587-5</v>
      </c>
      <c r="B752" s="85" t="str">
        <f>VLOOKUP('Informe Kelly'!A745,Base!A:G,7,FALSE)</f>
        <v>RODRIGUEZ TORO GERARDO ALBERTO</v>
      </c>
      <c r="C752" s="91">
        <f>'Informe Kelly'!E745</f>
        <v>40646</v>
      </c>
      <c r="D752" s="96">
        <f t="shared" si="22"/>
        <v>387</v>
      </c>
      <c r="E752" s="85" t="e">
        <f>VLOOKUP(A752,Ingreso!K:P,6,FALSE)</f>
        <v>#N/A</v>
      </c>
      <c r="F752" s="85" t="str">
        <f>IF('Informe Kelly'!H745=$A$2,'Informe Kelly'!F745,"")</f>
        <v/>
      </c>
      <c r="G752" s="85">
        <f>IF('Informe Kelly'!H745=$A$3,'Informe Kelly'!F745,"")</f>
        <v>0.63289351851851849</v>
      </c>
      <c r="H752" s="85">
        <f>IF(C752=C750,0,IF(D752=D751,0,(HLOOKUP(C752,Ingreso!$AN$10:$AU$260,VLOOKUP(A752,Ingreso!$AL$11:$AM$260,2,FALSE)))/24))</f>
        <v>0</v>
      </c>
      <c r="I752" s="77">
        <f t="shared" si="23"/>
        <v>0</v>
      </c>
    </row>
    <row r="753" spans="1:9">
      <c r="A753" s="85" t="str">
        <f>VLOOKUP('Informe Kelly'!A746,Base!A:B,2,FALSE)</f>
        <v>14.005.587-5</v>
      </c>
      <c r="B753" s="85" t="str">
        <f>VLOOKUP('Informe Kelly'!A746,Base!A:G,7,FALSE)</f>
        <v>RODRIGUEZ TORO GERARDO ALBERTO</v>
      </c>
      <c r="C753" s="91">
        <f>'Informe Kelly'!E746</f>
        <v>40647</v>
      </c>
      <c r="D753" s="96">
        <f t="shared" si="22"/>
        <v>388</v>
      </c>
      <c r="E753" s="85" t="e">
        <f>VLOOKUP(A753,Ingreso!K:P,6,FALSE)</f>
        <v>#N/A</v>
      </c>
      <c r="F753" s="85">
        <f>IF('Informe Kelly'!H746=$A$2,'Informe Kelly'!F746,"")</f>
        <v>0.30920138888888887</v>
      </c>
      <c r="G753" s="85" t="str">
        <f>IF('Informe Kelly'!H746=$A$3,'Informe Kelly'!F746,"")</f>
        <v/>
      </c>
      <c r="H753" s="85" t="e">
        <f>IF(C753=C751,0,IF(D753=D752,0,(HLOOKUP(C753,Ingreso!$AN$10:$AU$260,VLOOKUP(A753,Ingreso!$AL$11:$AM$260,2,FALSE)))/24))</f>
        <v>#N/A</v>
      </c>
      <c r="I753" s="77" t="e">
        <f t="shared" si="23"/>
        <v>#N/A</v>
      </c>
    </row>
    <row r="754" spans="1:9">
      <c r="A754" s="85" t="str">
        <f>VLOOKUP('Informe Kelly'!A747,Base!A:B,2,FALSE)</f>
        <v>14.005.587-5</v>
      </c>
      <c r="B754" s="85" t="str">
        <f>VLOOKUP('Informe Kelly'!A747,Base!A:G,7,FALSE)</f>
        <v>RODRIGUEZ TORO GERARDO ALBERTO</v>
      </c>
      <c r="C754" s="91">
        <f>'Informe Kelly'!E747</f>
        <v>40647</v>
      </c>
      <c r="D754" s="96">
        <f t="shared" si="22"/>
        <v>388</v>
      </c>
      <c r="E754" s="85" t="e">
        <f>VLOOKUP(A754,Ingreso!K:P,6,FALSE)</f>
        <v>#N/A</v>
      </c>
      <c r="F754" s="85" t="str">
        <f>IF('Informe Kelly'!H747=$A$2,'Informe Kelly'!F747,"")</f>
        <v/>
      </c>
      <c r="G754" s="85">
        <f>IF('Informe Kelly'!H747=$A$3,'Informe Kelly'!F747,"")</f>
        <v>0.6312268518518519</v>
      </c>
      <c r="H754" s="85">
        <f>IF(C754=C752,0,IF(D754=D753,0,(HLOOKUP(C754,Ingreso!$AN$10:$AU$260,VLOOKUP(A754,Ingreso!$AL$11:$AM$260,2,FALSE)))/24))</f>
        <v>0</v>
      </c>
      <c r="I754" s="77">
        <f t="shared" si="23"/>
        <v>0</v>
      </c>
    </row>
    <row r="755" spans="1:9">
      <c r="A755" s="85" t="str">
        <f>VLOOKUP('Informe Kelly'!A748,Base!A:B,2,FALSE)</f>
        <v>14.005.587-5</v>
      </c>
      <c r="B755" s="85" t="str">
        <f>VLOOKUP('Informe Kelly'!A748,Base!A:G,7,FALSE)</f>
        <v>RODRIGUEZ TORO GERARDO ALBERTO</v>
      </c>
      <c r="C755" s="91">
        <f>'Informe Kelly'!E748</f>
        <v>40648</v>
      </c>
      <c r="D755" s="96">
        <f t="shared" si="22"/>
        <v>389</v>
      </c>
      <c r="E755" s="85" t="e">
        <f>VLOOKUP(A755,Ingreso!K:P,6,FALSE)</f>
        <v>#N/A</v>
      </c>
      <c r="F755" s="85">
        <f>IF('Informe Kelly'!H748=$A$2,'Informe Kelly'!F748,"")</f>
        <v>0.30851851851851853</v>
      </c>
      <c r="G755" s="85" t="str">
        <f>IF('Informe Kelly'!H748=$A$3,'Informe Kelly'!F748,"")</f>
        <v/>
      </c>
      <c r="H755" s="85" t="e">
        <f>IF(C755=C753,0,IF(D755=D754,0,(HLOOKUP(C755,Ingreso!$AN$10:$AU$260,VLOOKUP(A755,Ingreso!$AL$11:$AM$260,2,FALSE)))/24))</f>
        <v>#N/A</v>
      </c>
      <c r="I755" s="77" t="e">
        <f t="shared" si="23"/>
        <v>#N/A</v>
      </c>
    </row>
    <row r="756" spans="1:9">
      <c r="A756" s="85" t="str">
        <f>VLOOKUP('Informe Kelly'!A749,Base!A:B,2,FALSE)</f>
        <v>14.005.587-5</v>
      </c>
      <c r="B756" s="85" t="str">
        <f>VLOOKUP('Informe Kelly'!A749,Base!A:G,7,FALSE)</f>
        <v>RODRIGUEZ TORO GERARDO ALBERTO</v>
      </c>
      <c r="C756" s="91">
        <f>'Informe Kelly'!E749</f>
        <v>40649</v>
      </c>
      <c r="D756" s="96">
        <f t="shared" si="22"/>
        <v>390</v>
      </c>
      <c r="E756" s="85" t="e">
        <f>VLOOKUP(A756,Ingreso!K:P,6,FALSE)</f>
        <v>#N/A</v>
      </c>
      <c r="F756" s="85">
        <f>IF('Informe Kelly'!H749=$A$2,'Informe Kelly'!F749,"")</f>
        <v>0.30900462962962966</v>
      </c>
      <c r="G756" s="85" t="str">
        <f>IF('Informe Kelly'!H749=$A$3,'Informe Kelly'!F749,"")</f>
        <v/>
      </c>
      <c r="H756" s="85" t="e">
        <f>IF(C756=C754,0,IF(D756=D755,0,(HLOOKUP(C756,Ingreso!$AN$10:$AU$260,VLOOKUP(A756,Ingreso!$AL$11:$AM$260,2,FALSE)))/24))</f>
        <v>#N/A</v>
      </c>
      <c r="I756" s="77" t="e">
        <f t="shared" si="23"/>
        <v>#N/A</v>
      </c>
    </row>
    <row r="757" spans="1:9">
      <c r="A757" s="85" t="str">
        <f>VLOOKUP('Informe Kelly'!A750,Base!A:B,2,FALSE)</f>
        <v>14.005.587-5</v>
      </c>
      <c r="B757" s="85" t="str">
        <f>VLOOKUP('Informe Kelly'!A750,Base!A:G,7,FALSE)</f>
        <v>RODRIGUEZ TORO GERARDO ALBERTO</v>
      </c>
      <c r="C757" s="91">
        <f>'Informe Kelly'!E750</f>
        <v>40649</v>
      </c>
      <c r="D757" s="96">
        <f t="shared" si="22"/>
        <v>390</v>
      </c>
      <c r="E757" s="85" t="e">
        <f>VLOOKUP(A757,Ingreso!K:P,6,FALSE)</f>
        <v>#N/A</v>
      </c>
      <c r="F757" s="85" t="str">
        <f>IF('Informe Kelly'!H750=$A$2,'Informe Kelly'!F750,"")</f>
        <v/>
      </c>
      <c r="G757" s="85">
        <f>IF('Informe Kelly'!H750=$A$3,'Informe Kelly'!F750,"")</f>
        <v>0.62903935185185189</v>
      </c>
      <c r="H757" s="85">
        <f>IF(C757=C755,0,IF(D757=D756,0,(HLOOKUP(C757,Ingreso!$AN$10:$AU$260,VLOOKUP(A757,Ingreso!$AL$11:$AM$260,2,FALSE)))/24))</f>
        <v>0</v>
      </c>
      <c r="I757" s="77">
        <f t="shared" si="23"/>
        <v>0</v>
      </c>
    </row>
    <row r="758" spans="1:9">
      <c r="A758" s="85" t="str">
        <f>VLOOKUP('Informe Kelly'!A751,Base!A:B,2,FALSE)</f>
        <v>14.017.495-5</v>
      </c>
      <c r="B758" s="85" t="str">
        <f>VLOOKUP('Informe Kelly'!A751,Base!A:G,7,FALSE)</f>
        <v>OYARCE DIAZ CARLOS EUGENIO</v>
      </c>
      <c r="C758" s="91">
        <f>'Informe Kelly'!E751</f>
        <v>40644</v>
      </c>
      <c r="D758" s="96">
        <f t="shared" si="22"/>
        <v>391</v>
      </c>
      <c r="E758" s="85" t="str">
        <f>VLOOKUP(A758,Ingreso!K:P,6,FALSE)</f>
        <v>Turno A</v>
      </c>
      <c r="F758" s="85">
        <f>IF('Informe Kelly'!H751=$A$2,'Informe Kelly'!F751,"")</f>
        <v>0.3122685185185185</v>
      </c>
      <c r="G758" s="85" t="str">
        <f>IF('Informe Kelly'!H751=$A$3,'Informe Kelly'!F751,"")</f>
        <v/>
      </c>
      <c r="H758" s="85">
        <f>IF(C758=C756,0,IF(D758=D757,0,(HLOOKUP(C758,Ingreso!$AN$10:$AU$260,VLOOKUP(A758,Ingreso!$AL$11:$AM$260,2,FALSE)))/24))</f>
        <v>0</v>
      </c>
      <c r="I758" s="77">
        <f t="shared" si="23"/>
        <v>0.3125</v>
      </c>
    </row>
    <row r="759" spans="1:9">
      <c r="A759" s="85" t="str">
        <f>VLOOKUP('Informe Kelly'!A752,Base!A:B,2,FALSE)</f>
        <v>14.017.495-5</v>
      </c>
      <c r="B759" s="85" t="str">
        <f>VLOOKUP('Informe Kelly'!A752,Base!A:G,7,FALSE)</f>
        <v>OYARCE DIAZ CARLOS EUGENIO</v>
      </c>
      <c r="C759" s="91">
        <f>'Informe Kelly'!E752</f>
        <v>40644</v>
      </c>
      <c r="D759" s="96">
        <f t="shared" si="22"/>
        <v>391</v>
      </c>
      <c r="E759" s="85" t="str">
        <f>VLOOKUP(A759,Ingreso!K:P,6,FALSE)</f>
        <v>Turno A</v>
      </c>
      <c r="F759" s="85" t="str">
        <f>IF('Informe Kelly'!H752=$A$2,'Informe Kelly'!F752,"")</f>
        <v/>
      </c>
      <c r="G759" s="85">
        <f>IF('Informe Kelly'!H752=$A$3,'Informe Kelly'!F752,"")</f>
        <v>0.63633101851851859</v>
      </c>
      <c r="H759" s="85">
        <f>IF(C759=C757,0,IF(D759=D758,0,(HLOOKUP(C759,Ingreso!$AN$10:$AU$260,VLOOKUP(A759,Ingreso!$AL$11:$AM$260,2,FALSE)))/24))</f>
        <v>0</v>
      </c>
      <c r="I759" s="77">
        <f t="shared" si="23"/>
        <v>0</v>
      </c>
    </row>
    <row r="760" spans="1:9">
      <c r="A760" s="85" t="str">
        <f>VLOOKUP('Informe Kelly'!A753,Base!A:B,2,FALSE)</f>
        <v>14.017.495-5</v>
      </c>
      <c r="B760" s="85" t="str">
        <f>VLOOKUP('Informe Kelly'!A753,Base!A:G,7,FALSE)</f>
        <v>OYARCE DIAZ CARLOS EUGENIO</v>
      </c>
      <c r="C760" s="91">
        <f>'Informe Kelly'!E753</f>
        <v>40645</v>
      </c>
      <c r="D760" s="96">
        <f t="shared" si="22"/>
        <v>392</v>
      </c>
      <c r="E760" s="85" t="str">
        <f>VLOOKUP(A760,Ingreso!K:P,6,FALSE)</f>
        <v>Turno A</v>
      </c>
      <c r="F760" s="85">
        <f>IF('Informe Kelly'!H753=$A$2,'Informe Kelly'!F753,"")</f>
        <v>0.31221064814814814</v>
      </c>
      <c r="G760" s="85" t="str">
        <f>IF('Informe Kelly'!H753=$A$3,'Informe Kelly'!F753,"")</f>
        <v/>
      </c>
      <c r="H760" s="85">
        <f>IF(C760=C758,0,IF(D760=D759,0,(HLOOKUP(C760,Ingreso!$AN$10:$AU$260,VLOOKUP(A760,Ingreso!$AL$11:$AM$260,2,FALSE)))/24))</f>
        <v>0.10416666666666667</v>
      </c>
      <c r="I760" s="77">
        <f t="shared" si="23"/>
        <v>0.3125</v>
      </c>
    </row>
    <row r="761" spans="1:9">
      <c r="A761" s="85" t="str">
        <f>VLOOKUP('Informe Kelly'!A754,Base!A:B,2,FALSE)</f>
        <v>14.017.495-5</v>
      </c>
      <c r="B761" s="85" t="str">
        <f>VLOOKUP('Informe Kelly'!A754,Base!A:G,7,FALSE)</f>
        <v>OYARCE DIAZ CARLOS EUGENIO</v>
      </c>
      <c r="C761" s="91">
        <f>'Informe Kelly'!E754</f>
        <v>40645</v>
      </c>
      <c r="D761" s="96">
        <f t="shared" si="22"/>
        <v>392</v>
      </c>
      <c r="E761" s="85" t="str">
        <f>VLOOKUP(A761,Ingreso!K:P,6,FALSE)</f>
        <v>Turno A</v>
      </c>
      <c r="F761" s="85" t="str">
        <f>IF('Informe Kelly'!H754=$A$2,'Informe Kelly'!F754,"")</f>
        <v/>
      </c>
      <c r="G761" s="85">
        <f>IF('Informe Kelly'!H754=$A$3,'Informe Kelly'!F754,"")</f>
        <v>0.73342592592592604</v>
      </c>
      <c r="H761" s="85">
        <f>IF(C761=C759,0,IF(D761=D760,0,(HLOOKUP(C761,Ingreso!$AN$10:$AU$260,VLOOKUP(A761,Ingreso!$AL$11:$AM$260,2,FALSE)))/24))</f>
        <v>0</v>
      </c>
      <c r="I761" s="77">
        <f t="shared" si="23"/>
        <v>0</v>
      </c>
    </row>
    <row r="762" spans="1:9">
      <c r="A762" s="85" t="str">
        <f>VLOOKUP('Informe Kelly'!A755,Base!A:B,2,FALSE)</f>
        <v>14.017.495-5</v>
      </c>
      <c r="B762" s="85" t="str">
        <f>VLOOKUP('Informe Kelly'!A755,Base!A:G,7,FALSE)</f>
        <v>OYARCE DIAZ CARLOS EUGENIO</v>
      </c>
      <c r="C762" s="91">
        <f>'Informe Kelly'!E755</f>
        <v>40646</v>
      </c>
      <c r="D762" s="96">
        <f t="shared" si="22"/>
        <v>393</v>
      </c>
      <c r="E762" s="85" t="str">
        <f>VLOOKUP(A762,Ingreso!K:P,6,FALSE)</f>
        <v>Turno A</v>
      </c>
      <c r="F762" s="85">
        <f>IF('Informe Kelly'!H755=$A$2,'Informe Kelly'!F755,"")</f>
        <v>0.31634259259259262</v>
      </c>
      <c r="G762" s="85" t="str">
        <f>IF('Informe Kelly'!H755=$A$3,'Informe Kelly'!F755,"")</f>
        <v/>
      </c>
      <c r="H762" s="85">
        <f>IF(C762=C760,0,IF(D762=D761,0,(HLOOKUP(C762,Ingreso!$AN$10:$AU$260,VLOOKUP(A762,Ingreso!$AL$11:$AM$260,2,FALSE)))/24))</f>
        <v>8.3333333333333329E-2</v>
      </c>
      <c r="I762" s="77">
        <f t="shared" si="23"/>
        <v>0.3125</v>
      </c>
    </row>
    <row r="763" spans="1:9">
      <c r="A763" s="85" t="str">
        <f>VLOOKUP('Informe Kelly'!A756,Base!A:B,2,FALSE)</f>
        <v>14.017.495-5</v>
      </c>
      <c r="B763" s="85" t="str">
        <f>VLOOKUP('Informe Kelly'!A756,Base!A:G,7,FALSE)</f>
        <v>OYARCE DIAZ CARLOS EUGENIO</v>
      </c>
      <c r="C763" s="91">
        <f>'Informe Kelly'!E756</f>
        <v>40646</v>
      </c>
      <c r="D763" s="96">
        <f t="shared" si="22"/>
        <v>393</v>
      </c>
      <c r="E763" s="85" t="str">
        <f>VLOOKUP(A763,Ingreso!K:P,6,FALSE)</f>
        <v>Turno A</v>
      </c>
      <c r="F763" s="85" t="str">
        <f>IF('Informe Kelly'!H756=$A$2,'Informe Kelly'!F756,"")</f>
        <v/>
      </c>
      <c r="G763" s="85">
        <f>IF('Informe Kelly'!H756=$A$3,'Informe Kelly'!F756,"")</f>
        <v>0.75291666666666668</v>
      </c>
      <c r="H763" s="85">
        <f>IF(C763=C761,0,IF(D763=D762,0,(HLOOKUP(C763,Ingreso!$AN$10:$AU$260,VLOOKUP(A763,Ingreso!$AL$11:$AM$260,2,FALSE)))/24))</f>
        <v>0</v>
      </c>
      <c r="I763" s="77">
        <f t="shared" si="23"/>
        <v>0</v>
      </c>
    </row>
    <row r="764" spans="1:9">
      <c r="A764" s="85" t="str">
        <f>VLOOKUP('Informe Kelly'!A757,Base!A:B,2,FALSE)</f>
        <v>14.017.495-5</v>
      </c>
      <c r="B764" s="85" t="str">
        <f>VLOOKUP('Informe Kelly'!A757,Base!A:G,7,FALSE)</f>
        <v>OYARCE DIAZ CARLOS EUGENIO</v>
      </c>
      <c r="C764" s="91">
        <f>'Informe Kelly'!E757</f>
        <v>40647</v>
      </c>
      <c r="D764" s="96">
        <f t="shared" si="22"/>
        <v>394</v>
      </c>
      <c r="E764" s="85" t="str">
        <f>VLOOKUP(A764,Ingreso!K:P,6,FALSE)</f>
        <v>Turno A</v>
      </c>
      <c r="F764" s="85">
        <f>IF('Informe Kelly'!H757=$A$2,'Informe Kelly'!F757,"")</f>
        <v>0.31753472222222223</v>
      </c>
      <c r="G764" s="85" t="str">
        <f>IF('Informe Kelly'!H757=$A$3,'Informe Kelly'!F757,"")</f>
        <v/>
      </c>
      <c r="H764" s="85">
        <f>IF(C764=C762,0,IF(D764=D763,0,(HLOOKUP(C764,Ingreso!$AN$10:$AU$260,VLOOKUP(A764,Ingreso!$AL$11:$AM$260,2,FALSE)))/24))</f>
        <v>0</v>
      </c>
      <c r="I764" s="77">
        <f t="shared" si="23"/>
        <v>0.3125</v>
      </c>
    </row>
    <row r="765" spans="1:9">
      <c r="A765" s="85" t="str">
        <f>VLOOKUP('Informe Kelly'!A758,Base!A:B,2,FALSE)</f>
        <v>14.017.495-5</v>
      </c>
      <c r="B765" s="85" t="str">
        <f>VLOOKUP('Informe Kelly'!A758,Base!A:G,7,FALSE)</f>
        <v>OYARCE DIAZ CARLOS EUGENIO</v>
      </c>
      <c r="C765" s="91">
        <f>'Informe Kelly'!E758</f>
        <v>40647</v>
      </c>
      <c r="D765" s="96">
        <f t="shared" si="22"/>
        <v>394</v>
      </c>
      <c r="E765" s="85" t="str">
        <f>VLOOKUP(A765,Ingreso!K:P,6,FALSE)</f>
        <v>Turno A</v>
      </c>
      <c r="F765" s="85" t="str">
        <f>IF('Informe Kelly'!H758=$A$2,'Informe Kelly'!F758,"")</f>
        <v/>
      </c>
      <c r="G765" s="85">
        <f>IF('Informe Kelly'!H758=$A$3,'Informe Kelly'!F758,"")</f>
        <v>0.67658564814814814</v>
      </c>
      <c r="H765" s="85">
        <f>IF(C765=C763,0,IF(D765=D764,0,(HLOOKUP(C765,Ingreso!$AN$10:$AU$260,VLOOKUP(A765,Ingreso!$AL$11:$AM$260,2,FALSE)))/24))</f>
        <v>0</v>
      </c>
      <c r="I765" s="77">
        <f t="shared" si="23"/>
        <v>0</v>
      </c>
    </row>
    <row r="766" spans="1:9">
      <c r="A766" s="85" t="str">
        <f>VLOOKUP('Informe Kelly'!A759,Base!A:B,2,FALSE)</f>
        <v>14.017.495-5</v>
      </c>
      <c r="B766" s="85" t="str">
        <f>VLOOKUP('Informe Kelly'!A759,Base!A:G,7,FALSE)</f>
        <v>OYARCE DIAZ CARLOS EUGENIO</v>
      </c>
      <c r="C766" s="91">
        <f>'Informe Kelly'!E759</f>
        <v>40648</v>
      </c>
      <c r="D766" s="96">
        <f t="shared" si="22"/>
        <v>395</v>
      </c>
      <c r="E766" s="85" t="str">
        <f>VLOOKUP(A766,Ingreso!K:P,6,FALSE)</f>
        <v>Turno A</v>
      </c>
      <c r="F766" s="85" t="str">
        <f>IF('Informe Kelly'!H759=$A$2,'Informe Kelly'!F759,"")</f>
        <v/>
      </c>
      <c r="G766" s="85">
        <f>IF('Informe Kelly'!H759=$A$3,'Informe Kelly'!F759,"")</f>
        <v>0.65478009259259262</v>
      </c>
      <c r="H766" s="85">
        <f>IF(C766=C764,0,IF(D766=D765,0,(HLOOKUP(C766,Ingreso!$AN$10:$AU$260,VLOOKUP(A766,Ingreso!$AL$11:$AM$260,2,FALSE)))/24))</f>
        <v>0</v>
      </c>
      <c r="I766" s="77">
        <f t="shared" si="23"/>
        <v>0.3125</v>
      </c>
    </row>
    <row r="767" spans="1:9">
      <c r="A767" s="85" t="str">
        <f>VLOOKUP('Informe Kelly'!A760,Base!A:B,2,FALSE)</f>
        <v>14.017.495-5</v>
      </c>
      <c r="B767" s="85" t="str">
        <f>VLOOKUP('Informe Kelly'!A760,Base!A:G,7,FALSE)</f>
        <v>OYARCE DIAZ CARLOS EUGENIO</v>
      </c>
      <c r="C767" s="91">
        <f>'Informe Kelly'!E760</f>
        <v>40648</v>
      </c>
      <c r="D767" s="96">
        <f t="shared" si="22"/>
        <v>395</v>
      </c>
      <c r="E767" s="85" t="str">
        <f>VLOOKUP(A767,Ingreso!K:P,6,FALSE)</f>
        <v>Turno A</v>
      </c>
      <c r="F767" s="85">
        <f>IF('Informe Kelly'!H760=$A$2,'Informe Kelly'!F760,"")</f>
        <v>0.3197800925925926</v>
      </c>
      <c r="G767" s="85" t="str">
        <f>IF('Informe Kelly'!H760=$A$3,'Informe Kelly'!F760,"")</f>
        <v/>
      </c>
      <c r="H767" s="85">
        <f>IF(C767=C765,0,IF(D767=D766,0,(HLOOKUP(C767,Ingreso!$AN$10:$AU$260,VLOOKUP(A767,Ingreso!$AL$11:$AM$260,2,FALSE)))/24))</f>
        <v>0</v>
      </c>
      <c r="I767" s="77">
        <f t="shared" si="23"/>
        <v>0</v>
      </c>
    </row>
    <row r="768" spans="1:9">
      <c r="A768" s="85" t="str">
        <f>VLOOKUP('Informe Kelly'!A761,Base!A:B,2,FALSE)</f>
        <v>14.017.495-5</v>
      </c>
      <c r="B768" s="85" t="str">
        <f>VLOOKUP('Informe Kelly'!A761,Base!A:G,7,FALSE)</f>
        <v>OYARCE DIAZ CARLOS EUGENIO</v>
      </c>
      <c r="C768" s="91">
        <f>'Informe Kelly'!E761</f>
        <v>40649</v>
      </c>
      <c r="D768" s="96">
        <f t="shared" si="22"/>
        <v>396</v>
      </c>
      <c r="E768" s="85" t="str">
        <f>VLOOKUP(A768,Ingreso!K:P,6,FALSE)</f>
        <v>Turno A</v>
      </c>
      <c r="F768" s="85">
        <f>IF('Informe Kelly'!H761=$A$2,'Informe Kelly'!F761,"")</f>
        <v>0.33626157407407403</v>
      </c>
      <c r="G768" s="85" t="str">
        <f>IF('Informe Kelly'!H761=$A$3,'Informe Kelly'!F761,"")</f>
        <v/>
      </c>
      <c r="H768" s="85">
        <f>IF(C768=C766,0,IF(D768=D767,0,(HLOOKUP(C768,Ingreso!$AN$10:$AU$260,VLOOKUP(A768,Ingreso!$AL$11:$AM$260,2,FALSE)))/24))</f>
        <v>0</v>
      </c>
      <c r="I768" s="77">
        <f t="shared" si="23"/>
        <v>0.3125</v>
      </c>
    </row>
    <row r="769" spans="1:9">
      <c r="A769" s="85" t="str">
        <f>VLOOKUP('Informe Kelly'!A762,Base!A:B,2,FALSE)</f>
        <v>14.017.495-5</v>
      </c>
      <c r="B769" s="85" t="str">
        <f>VLOOKUP('Informe Kelly'!A762,Base!A:G,7,FALSE)</f>
        <v>OYARCE DIAZ CARLOS EUGENIO</v>
      </c>
      <c r="C769" s="91">
        <f>'Informe Kelly'!E762</f>
        <v>40649</v>
      </c>
      <c r="D769" s="96">
        <f t="shared" si="22"/>
        <v>396</v>
      </c>
      <c r="E769" s="85" t="str">
        <f>VLOOKUP(A769,Ingreso!K:P,6,FALSE)</f>
        <v>Turno A</v>
      </c>
      <c r="F769" s="85" t="str">
        <f>IF('Informe Kelly'!H762=$A$2,'Informe Kelly'!F762,"")</f>
        <v/>
      </c>
      <c r="G769" s="85">
        <f>IF('Informe Kelly'!H762=$A$3,'Informe Kelly'!F762,"")</f>
        <v>0.55983796296296295</v>
      </c>
      <c r="H769" s="85">
        <f>IF(C769=C767,0,IF(D769=D768,0,(HLOOKUP(C769,Ingreso!$AN$10:$AU$260,VLOOKUP(A769,Ingreso!$AL$11:$AM$260,2,FALSE)))/24))</f>
        <v>0</v>
      </c>
      <c r="I769" s="77">
        <f t="shared" si="23"/>
        <v>0</v>
      </c>
    </row>
    <row r="770" spans="1:9">
      <c r="A770" s="85" t="str">
        <f>VLOOKUP('Informe Kelly'!A763,Base!A:B,2,FALSE)</f>
        <v>14.095.347-4</v>
      </c>
      <c r="B770" s="85" t="str">
        <f>VLOOKUP('Informe Kelly'!A763,Base!A:G,7,FALSE)</f>
        <v>CAÑOLES VERA ANDRES NICOLAS</v>
      </c>
      <c r="C770" s="91">
        <f>'Informe Kelly'!E763</f>
        <v>40644</v>
      </c>
      <c r="D770" s="96">
        <f t="shared" si="22"/>
        <v>397</v>
      </c>
      <c r="E770" s="85" t="e">
        <f>VLOOKUP(A770,Ingreso!K:P,6,FALSE)</f>
        <v>#N/A</v>
      </c>
      <c r="F770" s="85">
        <f>IF('Informe Kelly'!H763=$A$2,'Informe Kelly'!F763,"")</f>
        <v>0.30149305555555556</v>
      </c>
      <c r="G770" s="85" t="str">
        <f>IF('Informe Kelly'!H763=$A$3,'Informe Kelly'!F763,"")</f>
        <v/>
      </c>
      <c r="H770" s="85" t="e">
        <f>IF(C770=C768,0,IF(D770=D769,0,(HLOOKUP(C770,Ingreso!$AN$10:$AU$260,VLOOKUP(A770,Ingreso!$AL$11:$AM$260,2,FALSE)))/24))</f>
        <v>#N/A</v>
      </c>
      <c r="I770" s="77" t="e">
        <f t="shared" si="23"/>
        <v>#N/A</v>
      </c>
    </row>
    <row r="771" spans="1:9">
      <c r="A771" s="85" t="str">
        <f>VLOOKUP('Informe Kelly'!A764,Base!A:B,2,FALSE)</f>
        <v>14.095.347-4</v>
      </c>
      <c r="B771" s="85" t="str">
        <f>VLOOKUP('Informe Kelly'!A764,Base!A:G,7,FALSE)</f>
        <v>CAÑOLES VERA ANDRES NICOLAS</v>
      </c>
      <c r="C771" s="91">
        <f>'Informe Kelly'!E764</f>
        <v>40644</v>
      </c>
      <c r="D771" s="96">
        <f t="shared" si="22"/>
        <v>397</v>
      </c>
      <c r="E771" s="85" t="e">
        <f>VLOOKUP(A771,Ingreso!K:P,6,FALSE)</f>
        <v>#N/A</v>
      </c>
      <c r="F771" s="85" t="str">
        <f>IF('Informe Kelly'!H764=$A$2,'Informe Kelly'!F764,"")</f>
        <v/>
      </c>
      <c r="G771" s="85">
        <f>IF('Informe Kelly'!H764=$A$3,'Informe Kelly'!F764,"")</f>
        <v>0.63978009259259261</v>
      </c>
      <c r="H771" s="85">
        <f>IF(C771=C769,0,IF(D771=D770,0,(HLOOKUP(C771,Ingreso!$AN$10:$AU$260,VLOOKUP(A771,Ingreso!$AL$11:$AM$260,2,FALSE)))/24))</f>
        <v>0</v>
      </c>
      <c r="I771" s="77">
        <f t="shared" si="23"/>
        <v>0</v>
      </c>
    </row>
    <row r="772" spans="1:9">
      <c r="A772" s="85" t="str">
        <f>VLOOKUP('Informe Kelly'!A765,Base!A:B,2,FALSE)</f>
        <v>14.095.347-4</v>
      </c>
      <c r="B772" s="85" t="str">
        <f>VLOOKUP('Informe Kelly'!A765,Base!A:G,7,FALSE)</f>
        <v>CAÑOLES VERA ANDRES NICOLAS</v>
      </c>
      <c r="C772" s="91">
        <f>'Informe Kelly'!E765</f>
        <v>40645</v>
      </c>
      <c r="D772" s="96">
        <f t="shared" si="22"/>
        <v>398</v>
      </c>
      <c r="E772" s="85" t="e">
        <f>VLOOKUP(A772,Ingreso!K:P,6,FALSE)</f>
        <v>#N/A</v>
      </c>
      <c r="F772" s="85">
        <f>IF('Informe Kelly'!H765=$A$2,'Informe Kelly'!F765,"")</f>
        <v>0.32074074074074072</v>
      </c>
      <c r="G772" s="85" t="str">
        <f>IF('Informe Kelly'!H765=$A$3,'Informe Kelly'!F765,"")</f>
        <v/>
      </c>
      <c r="H772" s="85" t="e">
        <f>IF(C772=C770,0,IF(D772=D771,0,(HLOOKUP(C772,Ingreso!$AN$10:$AU$260,VLOOKUP(A772,Ingreso!$AL$11:$AM$260,2,FALSE)))/24))</f>
        <v>#N/A</v>
      </c>
      <c r="I772" s="77" t="e">
        <f t="shared" si="23"/>
        <v>#N/A</v>
      </c>
    </row>
    <row r="773" spans="1:9">
      <c r="A773" s="85" t="str">
        <f>VLOOKUP('Informe Kelly'!A766,Base!A:B,2,FALSE)</f>
        <v>14.095.347-4</v>
      </c>
      <c r="B773" s="85" t="str">
        <f>VLOOKUP('Informe Kelly'!A766,Base!A:G,7,FALSE)</f>
        <v>CAÑOLES VERA ANDRES NICOLAS</v>
      </c>
      <c r="C773" s="91">
        <f>'Informe Kelly'!E766</f>
        <v>40645</v>
      </c>
      <c r="D773" s="96">
        <f t="shared" si="22"/>
        <v>398</v>
      </c>
      <c r="E773" s="85" t="e">
        <f>VLOOKUP(A773,Ingreso!K:P,6,FALSE)</f>
        <v>#N/A</v>
      </c>
      <c r="F773" s="85" t="str">
        <f>IF('Informe Kelly'!H766=$A$2,'Informe Kelly'!F766,"")</f>
        <v/>
      </c>
      <c r="G773" s="85">
        <f>IF('Informe Kelly'!H766=$A$3,'Informe Kelly'!F766,"")</f>
        <v>0.64292824074074073</v>
      </c>
      <c r="H773" s="85">
        <f>IF(C773=C771,0,IF(D773=D772,0,(HLOOKUP(C773,Ingreso!$AN$10:$AU$260,VLOOKUP(A773,Ingreso!$AL$11:$AM$260,2,FALSE)))/24))</f>
        <v>0</v>
      </c>
      <c r="I773" s="77">
        <f t="shared" si="23"/>
        <v>0</v>
      </c>
    </row>
    <row r="774" spans="1:9">
      <c r="A774" s="85" t="str">
        <f>VLOOKUP('Informe Kelly'!A767,Base!A:B,2,FALSE)</f>
        <v>14.095.347-4</v>
      </c>
      <c r="B774" s="85" t="str">
        <f>VLOOKUP('Informe Kelly'!A767,Base!A:G,7,FALSE)</f>
        <v>CAÑOLES VERA ANDRES NICOLAS</v>
      </c>
      <c r="C774" s="91">
        <f>'Informe Kelly'!E767</f>
        <v>40646</v>
      </c>
      <c r="D774" s="96">
        <f t="shared" si="22"/>
        <v>399</v>
      </c>
      <c r="E774" s="85" t="e">
        <f>VLOOKUP(A774,Ingreso!K:P,6,FALSE)</f>
        <v>#N/A</v>
      </c>
      <c r="F774" s="85">
        <f>IF('Informe Kelly'!H767=$A$2,'Informe Kelly'!F767,"")</f>
        <v>0.30579861111111112</v>
      </c>
      <c r="G774" s="85" t="str">
        <f>IF('Informe Kelly'!H767=$A$3,'Informe Kelly'!F767,"")</f>
        <v/>
      </c>
      <c r="H774" s="85" t="e">
        <f>IF(C774=C772,0,IF(D774=D773,0,(HLOOKUP(C774,Ingreso!$AN$10:$AU$260,VLOOKUP(A774,Ingreso!$AL$11:$AM$260,2,FALSE)))/24))</f>
        <v>#N/A</v>
      </c>
      <c r="I774" s="77" t="e">
        <f t="shared" si="23"/>
        <v>#N/A</v>
      </c>
    </row>
    <row r="775" spans="1:9">
      <c r="A775" s="85" t="str">
        <f>VLOOKUP('Informe Kelly'!A768,Base!A:B,2,FALSE)</f>
        <v>14.095.347-4</v>
      </c>
      <c r="B775" s="85" t="str">
        <f>VLOOKUP('Informe Kelly'!A768,Base!A:G,7,FALSE)</f>
        <v>CAÑOLES VERA ANDRES NICOLAS</v>
      </c>
      <c r="C775" s="91">
        <f>'Informe Kelly'!E768</f>
        <v>40646</v>
      </c>
      <c r="D775" s="96">
        <f t="shared" si="22"/>
        <v>399</v>
      </c>
      <c r="E775" s="85" t="e">
        <f>VLOOKUP(A775,Ingreso!K:P,6,FALSE)</f>
        <v>#N/A</v>
      </c>
      <c r="F775" s="85" t="str">
        <f>IF('Informe Kelly'!H768=$A$2,'Informe Kelly'!F768,"")</f>
        <v/>
      </c>
      <c r="G775" s="85">
        <f>IF('Informe Kelly'!H768=$A$3,'Informe Kelly'!F768,"")</f>
        <v>0.64306712962962964</v>
      </c>
      <c r="H775" s="85">
        <f>IF(C775=C773,0,IF(D775=D774,0,(HLOOKUP(C775,Ingreso!$AN$10:$AU$260,VLOOKUP(A775,Ingreso!$AL$11:$AM$260,2,FALSE)))/24))</f>
        <v>0</v>
      </c>
      <c r="I775" s="77">
        <f t="shared" si="23"/>
        <v>0</v>
      </c>
    </row>
    <row r="776" spans="1:9">
      <c r="A776" s="85" t="str">
        <f>VLOOKUP('Informe Kelly'!A769,Base!A:B,2,FALSE)</f>
        <v>14.095.347-4</v>
      </c>
      <c r="B776" s="85" t="str">
        <f>VLOOKUP('Informe Kelly'!A769,Base!A:G,7,FALSE)</f>
        <v>CAÑOLES VERA ANDRES NICOLAS</v>
      </c>
      <c r="C776" s="91">
        <f>'Informe Kelly'!E769</f>
        <v>40647</v>
      </c>
      <c r="D776" s="96">
        <f t="shared" si="22"/>
        <v>400</v>
      </c>
      <c r="E776" s="85" t="e">
        <f>VLOOKUP(A776,Ingreso!K:P,6,FALSE)</f>
        <v>#N/A</v>
      </c>
      <c r="F776" s="85">
        <f>IF('Informe Kelly'!H769=$A$2,'Informe Kelly'!F769,"")</f>
        <v>0.3082523148148148</v>
      </c>
      <c r="G776" s="85" t="str">
        <f>IF('Informe Kelly'!H769=$A$3,'Informe Kelly'!F769,"")</f>
        <v/>
      </c>
      <c r="H776" s="85" t="e">
        <f>IF(C776=C774,0,IF(D776=D775,0,(HLOOKUP(C776,Ingreso!$AN$10:$AU$260,VLOOKUP(A776,Ingreso!$AL$11:$AM$260,2,FALSE)))/24))</f>
        <v>#N/A</v>
      </c>
      <c r="I776" s="77" t="e">
        <f t="shared" si="23"/>
        <v>#N/A</v>
      </c>
    </row>
    <row r="777" spans="1:9">
      <c r="A777" s="85" t="str">
        <f>VLOOKUP('Informe Kelly'!A770,Base!A:B,2,FALSE)</f>
        <v>14.095.347-4</v>
      </c>
      <c r="B777" s="85" t="str">
        <f>VLOOKUP('Informe Kelly'!A770,Base!A:G,7,FALSE)</f>
        <v>CAÑOLES VERA ANDRES NICOLAS</v>
      </c>
      <c r="C777" s="91">
        <f>'Informe Kelly'!E770</f>
        <v>40647</v>
      </c>
      <c r="D777" s="96">
        <f t="shared" ref="D777:D840" si="24">IF(C776=C777,IF(C777=C774,D776,IF(C777=C775,D776+1,D776)),D776+1)</f>
        <v>400</v>
      </c>
      <c r="E777" s="85" t="e">
        <f>VLOOKUP(A777,Ingreso!K:P,6,FALSE)</f>
        <v>#N/A</v>
      </c>
      <c r="F777" s="85" t="str">
        <f>IF('Informe Kelly'!H770=$A$2,'Informe Kelly'!F770,"")</f>
        <v/>
      </c>
      <c r="G777" s="85">
        <f>IF('Informe Kelly'!H770=$A$3,'Informe Kelly'!F770,"")</f>
        <v>0.64391203703703703</v>
      </c>
      <c r="H777" s="85">
        <f>IF(C777=C775,0,IF(D777=D776,0,(HLOOKUP(C777,Ingreso!$AN$10:$AU$260,VLOOKUP(A777,Ingreso!$AL$11:$AM$260,2,FALSE)))/24))</f>
        <v>0</v>
      </c>
      <c r="I777" s="77">
        <f t="shared" si="23"/>
        <v>0</v>
      </c>
    </row>
    <row r="778" spans="1:9">
      <c r="A778" s="85" t="str">
        <f>VLOOKUP('Informe Kelly'!A771,Base!A:B,2,FALSE)</f>
        <v>14.095.347-4</v>
      </c>
      <c r="B778" s="85" t="str">
        <f>VLOOKUP('Informe Kelly'!A771,Base!A:G,7,FALSE)</f>
        <v>CAÑOLES VERA ANDRES NICOLAS</v>
      </c>
      <c r="C778" s="91">
        <f>'Informe Kelly'!E771</f>
        <v>40648</v>
      </c>
      <c r="D778" s="96">
        <f t="shared" si="24"/>
        <v>401</v>
      </c>
      <c r="E778" s="85" t="e">
        <f>VLOOKUP(A778,Ingreso!K:P,6,FALSE)</f>
        <v>#N/A</v>
      </c>
      <c r="F778" s="85" t="str">
        <f>IF('Informe Kelly'!H771=$A$2,'Informe Kelly'!F771,"")</f>
        <v/>
      </c>
      <c r="G778" s="85">
        <f>IF('Informe Kelly'!H771=$A$3,'Informe Kelly'!F771,"")</f>
        <v>0.64336805555555554</v>
      </c>
      <c r="H778" s="85" t="e">
        <f>IF(C778=C776,0,IF(D778=D777,0,(HLOOKUP(C778,Ingreso!$AN$10:$AU$260,VLOOKUP(A778,Ingreso!$AL$11:$AM$260,2,FALSE)))/24))</f>
        <v>#N/A</v>
      </c>
      <c r="I778" s="77" t="e">
        <f t="shared" ref="I778:I841" si="25">IF(C778=C776,0,IF(D778=D777,0,(VLOOKUP(E778,$C$2:$D$5,2,FALSE))))</f>
        <v>#N/A</v>
      </c>
    </row>
    <row r="779" spans="1:9">
      <c r="A779" s="85" t="str">
        <f>VLOOKUP('Informe Kelly'!A772,Base!A:B,2,FALSE)</f>
        <v>14.095.347-4</v>
      </c>
      <c r="B779" s="85" t="str">
        <f>VLOOKUP('Informe Kelly'!A772,Base!A:G,7,FALSE)</f>
        <v>CAÑOLES VERA ANDRES NICOLAS</v>
      </c>
      <c r="C779" s="91">
        <f>'Informe Kelly'!E772</f>
        <v>40648</v>
      </c>
      <c r="D779" s="96">
        <f t="shared" si="24"/>
        <v>401</v>
      </c>
      <c r="E779" s="85" t="e">
        <f>VLOOKUP(A779,Ingreso!K:P,6,FALSE)</f>
        <v>#N/A</v>
      </c>
      <c r="F779" s="85">
        <f>IF('Informe Kelly'!H772=$A$2,'Informe Kelly'!F772,"")</f>
        <v>0.31296296296296294</v>
      </c>
      <c r="G779" s="85" t="str">
        <f>IF('Informe Kelly'!H772=$A$3,'Informe Kelly'!F772,"")</f>
        <v/>
      </c>
      <c r="H779" s="85">
        <f>IF(C779=C777,0,IF(D779=D778,0,(HLOOKUP(C779,Ingreso!$AN$10:$AU$260,VLOOKUP(A779,Ingreso!$AL$11:$AM$260,2,FALSE)))/24))</f>
        <v>0</v>
      </c>
      <c r="I779" s="77">
        <f t="shared" si="25"/>
        <v>0</v>
      </c>
    </row>
    <row r="780" spans="1:9">
      <c r="A780" s="85" t="str">
        <f>VLOOKUP('Informe Kelly'!A773,Base!A:B,2,FALSE)</f>
        <v>14.095.347-4</v>
      </c>
      <c r="B780" s="85" t="str">
        <f>VLOOKUP('Informe Kelly'!A773,Base!A:G,7,FALSE)</f>
        <v>CAÑOLES VERA ANDRES NICOLAS</v>
      </c>
      <c r="C780" s="91">
        <f>'Informe Kelly'!E773</f>
        <v>40649</v>
      </c>
      <c r="D780" s="96">
        <f t="shared" si="24"/>
        <v>402</v>
      </c>
      <c r="E780" s="85" t="e">
        <f>VLOOKUP(A780,Ingreso!K:P,6,FALSE)</f>
        <v>#N/A</v>
      </c>
      <c r="F780" s="85">
        <f>IF('Informe Kelly'!H773=$A$2,'Informe Kelly'!F773,"")</f>
        <v>0.30371527777777779</v>
      </c>
      <c r="G780" s="85" t="str">
        <f>IF('Informe Kelly'!H773=$A$3,'Informe Kelly'!F773,"")</f>
        <v/>
      </c>
      <c r="H780" s="85" t="e">
        <f>IF(C780=C778,0,IF(D780=D779,0,(HLOOKUP(C780,Ingreso!$AN$10:$AU$260,VLOOKUP(A780,Ingreso!$AL$11:$AM$260,2,FALSE)))/24))</f>
        <v>#N/A</v>
      </c>
      <c r="I780" s="77" t="e">
        <f t="shared" si="25"/>
        <v>#N/A</v>
      </c>
    </row>
    <row r="781" spans="1:9">
      <c r="A781" s="85" t="str">
        <f>VLOOKUP('Informe Kelly'!A774,Base!A:B,2,FALSE)</f>
        <v>14.095.347-4</v>
      </c>
      <c r="B781" s="85" t="str">
        <f>VLOOKUP('Informe Kelly'!A774,Base!A:G,7,FALSE)</f>
        <v>CAÑOLES VERA ANDRES NICOLAS</v>
      </c>
      <c r="C781" s="91">
        <f>'Informe Kelly'!E774</f>
        <v>40649</v>
      </c>
      <c r="D781" s="96">
        <f t="shared" si="24"/>
        <v>402</v>
      </c>
      <c r="E781" s="85" t="e">
        <f>VLOOKUP(A781,Ingreso!K:P,6,FALSE)</f>
        <v>#N/A</v>
      </c>
      <c r="F781" s="85" t="str">
        <f>IF('Informe Kelly'!H774=$A$2,'Informe Kelly'!F774,"")</f>
        <v/>
      </c>
      <c r="G781" s="85">
        <f>IF('Informe Kelly'!H774=$A$3,'Informe Kelly'!F774,"")</f>
        <v>0.62667824074074074</v>
      </c>
      <c r="H781" s="85">
        <f>IF(C781=C779,0,IF(D781=D780,0,(HLOOKUP(C781,Ingreso!$AN$10:$AU$260,VLOOKUP(A781,Ingreso!$AL$11:$AM$260,2,FALSE)))/24))</f>
        <v>0</v>
      </c>
      <c r="I781" s="77">
        <f t="shared" si="25"/>
        <v>0</v>
      </c>
    </row>
    <row r="782" spans="1:9">
      <c r="A782" s="85" t="str">
        <f>VLOOKUP('Informe Kelly'!A775,Base!A:B,2,FALSE)</f>
        <v>14.095.347-4</v>
      </c>
      <c r="B782" s="85" t="str">
        <f>VLOOKUP('Informe Kelly'!A775,Base!A:G,7,FALSE)</f>
        <v>CAÑOLES VERA ANDRES NICOLAS</v>
      </c>
      <c r="C782" s="91">
        <f>'Informe Kelly'!E775</f>
        <v>40650</v>
      </c>
      <c r="D782" s="96">
        <f t="shared" si="24"/>
        <v>403</v>
      </c>
      <c r="E782" s="85" t="e">
        <f>VLOOKUP(A782,Ingreso!K:P,6,FALSE)</f>
        <v>#N/A</v>
      </c>
      <c r="F782" s="85">
        <f>IF('Informe Kelly'!H775=$A$2,'Informe Kelly'!F775,"")</f>
        <v>0.98672453703703711</v>
      </c>
      <c r="G782" s="85" t="str">
        <f>IF('Informe Kelly'!H775=$A$3,'Informe Kelly'!F775,"")</f>
        <v/>
      </c>
      <c r="H782" s="85" t="e">
        <f>IF(C782=C780,0,IF(D782=D781,0,(HLOOKUP(C782,Ingreso!$AN$10:$AU$260,VLOOKUP(A782,Ingreso!$AL$11:$AM$260,2,FALSE)))/24))</f>
        <v>#N/A</v>
      </c>
      <c r="I782" s="77" t="e">
        <f t="shared" si="25"/>
        <v>#N/A</v>
      </c>
    </row>
    <row r="783" spans="1:9">
      <c r="A783" s="85" t="str">
        <f>VLOOKUP('Informe Kelly'!A776,Base!A:B,2,FALSE)</f>
        <v>14.181.387-0</v>
      </c>
      <c r="B783" s="85" t="str">
        <f>VLOOKUP('Informe Kelly'!A776,Base!A:G,7,FALSE)</f>
        <v>DEL RIO TRONCOSO JORGE ANDRES</v>
      </c>
      <c r="C783" s="91">
        <f>'Informe Kelly'!E776</f>
        <v>40644</v>
      </c>
      <c r="D783" s="96">
        <f t="shared" si="24"/>
        <v>404</v>
      </c>
      <c r="E783" s="85" t="str">
        <f>VLOOKUP(A783,Ingreso!K:P,6,FALSE)</f>
        <v>Turno C</v>
      </c>
      <c r="F783" s="85">
        <f>IF('Informe Kelly'!H776=$A$2,'Informe Kelly'!F776,"")</f>
        <v>0.92061342592592599</v>
      </c>
      <c r="G783" s="85" t="str">
        <f>IF('Informe Kelly'!H776=$A$3,'Informe Kelly'!F776,"")</f>
        <v/>
      </c>
      <c r="H783" s="85">
        <f>IF(C783=C781,0,IF(D783=D782,0,(HLOOKUP(C783,Ingreso!$AN$10:$AU$260,VLOOKUP(A783,Ingreso!$AL$11:$AM$260,2,FALSE)))/24))</f>
        <v>0</v>
      </c>
      <c r="I783" s="77">
        <f t="shared" si="25"/>
        <v>0.375</v>
      </c>
    </row>
    <row r="784" spans="1:9">
      <c r="A784" s="85" t="str">
        <f>VLOOKUP('Informe Kelly'!A777,Base!A:B,2,FALSE)</f>
        <v>14.181.387-0</v>
      </c>
      <c r="B784" s="85" t="str">
        <f>VLOOKUP('Informe Kelly'!A777,Base!A:G,7,FALSE)</f>
        <v>DEL RIO TRONCOSO JORGE ANDRES</v>
      </c>
      <c r="C784" s="91">
        <f>'Informe Kelly'!E777</f>
        <v>40645</v>
      </c>
      <c r="D784" s="96">
        <f t="shared" si="24"/>
        <v>405</v>
      </c>
      <c r="E784" s="85" t="str">
        <f>VLOOKUP(A784,Ingreso!K:P,6,FALSE)</f>
        <v>Turno C</v>
      </c>
      <c r="F784" s="85" t="str">
        <f>IF('Informe Kelly'!H777=$A$2,'Informe Kelly'!F777,"")</f>
        <v/>
      </c>
      <c r="G784" s="85">
        <f>IF('Informe Kelly'!H777=$A$3,'Informe Kelly'!F777,"")</f>
        <v>0.3177314814814815</v>
      </c>
      <c r="H784" s="85">
        <f>IF(C784=C782,0,IF(D784=D783,0,(HLOOKUP(C784,Ingreso!$AN$10:$AU$260,VLOOKUP(A784,Ingreso!$AL$11:$AM$260,2,FALSE)))/24))</f>
        <v>0</v>
      </c>
      <c r="I784" s="77">
        <f t="shared" si="25"/>
        <v>0.375</v>
      </c>
    </row>
    <row r="785" spans="1:9">
      <c r="A785" s="85" t="str">
        <f>VLOOKUP('Informe Kelly'!A778,Base!A:B,2,FALSE)</f>
        <v>14.181.387-0</v>
      </c>
      <c r="B785" s="85" t="str">
        <f>VLOOKUP('Informe Kelly'!A778,Base!A:G,7,FALSE)</f>
        <v>DEL RIO TRONCOSO JORGE ANDRES</v>
      </c>
      <c r="C785" s="91">
        <f>'Informe Kelly'!E778</f>
        <v>40645</v>
      </c>
      <c r="D785" s="96">
        <f t="shared" si="24"/>
        <v>405</v>
      </c>
      <c r="E785" s="85" t="str">
        <f>VLOOKUP(A785,Ingreso!K:P,6,FALSE)</f>
        <v>Turno C</v>
      </c>
      <c r="F785" s="85">
        <f>IF('Informe Kelly'!H778=$A$2,'Informe Kelly'!F778,"")</f>
        <v>0.92034722222222232</v>
      </c>
      <c r="G785" s="85" t="str">
        <f>IF('Informe Kelly'!H778=$A$3,'Informe Kelly'!F778,"")</f>
        <v/>
      </c>
      <c r="H785" s="85">
        <f>IF(C785=C783,0,IF(D785=D784,0,(HLOOKUP(C785,Ingreso!$AN$10:$AU$260,VLOOKUP(A785,Ingreso!$AL$11:$AM$260,2,FALSE)))/24))</f>
        <v>0</v>
      </c>
      <c r="I785" s="77">
        <f t="shared" si="25"/>
        <v>0</v>
      </c>
    </row>
    <row r="786" spans="1:9">
      <c r="A786" s="85" t="str">
        <f>VLOOKUP('Informe Kelly'!A779,Base!A:B,2,FALSE)</f>
        <v>14.181.387-0</v>
      </c>
      <c r="B786" s="85" t="str">
        <f>VLOOKUP('Informe Kelly'!A779,Base!A:G,7,FALSE)</f>
        <v>DEL RIO TRONCOSO JORGE ANDRES</v>
      </c>
      <c r="C786" s="91">
        <f>'Informe Kelly'!E779</f>
        <v>40646</v>
      </c>
      <c r="D786" s="96">
        <f t="shared" si="24"/>
        <v>406</v>
      </c>
      <c r="E786" s="85" t="str">
        <f>VLOOKUP(A786,Ingreso!K:P,6,FALSE)</f>
        <v>Turno C</v>
      </c>
      <c r="F786" s="85" t="str">
        <f>IF('Informe Kelly'!H779=$A$2,'Informe Kelly'!F779,"")</f>
        <v/>
      </c>
      <c r="G786" s="85">
        <f>IF('Informe Kelly'!H779=$A$3,'Informe Kelly'!F779,"")</f>
        <v>0.32197916666666665</v>
      </c>
      <c r="H786" s="85">
        <f>IF(C786=C784,0,IF(D786=D785,0,(HLOOKUP(C786,Ingreso!$AN$10:$AU$260,VLOOKUP(A786,Ingreso!$AL$11:$AM$260,2,FALSE)))/24))</f>
        <v>0</v>
      </c>
      <c r="I786" s="77">
        <f t="shared" si="25"/>
        <v>0.375</v>
      </c>
    </row>
    <row r="787" spans="1:9">
      <c r="A787" s="85" t="str">
        <f>VLOOKUP('Informe Kelly'!A780,Base!A:B,2,FALSE)</f>
        <v>14.181.387-0</v>
      </c>
      <c r="B787" s="85" t="str">
        <f>VLOOKUP('Informe Kelly'!A780,Base!A:G,7,FALSE)</f>
        <v>DEL RIO TRONCOSO JORGE ANDRES</v>
      </c>
      <c r="C787" s="91">
        <f>'Informe Kelly'!E780</f>
        <v>40646</v>
      </c>
      <c r="D787" s="96">
        <f t="shared" si="24"/>
        <v>406</v>
      </c>
      <c r="E787" s="85" t="str">
        <f>VLOOKUP(A787,Ingreso!K:P,6,FALSE)</f>
        <v>Turno C</v>
      </c>
      <c r="F787" s="85">
        <f>IF('Informe Kelly'!H780=$A$2,'Informe Kelly'!F780,"")</f>
        <v>0.91972222222222222</v>
      </c>
      <c r="G787" s="85" t="str">
        <f>IF('Informe Kelly'!H780=$A$3,'Informe Kelly'!F780,"")</f>
        <v/>
      </c>
      <c r="H787" s="85">
        <f>IF(C787=C785,0,IF(D787=D786,0,(HLOOKUP(C787,Ingreso!$AN$10:$AU$260,VLOOKUP(A787,Ingreso!$AL$11:$AM$260,2,FALSE)))/24))</f>
        <v>0</v>
      </c>
      <c r="I787" s="77">
        <f t="shared" si="25"/>
        <v>0</v>
      </c>
    </row>
    <row r="788" spans="1:9">
      <c r="A788" s="85" t="str">
        <f>VLOOKUP('Informe Kelly'!A781,Base!A:B,2,FALSE)</f>
        <v>14.181.387-0</v>
      </c>
      <c r="B788" s="85" t="str">
        <f>VLOOKUP('Informe Kelly'!A781,Base!A:G,7,FALSE)</f>
        <v>DEL RIO TRONCOSO JORGE ANDRES</v>
      </c>
      <c r="C788" s="91">
        <f>'Informe Kelly'!E781</f>
        <v>40647</v>
      </c>
      <c r="D788" s="96">
        <f t="shared" si="24"/>
        <v>407</v>
      </c>
      <c r="E788" s="85" t="str">
        <f>VLOOKUP(A788,Ingreso!K:P,6,FALSE)</f>
        <v>Turno C</v>
      </c>
      <c r="F788" s="85" t="str">
        <f>IF('Informe Kelly'!H781=$A$2,'Informe Kelly'!F781,"")</f>
        <v/>
      </c>
      <c r="G788" s="85">
        <f>IF('Informe Kelly'!H781=$A$3,'Informe Kelly'!F781,"")</f>
        <v>0.31783564814814813</v>
      </c>
      <c r="H788" s="85">
        <f>IF(C788=C786,0,IF(D788=D787,0,(HLOOKUP(C788,Ingreso!$AN$10:$AU$260,VLOOKUP(A788,Ingreso!$AL$11:$AM$260,2,FALSE)))/24))</f>
        <v>0</v>
      </c>
      <c r="I788" s="77">
        <f t="shared" si="25"/>
        <v>0.375</v>
      </c>
    </row>
    <row r="789" spans="1:9">
      <c r="A789" s="85" t="str">
        <f>VLOOKUP('Informe Kelly'!A782,Base!A:B,2,FALSE)</f>
        <v>14.181.387-0</v>
      </c>
      <c r="B789" s="85" t="str">
        <f>VLOOKUP('Informe Kelly'!A782,Base!A:G,7,FALSE)</f>
        <v>DEL RIO TRONCOSO JORGE ANDRES</v>
      </c>
      <c r="C789" s="91">
        <f>'Informe Kelly'!E782</f>
        <v>40647</v>
      </c>
      <c r="D789" s="96">
        <f t="shared" si="24"/>
        <v>407</v>
      </c>
      <c r="E789" s="85" t="str">
        <f>VLOOKUP(A789,Ingreso!K:P,6,FALSE)</f>
        <v>Turno C</v>
      </c>
      <c r="F789" s="85">
        <f>IF('Informe Kelly'!H782=$A$2,'Informe Kelly'!F782,"")</f>
        <v>0.92179398148148151</v>
      </c>
      <c r="G789" s="85" t="str">
        <f>IF('Informe Kelly'!H782=$A$3,'Informe Kelly'!F782,"")</f>
        <v/>
      </c>
      <c r="H789" s="85">
        <f>IF(C789=C787,0,IF(D789=D788,0,(HLOOKUP(C789,Ingreso!$AN$10:$AU$260,VLOOKUP(A789,Ingreso!$AL$11:$AM$260,2,FALSE)))/24))</f>
        <v>0</v>
      </c>
      <c r="I789" s="77">
        <f t="shared" si="25"/>
        <v>0</v>
      </c>
    </row>
    <row r="790" spans="1:9">
      <c r="A790" s="85" t="str">
        <f>VLOOKUP('Informe Kelly'!A783,Base!A:B,2,FALSE)</f>
        <v>14.181.387-0</v>
      </c>
      <c r="B790" s="85" t="str">
        <f>VLOOKUP('Informe Kelly'!A783,Base!A:G,7,FALSE)</f>
        <v>DEL RIO TRONCOSO JORGE ANDRES</v>
      </c>
      <c r="C790" s="91">
        <f>'Informe Kelly'!E783</f>
        <v>40648</v>
      </c>
      <c r="D790" s="96">
        <f t="shared" si="24"/>
        <v>408</v>
      </c>
      <c r="E790" s="85" t="str">
        <f>VLOOKUP(A790,Ingreso!K:P,6,FALSE)</f>
        <v>Turno C</v>
      </c>
      <c r="F790" s="85">
        <f>IF('Informe Kelly'!H783=$A$2,'Informe Kelly'!F783,"")</f>
        <v>0.92148148148148146</v>
      </c>
      <c r="G790" s="85" t="str">
        <f>IF('Informe Kelly'!H783=$A$3,'Informe Kelly'!F783,"")</f>
        <v/>
      </c>
      <c r="H790" s="85">
        <f>IF(C790=C788,0,IF(D790=D789,0,(HLOOKUP(C790,Ingreso!$AN$10:$AU$260,VLOOKUP(A790,Ingreso!$AL$11:$AM$260,2,FALSE)))/24))</f>
        <v>0</v>
      </c>
      <c r="I790" s="77">
        <f t="shared" si="25"/>
        <v>0.375</v>
      </c>
    </row>
    <row r="791" spans="1:9">
      <c r="A791" s="85" t="str">
        <f>VLOOKUP('Informe Kelly'!A784,Base!A:B,2,FALSE)</f>
        <v>14.181.387-0</v>
      </c>
      <c r="B791" s="85" t="str">
        <f>VLOOKUP('Informe Kelly'!A784,Base!A:G,7,FALSE)</f>
        <v>DEL RIO TRONCOSO JORGE ANDRES</v>
      </c>
      <c r="C791" s="91">
        <f>'Informe Kelly'!E784</f>
        <v>40648</v>
      </c>
      <c r="D791" s="96">
        <f t="shared" si="24"/>
        <v>408</v>
      </c>
      <c r="E791" s="85" t="str">
        <f>VLOOKUP(A791,Ingreso!K:P,6,FALSE)</f>
        <v>Turno C</v>
      </c>
      <c r="F791" s="85" t="str">
        <f>IF('Informe Kelly'!H784=$A$2,'Informe Kelly'!F784,"")</f>
        <v/>
      </c>
      <c r="G791" s="85">
        <f>IF('Informe Kelly'!H784=$A$3,'Informe Kelly'!F784,"")</f>
        <v>0.31498842592592591</v>
      </c>
      <c r="H791" s="85">
        <f>IF(C791=C789,0,IF(D791=D790,0,(HLOOKUP(C791,Ingreso!$AN$10:$AU$260,VLOOKUP(A791,Ingreso!$AL$11:$AM$260,2,FALSE)))/24))</f>
        <v>0</v>
      </c>
      <c r="I791" s="77">
        <f t="shared" si="25"/>
        <v>0</v>
      </c>
    </row>
    <row r="792" spans="1:9">
      <c r="A792" s="85" t="str">
        <f>VLOOKUP('Informe Kelly'!A785,Base!A:B,2,FALSE)</f>
        <v>14.181.387-0</v>
      </c>
      <c r="B792" s="85" t="str">
        <f>VLOOKUP('Informe Kelly'!A785,Base!A:G,7,FALSE)</f>
        <v>DEL RIO TRONCOSO JORGE ANDRES</v>
      </c>
      <c r="C792" s="91">
        <f>'Informe Kelly'!E785</f>
        <v>40649</v>
      </c>
      <c r="D792" s="96">
        <f t="shared" si="24"/>
        <v>409</v>
      </c>
      <c r="E792" s="85" t="str">
        <f>VLOOKUP(A792,Ingreso!K:P,6,FALSE)</f>
        <v>Turno C</v>
      </c>
      <c r="F792" s="85" t="str">
        <f>IF('Informe Kelly'!H785=$A$2,'Informe Kelly'!F785,"")</f>
        <v/>
      </c>
      <c r="G792" s="85">
        <f>IF('Informe Kelly'!H785=$A$3,'Informe Kelly'!F785,"")</f>
        <v>0.31837962962962962</v>
      </c>
      <c r="H792" s="85">
        <f>IF(C792=C790,0,IF(D792=D791,0,(HLOOKUP(C792,Ingreso!$AN$10:$AU$260,VLOOKUP(A792,Ingreso!$AL$11:$AM$260,2,FALSE)))/24))</f>
        <v>0</v>
      </c>
      <c r="I792" s="77">
        <f t="shared" si="25"/>
        <v>0.375</v>
      </c>
    </row>
    <row r="793" spans="1:9">
      <c r="A793" s="85" t="str">
        <f>VLOOKUP('Informe Kelly'!A786,Base!A:B,2,FALSE)</f>
        <v>14.185.109-8</v>
      </c>
      <c r="B793" s="85" t="str">
        <f>VLOOKUP('Informe Kelly'!A786,Base!A:G,7,FALSE)</f>
        <v>REYES FUENZALIDA GUILLERMO ANTONIO</v>
      </c>
      <c r="C793" s="91">
        <f>'Informe Kelly'!E786</f>
        <v>40644</v>
      </c>
      <c r="D793" s="96">
        <f t="shared" si="24"/>
        <v>410</v>
      </c>
      <c r="E793" s="85" t="str">
        <f>VLOOKUP(A793,Ingreso!K:P,6,FALSE)</f>
        <v>Turno B</v>
      </c>
      <c r="F793" s="85">
        <f>IF('Informe Kelly'!H786=$A$2,'Informe Kelly'!F786,"")</f>
        <v>0.61427083333333332</v>
      </c>
      <c r="G793" s="85" t="str">
        <f>IF('Informe Kelly'!H786=$A$3,'Informe Kelly'!F786,"")</f>
        <v/>
      </c>
      <c r="H793" s="85">
        <f>IF(C793=C791,0,IF(D793=D792,0,(HLOOKUP(C793,Ingreso!$AN$10:$AU$260,VLOOKUP(A793,Ingreso!$AL$11:$AM$260,2,FALSE)))/24))</f>
        <v>0</v>
      </c>
      <c r="I793" s="77">
        <f t="shared" si="25"/>
        <v>0.3125</v>
      </c>
    </row>
    <row r="794" spans="1:9">
      <c r="A794" s="85" t="str">
        <f>VLOOKUP('Informe Kelly'!A787,Base!A:B,2,FALSE)</f>
        <v>14.185.109-8</v>
      </c>
      <c r="B794" s="85" t="str">
        <f>VLOOKUP('Informe Kelly'!A787,Base!A:G,7,FALSE)</f>
        <v>REYES FUENZALIDA GUILLERMO ANTONIO</v>
      </c>
      <c r="C794" s="91">
        <f>'Informe Kelly'!E787</f>
        <v>40644</v>
      </c>
      <c r="D794" s="96">
        <f t="shared" si="24"/>
        <v>410</v>
      </c>
      <c r="E794" s="85" t="str">
        <f>VLOOKUP(A794,Ingreso!K:P,6,FALSE)</f>
        <v>Turno B</v>
      </c>
      <c r="F794" s="85" t="str">
        <f>IF('Informe Kelly'!H787=$A$2,'Informe Kelly'!F787,"")</f>
        <v/>
      </c>
      <c r="G794" s="85">
        <f>IF('Informe Kelly'!H787=$A$3,'Informe Kelly'!F787,"")</f>
        <v>0.94415509259259256</v>
      </c>
      <c r="H794" s="85">
        <f>IF(C794=C792,0,IF(D794=D793,0,(HLOOKUP(C794,Ingreso!$AN$10:$AU$260,VLOOKUP(A794,Ingreso!$AL$11:$AM$260,2,FALSE)))/24))</f>
        <v>0</v>
      </c>
      <c r="I794" s="77">
        <f t="shared" si="25"/>
        <v>0</v>
      </c>
    </row>
    <row r="795" spans="1:9">
      <c r="A795" s="85" t="str">
        <f>VLOOKUP('Informe Kelly'!A788,Base!A:B,2,FALSE)</f>
        <v>14.185.109-8</v>
      </c>
      <c r="B795" s="85" t="str">
        <f>VLOOKUP('Informe Kelly'!A788,Base!A:G,7,FALSE)</f>
        <v>REYES FUENZALIDA GUILLERMO ANTONIO</v>
      </c>
      <c r="C795" s="91">
        <f>'Informe Kelly'!E788</f>
        <v>40645</v>
      </c>
      <c r="D795" s="96">
        <f t="shared" si="24"/>
        <v>411</v>
      </c>
      <c r="E795" s="85" t="str">
        <f>VLOOKUP(A795,Ingreso!K:P,6,FALSE)</f>
        <v>Turno B</v>
      </c>
      <c r="F795" s="85">
        <f>IF('Informe Kelly'!H788=$A$2,'Informe Kelly'!F788,"")</f>
        <v>0.61346064814814816</v>
      </c>
      <c r="G795" s="85" t="str">
        <f>IF('Informe Kelly'!H788=$A$3,'Informe Kelly'!F788,"")</f>
        <v/>
      </c>
      <c r="H795" s="85">
        <f>IF(C795=C793,0,IF(D795=D794,0,(HLOOKUP(C795,Ingreso!$AN$10:$AU$260,VLOOKUP(A795,Ingreso!$AL$11:$AM$260,2,FALSE)))/24))</f>
        <v>0</v>
      </c>
      <c r="I795" s="77">
        <f t="shared" si="25"/>
        <v>0.3125</v>
      </c>
    </row>
    <row r="796" spans="1:9">
      <c r="A796" s="85" t="str">
        <f>VLOOKUP('Informe Kelly'!A789,Base!A:B,2,FALSE)</f>
        <v>14.185.109-8</v>
      </c>
      <c r="B796" s="85" t="str">
        <f>VLOOKUP('Informe Kelly'!A789,Base!A:G,7,FALSE)</f>
        <v>REYES FUENZALIDA GUILLERMO ANTONIO</v>
      </c>
      <c r="C796" s="91">
        <f>'Informe Kelly'!E789</f>
        <v>40645</v>
      </c>
      <c r="D796" s="96">
        <f t="shared" si="24"/>
        <v>411</v>
      </c>
      <c r="E796" s="85" t="str">
        <f>VLOOKUP(A796,Ingreso!K:P,6,FALSE)</f>
        <v>Turno B</v>
      </c>
      <c r="F796" s="85" t="str">
        <f>IF('Informe Kelly'!H789=$A$2,'Informe Kelly'!F789,"")</f>
        <v/>
      </c>
      <c r="G796" s="85">
        <f>IF('Informe Kelly'!H789=$A$3,'Informe Kelly'!F789,"")</f>
        <v>0.94187500000000002</v>
      </c>
      <c r="H796" s="85">
        <f>IF(C796=C794,0,IF(D796=D795,0,(HLOOKUP(C796,Ingreso!$AN$10:$AU$260,VLOOKUP(A796,Ingreso!$AL$11:$AM$260,2,FALSE)))/24))</f>
        <v>0</v>
      </c>
      <c r="I796" s="77">
        <f t="shared" si="25"/>
        <v>0</v>
      </c>
    </row>
    <row r="797" spans="1:9">
      <c r="A797" s="85" t="str">
        <f>VLOOKUP('Informe Kelly'!A790,Base!A:B,2,FALSE)</f>
        <v>14.185.109-8</v>
      </c>
      <c r="B797" s="85" t="str">
        <f>VLOOKUP('Informe Kelly'!A790,Base!A:G,7,FALSE)</f>
        <v>REYES FUENZALIDA GUILLERMO ANTONIO</v>
      </c>
      <c r="C797" s="91">
        <f>'Informe Kelly'!E790</f>
        <v>40646</v>
      </c>
      <c r="D797" s="96">
        <f t="shared" si="24"/>
        <v>412</v>
      </c>
      <c r="E797" s="85" t="str">
        <f>VLOOKUP(A797,Ingreso!K:P,6,FALSE)</f>
        <v>Turno B</v>
      </c>
      <c r="F797" s="85">
        <f>IF('Informe Kelly'!H790=$A$2,'Informe Kelly'!F790,"")</f>
        <v>0.61510416666666667</v>
      </c>
      <c r="G797" s="85" t="str">
        <f>IF('Informe Kelly'!H790=$A$3,'Informe Kelly'!F790,"")</f>
        <v/>
      </c>
      <c r="H797" s="85">
        <f>IF(C797=C795,0,IF(D797=D796,0,(HLOOKUP(C797,Ingreso!$AN$10:$AU$260,VLOOKUP(A797,Ingreso!$AL$11:$AM$260,2,FALSE)))/24))</f>
        <v>0</v>
      </c>
      <c r="I797" s="77">
        <f t="shared" si="25"/>
        <v>0.3125</v>
      </c>
    </row>
    <row r="798" spans="1:9">
      <c r="A798" s="85" t="str">
        <f>VLOOKUP('Informe Kelly'!A791,Base!A:B,2,FALSE)</f>
        <v>14.185.109-8</v>
      </c>
      <c r="B798" s="85" t="str">
        <f>VLOOKUP('Informe Kelly'!A791,Base!A:G,7,FALSE)</f>
        <v>REYES FUENZALIDA GUILLERMO ANTONIO</v>
      </c>
      <c r="C798" s="91">
        <f>'Informe Kelly'!E791</f>
        <v>40646</v>
      </c>
      <c r="D798" s="96">
        <f t="shared" si="24"/>
        <v>412</v>
      </c>
      <c r="E798" s="85" t="str">
        <f>VLOOKUP(A798,Ingreso!K:P,6,FALSE)</f>
        <v>Turno B</v>
      </c>
      <c r="F798" s="85" t="str">
        <f>IF('Informe Kelly'!H791=$A$2,'Informe Kelly'!F791,"")</f>
        <v/>
      </c>
      <c r="G798" s="85">
        <f>IF('Informe Kelly'!H791=$A$3,'Informe Kelly'!F791,"")</f>
        <v>0.94302083333333331</v>
      </c>
      <c r="H798" s="85">
        <f>IF(C798=C796,0,IF(D798=D797,0,(HLOOKUP(C798,Ingreso!$AN$10:$AU$260,VLOOKUP(A798,Ingreso!$AL$11:$AM$260,2,FALSE)))/24))</f>
        <v>0</v>
      </c>
      <c r="I798" s="77">
        <f t="shared" si="25"/>
        <v>0</v>
      </c>
    </row>
    <row r="799" spans="1:9">
      <c r="A799" s="85" t="str">
        <f>VLOOKUP('Informe Kelly'!A792,Base!A:B,2,FALSE)</f>
        <v>14.185.109-8</v>
      </c>
      <c r="B799" s="85" t="str">
        <f>VLOOKUP('Informe Kelly'!A792,Base!A:G,7,FALSE)</f>
        <v>REYES FUENZALIDA GUILLERMO ANTONIO</v>
      </c>
      <c r="C799" s="91">
        <f>'Informe Kelly'!E792</f>
        <v>40647</v>
      </c>
      <c r="D799" s="96">
        <f t="shared" si="24"/>
        <v>413</v>
      </c>
      <c r="E799" s="85" t="str">
        <f>VLOOKUP(A799,Ingreso!K:P,6,FALSE)</f>
        <v>Turno B</v>
      </c>
      <c r="F799" s="85">
        <f>IF('Informe Kelly'!H792=$A$2,'Informe Kelly'!F792,"")</f>
        <v>0.61974537037037036</v>
      </c>
      <c r="G799" s="85" t="str">
        <f>IF('Informe Kelly'!H792=$A$3,'Informe Kelly'!F792,"")</f>
        <v/>
      </c>
      <c r="H799" s="85">
        <f>IF(C799=C797,0,IF(D799=D798,0,(HLOOKUP(C799,Ingreso!$AN$10:$AU$260,VLOOKUP(A799,Ingreso!$AL$11:$AM$260,2,FALSE)))/24))</f>
        <v>0</v>
      </c>
      <c r="I799" s="77">
        <f t="shared" si="25"/>
        <v>0.3125</v>
      </c>
    </row>
    <row r="800" spans="1:9">
      <c r="A800" s="85" t="str">
        <f>VLOOKUP('Informe Kelly'!A793,Base!A:B,2,FALSE)</f>
        <v>14.185.109-8</v>
      </c>
      <c r="B800" s="85" t="str">
        <f>VLOOKUP('Informe Kelly'!A793,Base!A:G,7,FALSE)</f>
        <v>REYES FUENZALIDA GUILLERMO ANTONIO</v>
      </c>
      <c r="C800" s="91">
        <f>'Informe Kelly'!E793</f>
        <v>40647</v>
      </c>
      <c r="D800" s="96">
        <f t="shared" si="24"/>
        <v>413</v>
      </c>
      <c r="E800" s="85" t="str">
        <f>VLOOKUP(A800,Ingreso!K:P,6,FALSE)</f>
        <v>Turno B</v>
      </c>
      <c r="F800" s="85" t="str">
        <f>IF('Informe Kelly'!H793=$A$2,'Informe Kelly'!F793,"")</f>
        <v/>
      </c>
      <c r="G800" s="85">
        <f>IF('Informe Kelly'!H793=$A$3,'Informe Kelly'!F793,"")</f>
        <v>0.94271990740740741</v>
      </c>
      <c r="H800" s="85">
        <f>IF(C800=C798,0,IF(D800=D799,0,(HLOOKUP(C800,Ingreso!$AN$10:$AU$260,VLOOKUP(A800,Ingreso!$AL$11:$AM$260,2,FALSE)))/24))</f>
        <v>0</v>
      </c>
      <c r="I800" s="77">
        <f t="shared" si="25"/>
        <v>0</v>
      </c>
    </row>
    <row r="801" spans="1:9">
      <c r="A801" s="85" t="str">
        <f>VLOOKUP('Informe Kelly'!A794,Base!A:B,2,FALSE)</f>
        <v>14.185.109-8</v>
      </c>
      <c r="B801" s="85" t="str">
        <f>VLOOKUP('Informe Kelly'!A794,Base!A:G,7,FALSE)</f>
        <v>REYES FUENZALIDA GUILLERMO ANTONIO</v>
      </c>
      <c r="C801" s="91">
        <f>'Informe Kelly'!E794</f>
        <v>40648</v>
      </c>
      <c r="D801" s="96">
        <f t="shared" si="24"/>
        <v>414</v>
      </c>
      <c r="E801" s="85" t="str">
        <f>VLOOKUP(A801,Ingreso!K:P,6,FALSE)</f>
        <v>Turno B</v>
      </c>
      <c r="F801" s="85" t="str">
        <f>IF('Informe Kelly'!H794=$A$2,'Informe Kelly'!F794,"")</f>
        <v/>
      </c>
      <c r="G801" s="85">
        <f>IF('Informe Kelly'!H794=$A$3,'Informe Kelly'!F794,"")</f>
        <v>0.94420138888888883</v>
      </c>
      <c r="H801" s="85">
        <f>IF(C801=C799,0,IF(D801=D800,0,(HLOOKUP(C801,Ingreso!$AN$10:$AU$260,VLOOKUP(A801,Ingreso!$AL$11:$AM$260,2,FALSE)))/24))</f>
        <v>0</v>
      </c>
      <c r="I801" s="77">
        <f t="shared" si="25"/>
        <v>0.3125</v>
      </c>
    </row>
    <row r="802" spans="1:9">
      <c r="A802" s="85" t="str">
        <f>VLOOKUP('Informe Kelly'!A795,Base!A:B,2,FALSE)</f>
        <v>14.185.109-8</v>
      </c>
      <c r="B802" s="85" t="str">
        <f>VLOOKUP('Informe Kelly'!A795,Base!A:G,7,FALSE)</f>
        <v>REYES FUENZALIDA GUILLERMO ANTONIO</v>
      </c>
      <c r="C802" s="91">
        <f>'Informe Kelly'!E795</f>
        <v>40648</v>
      </c>
      <c r="D802" s="96">
        <f t="shared" si="24"/>
        <v>414</v>
      </c>
      <c r="E802" s="85" t="str">
        <f>VLOOKUP(A802,Ingreso!K:P,6,FALSE)</f>
        <v>Turno B</v>
      </c>
      <c r="F802" s="85">
        <f>IF('Informe Kelly'!H795=$A$2,'Informe Kelly'!F795,"")</f>
        <v>0.6170254629629629</v>
      </c>
      <c r="G802" s="85" t="str">
        <f>IF('Informe Kelly'!H795=$A$3,'Informe Kelly'!F795,"")</f>
        <v/>
      </c>
      <c r="H802" s="85">
        <f>IF(C802=C800,0,IF(D802=D801,0,(HLOOKUP(C802,Ingreso!$AN$10:$AU$260,VLOOKUP(A802,Ingreso!$AL$11:$AM$260,2,FALSE)))/24))</f>
        <v>0</v>
      </c>
      <c r="I802" s="77">
        <f t="shared" si="25"/>
        <v>0</v>
      </c>
    </row>
    <row r="803" spans="1:9">
      <c r="A803" s="85" t="str">
        <f>VLOOKUP('Informe Kelly'!A796,Base!A:B,2,FALSE)</f>
        <v>14.185.109-8</v>
      </c>
      <c r="B803" s="85" t="str">
        <f>VLOOKUP('Informe Kelly'!A796,Base!A:G,7,FALSE)</f>
        <v>REYES FUENZALIDA GUILLERMO ANTONIO</v>
      </c>
      <c r="C803" s="91">
        <f>'Informe Kelly'!E796</f>
        <v>40649</v>
      </c>
      <c r="D803" s="96">
        <f t="shared" si="24"/>
        <v>415</v>
      </c>
      <c r="E803" s="85" t="str">
        <f>VLOOKUP(A803,Ingreso!K:P,6,FALSE)</f>
        <v>Turno B</v>
      </c>
      <c r="F803" s="85">
        <f>IF('Informe Kelly'!H796=$A$2,'Informe Kelly'!F796,"")</f>
        <v>0.30542824074074076</v>
      </c>
      <c r="G803" s="85" t="str">
        <f>IF('Informe Kelly'!H796=$A$3,'Informe Kelly'!F796,"")</f>
        <v/>
      </c>
      <c r="H803" s="85">
        <f>IF(C803=C801,0,IF(D803=D802,0,(HLOOKUP(C803,Ingreso!$AN$10:$AU$260,VLOOKUP(A803,Ingreso!$AL$11:$AM$260,2,FALSE)))/24))</f>
        <v>0</v>
      </c>
      <c r="I803" s="77">
        <f t="shared" si="25"/>
        <v>0.3125</v>
      </c>
    </row>
    <row r="804" spans="1:9">
      <c r="A804" s="85" t="str">
        <f>VLOOKUP('Informe Kelly'!A797,Base!A:B,2,FALSE)</f>
        <v>14.185.109-8</v>
      </c>
      <c r="B804" s="85" t="str">
        <f>VLOOKUP('Informe Kelly'!A797,Base!A:G,7,FALSE)</f>
        <v>REYES FUENZALIDA GUILLERMO ANTONIO</v>
      </c>
      <c r="C804" s="91">
        <f>'Informe Kelly'!E797</f>
        <v>40649</v>
      </c>
      <c r="D804" s="96">
        <f t="shared" si="24"/>
        <v>415</v>
      </c>
      <c r="E804" s="85" t="str">
        <f>VLOOKUP(A804,Ingreso!K:P,6,FALSE)</f>
        <v>Turno B</v>
      </c>
      <c r="F804" s="85" t="str">
        <f>IF('Informe Kelly'!H797=$A$2,'Informe Kelly'!F797,"")</f>
        <v/>
      </c>
      <c r="G804" s="85">
        <f>IF('Informe Kelly'!H797=$A$3,'Informe Kelly'!F797,"")</f>
        <v>0.63031249999999994</v>
      </c>
      <c r="H804" s="85">
        <f>IF(C804=C802,0,IF(D804=D803,0,(HLOOKUP(C804,Ingreso!$AN$10:$AU$260,VLOOKUP(A804,Ingreso!$AL$11:$AM$260,2,FALSE)))/24))</f>
        <v>0</v>
      </c>
      <c r="I804" s="77">
        <f t="shared" si="25"/>
        <v>0</v>
      </c>
    </row>
    <row r="805" spans="1:9">
      <c r="A805" s="85" t="str">
        <f>VLOOKUP('Informe Kelly'!A798,Base!A:B,2,FALSE)</f>
        <v>14.336.364-3</v>
      </c>
      <c r="B805" s="85" t="str">
        <f>VLOOKUP('Informe Kelly'!A798,Base!A:G,7,FALSE)</f>
        <v>HERRERA PALMA ARIEL</v>
      </c>
      <c r="C805" s="91">
        <f>'Informe Kelly'!E798</f>
        <v>40644</v>
      </c>
      <c r="D805" s="96">
        <f t="shared" si="24"/>
        <v>416</v>
      </c>
      <c r="E805" s="85" t="str">
        <f>VLOOKUP(A805,Ingreso!K:P,6,FALSE)</f>
        <v>Turno C</v>
      </c>
      <c r="F805" s="85" t="str">
        <f>IF('Informe Kelly'!H798=$A$2,'Informe Kelly'!F798,"")</f>
        <v/>
      </c>
      <c r="G805" s="85">
        <f>IF('Informe Kelly'!H798=$A$3,'Informe Kelly'!F798,"")</f>
        <v>0.32226851851851851</v>
      </c>
      <c r="H805" s="85">
        <f>IF(C805=C803,0,IF(D805=D804,0,(HLOOKUP(C805,Ingreso!$AN$10:$AU$260,VLOOKUP(A805,Ingreso!$AL$11:$AM$260,2,FALSE)))/24))</f>
        <v>0.3125</v>
      </c>
      <c r="I805" s="77">
        <f t="shared" si="25"/>
        <v>0.375</v>
      </c>
    </row>
    <row r="806" spans="1:9">
      <c r="A806" s="85" t="str">
        <f>VLOOKUP('Informe Kelly'!A799,Base!A:B,2,FALSE)</f>
        <v>14.336.364-3</v>
      </c>
      <c r="B806" s="85" t="str">
        <f>VLOOKUP('Informe Kelly'!A799,Base!A:G,7,FALSE)</f>
        <v>HERRERA PALMA ARIEL</v>
      </c>
      <c r="C806" s="91">
        <f>'Informe Kelly'!E799</f>
        <v>40644</v>
      </c>
      <c r="D806" s="96">
        <f t="shared" si="24"/>
        <v>416</v>
      </c>
      <c r="E806" s="85" t="str">
        <f>VLOOKUP(A806,Ingreso!K:P,6,FALSE)</f>
        <v>Turno C</v>
      </c>
      <c r="F806" s="85">
        <f>IF('Informe Kelly'!H799=$A$2,'Informe Kelly'!F799,"")</f>
        <v>0.92590277777777785</v>
      </c>
      <c r="G806" s="85" t="str">
        <f>IF('Informe Kelly'!H799=$A$3,'Informe Kelly'!F799,"")</f>
        <v/>
      </c>
      <c r="H806" s="85">
        <f>IF(C806=C804,0,IF(D806=D805,0,(HLOOKUP(C806,Ingreso!$AN$10:$AU$260,VLOOKUP(A806,Ingreso!$AL$11:$AM$260,2,FALSE)))/24))</f>
        <v>0</v>
      </c>
      <c r="I806" s="77">
        <f t="shared" si="25"/>
        <v>0</v>
      </c>
    </row>
    <row r="807" spans="1:9">
      <c r="A807" s="85" t="str">
        <f>VLOOKUP('Informe Kelly'!A800,Base!A:B,2,FALSE)</f>
        <v>14.336.364-3</v>
      </c>
      <c r="B807" s="85" t="str">
        <f>VLOOKUP('Informe Kelly'!A800,Base!A:G,7,FALSE)</f>
        <v>HERRERA PALMA ARIEL</v>
      </c>
      <c r="C807" s="91">
        <f>'Informe Kelly'!E800</f>
        <v>40645</v>
      </c>
      <c r="D807" s="96">
        <f t="shared" si="24"/>
        <v>417</v>
      </c>
      <c r="E807" s="85" t="str">
        <f>VLOOKUP(A807,Ingreso!K:P,6,FALSE)</f>
        <v>Turno C</v>
      </c>
      <c r="F807" s="85" t="str">
        <f>IF('Informe Kelly'!H800=$A$2,'Informe Kelly'!F800,"")</f>
        <v/>
      </c>
      <c r="G807" s="85">
        <f>IF('Informe Kelly'!H800=$A$3,'Informe Kelly'!F800,"")</f>
        <v>0.30138888888888887</v>
      </c>
      <c r="H807" s="85">
        <f>IF(C807=C805,0,IF(D807=D806,0,(HLOOKUP(C807,Ingreso!$AN$10:$AU$260,VLOOKUP(A807,Ingreso!$AL$11:$AM$260,2,FALSE)))/24))</f>
        <v>0</v>
      </c>
      <c r="I807" s="77">
        <f t="shared" si="25"/>
        <v>0.375</v>
      </c>
    </row>
    <row r="808" spans="1:9">
      <c r="A808" s="85" t="str">
        <f>VLOOKUP('Informe Kelly'!A801,Base!A:B,2,FALSE)</f>
        <v>14.336.364-3</v>
      </c>
      <c r="B808" s="85" t="str">
        <f>VLOOKUP('Informe Kelly'!A801,Base!A:G,7,FALSE)</f>
        <v>HERRERA PALMA ARIEL</v>
      </c>
      <c r="C808" s="91">
        <f>'Informe Kelly'!E801</f>
        <v>40645</v>
      </c>
      <c r="D808" s="96">
        <f t="shared" si="24"/>
        <v>417</v>
      </c>
      <c r="E808" s="85" t="str">
        <f>VLOOKUP(A808,Ingreso!K:P,6,FALSE)</f>
        <v>Turno C</v>
      </c>
      <c r="F808" s="85">
        <f>IF('Informe Kelly'!H801=$A$2,'Informe Kelly'!F801,"")</f>
        <v>0.92158564814814825</v>
      </c>
      <c r="G808" s="85" t="str">
        <f>IF('Informe Kelly'!H801=$A$3,'Informe Kelly'!F801,"")</f>
        <v/>
      </c>
      <c r="H808" s="85">
        <f>IF(C808=C806,0,IF(D808=D807,0,(HLOOKUP(C808,Ingreso!$AN$10:$AU$260,VLOOKUP(A808,Ingreso!$AL$11:$AM$260,2,FALSE)))/24))</f>
        <v>0</v>
      </c>
      <c r="I808" s="77">
        <f t="shared" si="25"/>
        <v>0</v>
      </c>
    </row>
    <row r="809" spans="1:9">
      <c r="A809" s="85" t="str">
        <f>VLOOKUP('Informe Kelly'!A802,Base!A:B,2,FALSE)</f>
        <v>14.336.364-3</v>
      </c>
      <c r="B809" s="85" t="str">
        <f>VLOOKUP('Informe Kelly'!A802,Base!A:G,7,FALSE)</f>
        <v>HERRERA PALMA ARIEL</v>
      </c>
      <c r="C809" s="91">
        <f>'Informe Kelly'!E802</f>
        <v>40646</v>
      </c>
      <c r="D809" s="96">
        <f t="shared" si="24"/>
        <v>418</v>
      </c>
      <c r="E809" s="85" t="str">
        <f>VLOOKUP(A809,Ingreso!K:P,6,FALSE)</f>
        <v>Turno C</v>
      </c>
      <c r="F809" s="85" t="str">
        <f>IF('Informe Kelly'!H802=$A$2,'Informe Kelly'!F802,"")</f>
        <v/>
      </c>
      <c r="G809" s="85">
        <f>IF('Informe Kelly'!H802=$A$3,'Informe Kelly'!F802,"")</f>
        <v>0.30432870370370374</v>
      </c>
      <c r="H809" s="85">
        <f>IF(C809=C807,0,IF(D809=D808,0,(HLOOKUP(C809,Ingreso!$AN$10:$AU$260,VLOOKUP(A809,Ingreso!$AL$11:$AM$260,2,FALSE)))/24))</f>
        <v>0</v>
      </c>
      <c r="I809" s="77">
        <f t="shared" si="25"/>
        <v>0.375</v>
      </c>
    </row>
    <row r="810" spans="1:9">
      <c r="A810" s="85" t="str">
        <f>VLOOKUP('Informe Kelly'!A803,Base!A:B,2,FALSE)</f>
        <v>14.336.364-3</v>
      </c>
      <c r="B810" s="85" t="str">
        <f>VLOOKUP('Informe Kelly'!A803,Base!A:G,7,FALSE)</f>
        <v>HERRERA PALMA ARIEL</v>
      </c>
      <c r="C810" s="91">
        <f>'Informe Kelly'!E803</f>
        <v>40646</v>
      </c>
      <c r="D810" s="96">
        <f t="shared" si="24"/>
        <v>418</v>
      </c>
      <c r="E810" s="85" t="str">
        <f>VLOOKUP(A810,Ingreso!K:P,6,FALSE)</f>
        <v>Turno C</v>
      </c>
      <c r="F810" s="85">
        <f>IF('Informe Kelly'!H803=$A$2,'Informe Kelly'!F803,"")</f>
        <v>0.9252893518518519</v>
      </c>
      <c r="G810" s="85" t="str">
        <f>IF('Informe Kelly'!H803=$A$3,'Informe Kelly'!F803,"")</f>
        <v/>
      </c>
      <c r="H810" s="85">
        <f>IF(C810=C808,0,IF(D810=D809,0,(HLOOKUP(C810,Ingreso!$AN$10:$AU$260,VLOOKUP(A810,Ingreso!$AL$11:$AM$260,2,FALSE)))/24))</f>
        <v>0</v>
      </c>
      <c r="I810" s="77">
        <f t="shared" si="25"/>
        <v>0</v>
      </c>
    </row>
    <row r="811" spans="1:9">
      <c r="A811" s="85" t="str">
        <f>VLOOKUP('Informe Kelly'!A804,Base!A:B,2,FALSE)</f>
        <v>14.336.364-3</v>
      </c>
      <c r="B811" s="85" t="str">
        <f>VLOOKUP('Informe Kelly'!A804,Base!A:G,7,FALSE)</f>
        <v>HERRERA PALMA ARIEL</v>
      </c>
      <c r="C811" s="91">
        <f>'Informe Kelly'!E804</f>
        <v>40647</v>
      </c>
      <c r="D811" s="96">
        <f t="shared" si="24"/>
        <v>419</v>
      </c>
      <c r="E811" s="85" t="str">
        <f>VLOOKUP(A811,Ingreso!K:P,6,FALSE)</f>
        <v>Turno C</v>
      </c>
      <c r="F811" s="85" t="str">
        <f>IF('Informe Kelly'!H804=$A$2,'Informe Kelly'!F804,"")</f>
        <v/>
      </c>
      <c r="G811" s="85">
        <f>IF('Informe Kelly'!H804=$A$3,'Informe Kelly'!F804,"")</f>
        <v>0.3059027777777778</v>
      </c>
      <c r="H811" s="85">
        <f>IF(C811=C809,0,IF(D811=D810,0,(HLOOKUP(C811,Ingreso!$AN$10:$AU$260,VLOOKUP(A811,Ingreso!$AL$11:$AM$260,2,FALSE)))/24))</f>
        <v>0</v>
      </c>
      <c r="I811" s="77">
        <f t="shared" si="25"/>
        <v>0.375</v>
      </c>
    </row>
    <row r="812" spans="1:9">
      <c r="A812" s="85" t="str">
        <f>VLOOKUP('Informe Kelly'!A805,Base!A:B,2,FALSE)</f>
        <v>14.336.364-3</v>
      </c>
      <c r="B812" s="85" t="str">
        <f>VLOOKUP('Informe Kelly'!A805,Base!A:G,7,FALSE)</f>
        <v>HERRERA PALMA ARIEL</v>
      </c>
      <c r="C812" s="91">
        <f>'Informe Kelly'!E805</f>
        <v>40647</v>
      </c>
      <c r="D812" s="96">
        <f t="shared" si="24"/>
        <v>419</v>
      </c>
      <c r="E812" s="85" t="str">
        <f>VLOOKUP(A812,Ingreso!K:P,6,FALSE)</f>
        <v>Turno C</v>
      </c>
      <c r="F812" s="85">
        <f>IF('Informe Kelly'!H805=$A$2,'Informe Kelly'!F805,"")</f>
        <v>0.9284027777777778</v>
      </c>
      <c r="G812" s="85" t="str">
        <f>IF('Informe Kelly'!H805=$A$3,'Informe Kelly'!F805,"")</f>
        <v/>
      </c>
      <c r="H812" s="85">
        <f>IF(C812=C810,0,IF(D812=D811,0,(HLOOKUP(C812,Ingreso!$AN$10:$AU$260,VLOOKUP(A812,Ingreso!$AL$11:$AM$260,2,FALSE)))/24))</f>
        <v>0</v>
      </c>
      <c r="I812" s="77">
        <f t="shared" si="25"/>
        <v>0</v>
      </c>
    </row>
    <row r="813" spans="1:9">
      <c r="A813" s="85" t="str">
        <f>VLOOKUP('Informe Kelly'!A806,Base!A:B,2,FALSE)</f>
        <v>14.336.364-3</v>
      </c>
      <c r="B813" s="85" t="str">
        <f>VLOOKUP('Informe Kelly'!A806,Base!A:G,7,FALSE)</f>
        <v>HERRERA PALMA ARIEL</v>
      </c>
      <c r="C813" s="91">
        <f>'Informe Kelly'!E806</f>
        <v>40648</v>
      </c>
      <c r="D813" s="96">
        <f t="shared" si="24"/>
        <v>420</v>
      </c>
      <c r="E813" s="85" t="str">
        <f>VLOOKUP(A813,Ingreso!K:P,6,FALSE)</f>
        <v>Turno C</v>
      </c>
      <c r="F813" s="85">
        <f>IF('Informe Kelly'!H806=$A$2,'Informe Kelly'!F806,"")</f>
        <v>0.92721064814814813</v>
      </c>
      <c r="G813" s="85" t="str">
        <f>IF('Informe Kelly'!H806=$A$3,'Informe Kelly'!F806,"")</f>
        <v/>
      </c>
      <c r="H813" s="85">
        <f>IF(C813=C811,0,IF(D813=D812,0,(HLOOKUP(C813,Ingreso!$AN$10:$AU$260,VLOOKUP(A813,Ingreso!$AL$11:$AM$260,2,FALSE)))/24))</f>
        <v>0</v>
      </c>
      <c r="I813" s="77">
        <f t="shared" si="25"/>
        <v>0.375</v>
      </c>
    </row>
    <row r="814" spans="1:9">
      <c r="A814" s="85" t="str">
        <f>VLOOKUP('Informe Kelly'!A807,Base!A:B,2,FALSE)</f>
        <v>14.336.364-3</v>
      </c>
      <c r="B814" s="85" t="str">
        <f>VLOOKUP('Informe Kelly'!A807,Base!A:G,7,FALSE)</f>
        <v>HERRERA PALMA ARIEL</v>
      </c>
      <c r="C814" s="91">
        <f>'Informe Kelly'!E807</f>
        <v>40648</v>
      </c>
      <c r="D814" s="96">
        <f t="shared" si="24"/>
        <v>420</v>
      </c>
      <c r="E814" s="85" t="str">
        <f>VLOOKUP(A814,Ingreso!K:P,6,FALSE)</f>
        <v>Turno C</v>
      </c>
      <c r="F814" s="85" t="str">
        <f>IF('Informe Kelly'!H807=$A$2,'Informe Kelly'!F807,"")</f>
        <v/>
      </c>
      <c r="G814" s="85">
        <f>IF('Informe Kelly'!H807=$A$3,'Informe Kelly'!F807,"")</f>
        <v>0.31287037037037035</v>
      </c>
      <c r="H814" s="85">
        <f>IF(C814=C812,0,IF(D814=D813,0,(HLOOKUP(C814,Ingreso!$AN$10:$AU$260,VLOOKUP(A814,Ingreso!$AL$11:$AM$260,2,FALSE)))/24))</f>
        <v>0</v>
      </c>
      <c r="I814" s="77">
        <f t="shared" si="25"/>
        <v>0</v>
      </c>
    </row>
    <row r="815" spans="1:9">
      <c r="A815" s="85" t="str">
        <f>VLOOKUP('Informe Kelly'!A808,Base!A:B,2,FALSE)</f>
        <v>14.336.364-3</v>
      </c>
      <c r="B815" s="85" t="str">
        <f>VLOOKUP('Informe Kelly'!A808,Base!A:G,7,FALSE)</f>
        <v>HERRERA PALMA ARIEL</v>
      </c>
      <c r="C815" s="91">
        <f>'Informe Kelly'!E808</f>
        <v>40649</v>
      </c>
      <c r="D815" s="96">
        <f t="shared" si="24"/>
        <v>421</v>
      </c>
      <c r="E815" s="85" t="str">
        <f>VLOOKUP(A815,Ingreso!K:P,6,FALSE)</f>
        <v>Turno C</v>
      </c>
      <c r="F815" s="85" t="str">
        <f>IF('Informe Kelly'!H808=$A$2,'Informe Kelly'!F808,"")</f>
        <v/>
      </c>
      <c r="G815" s="85">
        <f>IF('Informe Kelly'!H808=$A$3,'Informe Kelly'!F808,"")</f>
        <v>0.31425925925925924</v>
      </c>
      <c r="H815" s="85">
        <f>IF(C815=C813,0,IF(D815=D814,0,(HLOOKUP(C815,Ingreso!$AN$10:$AU$260,VLOOKUP(A815,Ingreso!$AL$11:$AM$260,2,FALSE)))/24))</f>
        <v>0</v>
      </c>
      <c r="I815" s="77">
        <f t="shared" si="25"/>
        <v>0.375</v>
      </c>
    </row>
    <row r="816" spans="1:9">
      <c r="A816" s="85" t="str">
        <f>VLOOKUP('Informe Kelly'!A809,Base!A:B,2,FALSE)</f>
        <v>14.336.364-3</v>
      </c>
      <c r="B816" s="85" t="str">
        <f>VLOOKUP('Informe Kelly'!A809,Base!A:G,7,FALSE)</f>
        <v>HERRERA PALMA ARIEL</v>
      </c>
      <c r="C816" s="91">
        <f>'Informe Kelly'!E809</f>
        <v>40650</v>
      </c>
      <c r="D816" s="96">
        <f t="shared" si="24"/>
        <v>422</v>
      </c>
      <c r="E816" s="85" t="str">
        <f>VLOOKUP(A816,Ingreso!K:P,6,FALSE)</f>
        <v>Turno C</v>
      </c>
      <c r="F816" s="85">
        <f>IF('Informe Kelly'!H809=$A$2,'Informe Kelly'!F809,"")</f>
        <v>0.98758101851851843</v>
      </c>
      <c r="G816" s="85" t="str">
        <f>IF('Informe Kelly'!H809=$A$3,'Informe Kelly'!F809,"")</f>
        <v/>
      </c>
      <c r="H816" s="85">
        <f>IF(C816=C814,0,IF(D816=D815,0,(HLOOKUP(C816,Ingreso!$AN$10:$AU$260,VLOOKUP(A816,Ingreso!$AL$11:$AM$260,2,FALSE)))/24))</f>
        <v>0</v>
      </c>
      <c r="I816" s="77">
        <f t="shared" si="25"/>
        <v>0.375</v>
      </c>
    </row>
    <row r="817" spans="1:9">
      <c r="A817" s="85" t="str">
        <f>VLOOKUP('Informe Kelly'!A810,Base!A:B,2,FALSE)</f>
        <v>15.102.640-0</v>
      </c>
      <c r="B817" s="85" t="str">
        <f>VLOOKUP('Informe Kelly'!A810,Base!A:G,7,FALSE)</f>
        <v>MARDONES ROJAS LUIS ARTURO</v>
      </c>
      <c r="C817" s="91">
        <f>'Informe Kelly'!E810</f>
        <v>40644</v>
      </c>
      <c r="D817" s="96">
        <f t="shared" si="24"/>
        <v>423</v>
      </c>
      <c r="E817" s="85" t="e">
        <f>VLOOKUP(A817,Ingreso!K:P,6,FALSE)</f>
        <v>#N/A</v>
      </c>
      <c r="F817" s="85">
        <f>IF('Informe Kelly'!H810=$A$2,'Informe Kelly'!F810,"")</f>
        <v>0.29646990740740742</v>
      </c>
      <c r="G817" s="85" t="str">
        <f>IF('Informe Kelly'!H810=$A$3,'Informe Kelly'!F810,"")</f>
        <v/>
      </c>
      <c r="H817" s="85" t="e">
        <f>IF(C817=C815,0,IF(D817=D816,0,(HLOOKUP(C817,Ingreso!$AN$10:$AU$260,VLOOKUP(A817,Ingreso!$AL$11:$AM$260,2,FALSE)))/24))</f>
        <v>#N/A</v>
      </c>
      <c r="I817" s="77" t="e">
        <f t="shared" si="25"/>
        <v>#N/A</v>
      </c>
    </row>
    <row r="818" spans="1:9">
      <c r="A818" s="85" t="str">
        <f>VLOOKUP('Informe Kelly'!A811,Base!A:B,2,FALSE)</f>
        <v>15.102.640-0</v>
      </c>
      <c r="B818" s="85" t="str">
        <f>VLOOKUP('Informe Kelly'!A811,Base!A:G,7,FALSE)</f>
        <v>MARDONES ROJAS LUIS ARTURO</v>
      </c>
      <c r="C818" s="91">
        <f>'Informe Kelly'!E811</f>
        <v>40644</v>
      </c>
      <c r="D818" s="96">
        <f t="shared" si="24"/>
        <v>423</v>
      </c>
      <c r="E818" s="85" t="e">
        <f>VLOOKUP(A818,Ingreso!K:P,6,FALSE)</f>
        <v>#N/A</v>
      </c>
      <c r="F818" s="85" t="str">
        <f>IF('Informe Kelly'!H811=$A$2,'Informe Kelly'!F811,"")</f>
        <v/>
      </c>
      <c r="G818" s="85">
        <f>IF('Informe Kelly'!H811=$A$3,'Informe Kelly'!F811,"")</f>
        <v>0.63822916666666674</v>
      </c>
      <c r="H818" s="85">
        <f>IF(C818=C816,0,IF(D818=D817,0,(HLOOKUP(C818,Ingreso!$AN$10:$AU$260,VLOOKUP(A818,Ingreso!$AL$11:$AM$260,2,FALSE)))/24))</f>
        <v>0</v>
      </c>
      <c r="I818" s="77">
        <f t="shared" si="25"/>
        <v>0</v>
      </c>
    </row>
    <row r="819" spans="1:9">
      <c r="A819" s="85" t="str">
        <f>VLOOKUP('Informe Kelly'!A812,Base!A:B,2,FALSE)</f>
        <v>15.102.640-0</v>
      </c>
      <c r="B819" s="85" t="str">
        <f>VLOOKUP('Informe Kelly'!A812,Base!A:G,7,FALSE)</f>
        <v>MARDONES ROJAS LUIS ARTURO</v>
      </c>
      <c r="C819" s="91">
        <f>'Informe Kelly'!E812</f>
        <v>40645</v>
      </c>
      <c r="D819" s="96">
        <f t="shared" si="24"/>
        <v>424</v>
      </c>
      <c r="E819" s="85" t="e">
        <f>VLOOKUP(A819,Ingreso!K:P,6,FALSE)</f>
        <v>#N/A</v>
      </c>
      <c r="F819" s="85">
        <f>IF('Informe Kelly'!H812=$A$2,'Informe Kelly'!F812,"")</f>
        <v>0.29685185185185187</v>
      </c>
      <c r="G819" s="85" t="str">
        <f>IF('Informe Kelly'!H812=$A$3,'Informe Kelly'!F812,"")</f>
        <v/>
      </c>
      <c r="H819" s="85" t="e">
        <f>IF(C819=C817,0,IF(D819=D818,0,(HLOOKUP(C819,Ingreso!$AN$10:$AU$260,VLOOKUP(A819,Ingreso!$AL$11:$AM$260,2,FALSE)))/24))</f>
        <v>#N/A</v>
      </c>
      <c r="I819" s="77" t="e">
        <f t="shared" si="25"/>
        <v>#N/A</v>
      </c>
    </row>
    <row r="820" spans="1:9">
      <c r="A820" s="85" t="str">
        <f>VLOOKUP('Informe Kelly'!A813,Base!A:B,2,FALSE)</f>
        <v>15.102.640-0</v>
      </c>
      <c r="B820" s="85" t="str">
        <f>VLOOKUP('Informe Kelly'!A813,Base!A:G,7,FALSE)</f>
        <v>MARDONES ROJAS LUIS ARTURO</v>
      </c>
      <c r="C820" s="91">
        <f>'Informe Kelly'!E813</f>
        <v>40645</v>
      </c>
      <c r="D820" s="96">
        <f t="shared" si="24"/>
        <v>424</v>
      </c>
      <c r="E820" s="85" t="e">
        <f>VLOOKUP(A820,Ingreso!K:P,6,FALSE)</f>
        <v>#N/A</v>
      </c>
      <c r="F820" s="85" t="str">
        <f>IF('Informe Kelly'!H813=$A$2,'Informe Kelly'!F813,"")</f>
        <v/>
      </c>
      <c r="G820" s="85">
        <f>IF('Informe Kelly'!H813=$A$3,'Informe Kelly'!F813,"")</f>
        <v>0.63597222222222227</v>
      </c>
      <c r="H820" s="85">
        <f>IF(C820=C818,0,IF(D820=D819,0,(HLOOKUP(C820,Ingreso!$AN$10:$AU$260,VLOOKUP(A820,Ingreso!$AL$11:$AM$260,2,FALSE)))/24))</f>
        <v>0</v>
      </c>
      <c r="I820" s="77">
        <f t="shared" si="25"/>
        <v>0</v>
      </c>
    </row>
    <row r="821" spans="1:9">
      <c r="A821" s="85" t="str">
        <f>VLOOKUP('Informe Kelly'!A814,Base!A:B,2,FALSE)</f>
        <v>15.102.640-0</v>
      </c>
      <c r="B821" s="85" t="str">
        <f>VLOOKUP('Informe Kelly'!A814,Base!A:G,7,FALSE)</f>
        <v>MARDONES ROJAS LUIS ARTURO</v>
      </c>
      <c r="C821" s="91">
        <f>'Informe Kelly'!E814</f>
        <v>40646</v>
      </c>
      <c r="D821" s="96">
        <f t="shared" si="24"/>
        <v>425</v>
      </c>
      <c r="E821" s="85" t="e">
        <f>VLOOKUP(A821,Ingreso!K:P,6,FALSE)</f>
        <v>#N/A</v>
      </c>
      <c r="F821" s="85">
        <f>IF('Informe Kelly'!H814=$A$2,'Informe Kelly'!F814,"")</f>
        <v>0.60865740740740748</v>
      </c>
      <c r="G821" s="85" t="str">
        <f>IF('Informe Kelly'!H814=$A$3,'Informe Kelly'!F814,"")</f>
        <v/>
      </c>
      <c r="H821" s="85" t="e">
        <f>IF(C821=C819,0,IF(D821=D820,0,(HLOOKUP(C821,Ingreso!$AN$10:$AU$260,VLOOKUP(A821,Ingreso!$AL$11:$AM$260,2,FALSE)))/24))</f>
        <v>#N/A</v>
      </c>
      <c r="I821" s="77" t="e">
        <f t="shared" si="25"/>
        <v>#N/A</v>
      </c>
    </row>
    <row r="822" spans="1:9">
      <c r="A822" s="85" t="str">
        <f>VLOOKUP('Informe Kelly'!A815,Base!A:B,2,FALSE)</f>
        <v>15.102.640-0</v>
      </c>
      <c r="B822" s="85" t="str">
        <f>VLOOKUP('Informe Kelly'!A815,Base!A:G,7,FALSE)</f>
        <v>MARDONES ROJAS LUIS ARTURO</v>
      </c>
      <c r="C822" s="91">
        <f>'Informe Kelly'!E815</f>
        <v>40646</v>
      </c>
      <c r="D822" s="96">
        <f t="shared" si="24"/>
        <v>425</v>
      </c>
      <c r="E822" s="85" t="e">
        <f>VLOOKUP(A822,Ingreso!K:P,6,FALSE)</f>
        <v>#N/A</v>
      </c>
      <c r="F822" s="85" t="str">
        <f>IF('Informe Kelly'!H815=$A$2,'Informe Kelly'!F815,"")</f>
        <v/>
      </c>
      <c r="G822" s="85">
        <f>IF('Informe Kelly'!H815=$A$3,'Informe Kelly'!F815,"")</f>
        <v>0.94074074074074077</v>
      </c>
      <c r="H822" s="85">
        <f>IF(C822=C820,0,IF(D822=D821,0,(HLOOKUP(C822,Ingreso!$AN$10:$AU$260,VLOOKUP(A822,Ingreso!$AL$11:$AM$260,2,FALSE)))/24))</f>
        <v>0</v>
      </c>
      <c r="I822" s="77">
        <f t="shared" si="25"/>
        <v>0</v>
      </c>
    </row>
    <row r="823" spans="1:9">
      <c r="A823" s="85" t="str">
        <f>VLOOKUP('Informe Kelly'!A816,Base!A:B,2,FALSE)</f>
        <v>15.102.640-0</v>
      </c>
      <c r="B823" s="85" t="str">
        <f>VLOOKUP('Informe Kelly'!A816,Base!A:G,7,FALSE)</f>
        <v>MARDONES ROJAS LUIS ARTURO</v>
      </c>
      <c r="C823" s="91">
        <f>'Informe Kelly'!E816</f>
        <v>40647</v>
      </c>
      <c r="D823" s="96">
        <f t="shared" si="24"/>
        <v>426</v>
      </c>
      <c r="E823" s="85" t="e">
        <f>VLOOKUP(A823,Ingreso!K:P,6,FALSE)</f>
        <v>#N/A</v>
      </c>
      <c r="F823" s="85">
        <f>IF('Informe Kelly'!H816=$A$2,'Informe Kelly'!F816,"")</f>
        <v>0.30398148148148146</v>
      </c>
      <c r="G823" s="85" t="str">
        <f>IF('Informe Kelly'!H816=$A$3,'Informe Kelly'!F816,"")</f>
        <v/>
      </c>
      <c r="H823" s="85" t="e">
        <f>IF(C823=C821,0,IF(D823=D822,0,(HLOOKUP(C823,Ingreso!$AN$10:$AU$260,VLOOKUP(A823,Ingreso!$AL$11:$AM$260,2,FALSE)))/24))</f>
        <v>#N/A</v>
      </c>
      <c r="I823" s="77" t="e">
        <f t="shared" si="25"/>
        <v>#N/A</v>
      </c>
    </row>
    <row r="824" spans="1:9">
      <c r="A824" s="85" t="str">
        <f>VLOOKUP('Informe Kelly'!A817,Base!A:B,2,FALSE)</f>
        <v>15.102.640-0</v>
      </c>
      <c r="B824" s="85" t="str">
        <f>VLOOKUP('Informe Kelly'!A817,Base!A:G,7,FALSE)</f>
        <v>MARDONES ROJAS LUIS ARTURO</v>
      </c>
      <c r="C824" s="91">
        <f>'Informe Kelly'!E817</f>
        <v>40647</v>
      </c>
      <c r="D824" s="96">
        <f t="shared" si="24"/>
        <v>426</v>
      </c>
      <c r="E824" s="85" t="e">
        <f>VLOOKUP(A824,Ingreso!K:P,6,FALSE)</f>
        <v>#N/A</v>
      </c>
      <c r="F824" s="85" t="str">
        <f>IF('Informe Kelly'!H817=$A$2,'Informe Kelly'!F817,"")</f>
        <v/>
      </c>
      <c r="G824" s="85">
        <f>IF('Informe Kelly'!H817=$A$3,'Informe Kelly'!F817,"")</f>
        <v>0.64700231481481485</v>
      </c>
      <c r="H824" s="85">
        <f>IF(C824=C822,0,IF(D824=D823,0,(HLOOKUP(C824,Ingreso!$AN$10:$AU$260,VLOOKUP(A824,Ingreso!$AL$11:$AM$260,2,FALSE)))/24))</f>
        <v>0</v>
      </c>
      <c r="I824" s="77">
        <f t="shared" si="25"/>
        <v>0</v>
      </c>
    </row>
    <row r="825" spans="1:9">
      <c r="A825" s="85" t="str">
        <f>VLOOKUP('Informe Kelly'!A818,Base!A:B,2,FALSE)</f>
        <v>15.102.640-0</v>
      </c>
      <c r="B825" s="85" t="str">
        <f>VLOOKUP('Informe Kelly'!A818,Base!A:G,7,FALSE)</f>
        <v>MARDONES ROJAS LUIS ARTURO</v>
      </c>
      <c r="C825" s="91">
        <f>'Informe Kelly'!E818</f>
        <v>40648</v>
      </c>
      <c r="D825" s="96">
        <f t="shared" si="24"/>
        <v>427</v>
      </c>
      <c r="E825" s="85" t="e">
        <f>VLOOKUP(A825,Ingreso!K:P,6,FALSE)</f>
        <v>#N/A</v>
      </c>
      <c r="F825" s="85" t="str">
        <f>IF('Informe Kelly'!H818=$A$2,'Informe Kelly'!F818,"")</f>
        <v/>
      </c>
      <c r="G825" s="85">
        <f>IF('Informe Kelly'!H818=$A$3,'Informe Kelly'!F818,"")</f>
        <v>0.63795138888888892</v>
      </c>
      <c r="H825" s="85" t="e">
        <f>IF(C825=C823,0,IF(D825=D824,0,(HLOOKUP(C825,Ingreso!$AN$10:$AU$260,VLOOKUP(A825,Ingreso!$AL$11:$AM$260,2,FALSE)))/24))</f>
        <v>#N/A</v>
      </c>
      <c r="I825" s="77" t="e">
        <f t="shared" si="25"/>
        <v>#N/A</v>
      </c>
    </row>
    <row r="826" spans="1:9">
      <c r="A826" s="85" t="str">
        <f>VLOOKUP('Informe Kelly'!A819,Base!A:B,2,FALSE)</f>
        <v>15.102.640-0</v>
      </c>
      <c r="B826" s="85" t="str">
        <f>VLOOKUP('Informe Kelly'!A819,Base!A:G,7,FALSE)</f>
        <v>MARDONES ROJAS LUIS ARTURO</v>
      </c>
      <c r="C826" s="91">
        <f>'Informe Kelly'!E819</f>
        <v>40648</v>
      </c>
      <c r="D826" s="96">
        <f t="shared" si="24"/>
        <v>427</v>
      </c>
      <c r="E826" s="85" t="e">
        <f>VLOOKUP(A826,Ingreso!K:P,6,FALSE)</f>
        <v>#N/A</v>
      </c>
      <c r="F826" s="85">
        <f>IF('Informe Kelly'!H819=$A$2,'Informe Kelly'!F819,"")</f>
        <v>0.3084722222222222</v>
      </c>
      <c r="G826" s="85" t="str">
        <f>IF('Informe Kelly'!H819=$A$3,'Informe Kelly'!F819,"")</f>
        <v/>
      </c>
      <c r="H826" s="85">
        <f>IF(C826=C824,0,IF(D826=D825,0,(HLOOKUP(C826,Ingreso!$AN$10:$AU$260,VLOOKUP(A826,Ingreso!$AL$11:$AM$260,2,FALSE)))/24))</f>
        <v>0</v>
      </c>
      <c r="I826" s="77">
        <f t="shared" si="25"/>
        <v>0</v>
      </c>
    </row>
    <row r="827" spans="1:9">
      <c r="A827" s="85" t="str">
        <f>VLOOKUP('Informe Kelly'!A820,Base!A:B,2,FALSE)</f>
        <v>15.102.640-0</v>
      </c>
      <c r="B827" s="85" t="str">
        <f>VLOOKUP('Informe Kelly'!A820,Base!A:G,7,FALSE)</f>
        <v>MARDONES ROJAS LUIS ARTURO</v>
      </c>
      <c r="C827" s="91">
        <f>'Informe Kelly'!E820</f>
        <v>40649</v>
      </c>
      <c r="D827" s="96">
        <f t="shared" si="24"/>
        <v>428</v>
      </c>
      <c r="E827" s="85" t="e">
        <f>VLOOKUP(A827,Ingreso!K:P,6,FALSE)</f>
        <v>#N/A</v>
      </c>
      <c r="F827" s="85">
        <f>IF('Informe Kelly'!H820=$A$2,'Informe Kelly'!F820,"")</f>
        <v>0.29783564814814817</v>
      </c>
      <c r="G827" s="85" t="str">
        <f>IF('Informe Kelly'!H820=$A$3,'Informe Kelly'!F820,"")</f>
        <v/>
      </c>
      <c r="H827" s="85" t="e">
        <f>IF(C827=C825,0,IF(D827=D826,0,(HLOOKUP(C827,Ingreso!$AN$10:$AU$260,VLOOKUP(A827,Ingreso!$AL$11:$AM$260,2,FALSE)))/24))</f>
        <v>#N/A</v>
      </c>
      <c r="I827" s="77" t="e">
        <f t="shared" si="25"/>
        <v>#N/A</v>
      </c>
    </row>
    <row r="828" spans="1:9">
      <c r="A828" s="85" t="str">
        <f>VLOOKUP('Informe Kelly'!A821,Base!A:B,2,FALSE)</f>
        <v>15.102.640-0</v>
      </c>
      <c r="B828" s="85" t="str">
        <f>VLOOKUP('Informe Kelly'!A821,Base!A:G,7,FALSE)</f>
        <v>MARDONES ROJAS LUIS ARTURO</v>
      </c>
      <c r="C828" s="91">
        <f>'Informe Kelly'!E821</f>
        <v>40649</v>
      </c>
      <c r="D828" s="96">
        <f t="shared" si="24"/>
        <v>428</v>
      </c>
      <c r="E828" s="85" t="e">
        <f>VLOOKUP(A828,Ingreso!K:P,6,FALSE)</f>
        <v>#N/A</v>
      </c>
      <c r="F828" s="85" t="str">
        <f>IF('Informe Kelly'!H821=$A$2,'Informe Kelly'!F821,"")</f>
        <v/>
      </c>
      <c r="G828" s="85">
        <f>IF('Informe Kelly'!H821=$A$3,'Informe Kelly'!F821,"")</f>
        <v>0.62898148148148147</v>
      </c>
      <c r="H828" s="85">
        <f>IF(C828=C826,0,IF(D828=D827,0,(HLOOKUP(C828,Ingreso!$AN$10:$AU$260,VLOOKUP(A828,Ingreso!$AL$11:$AM$260,2,FALSE)))/24))</f>
        <v>0</v>
      </c>
      <c r="I828" s="77">
        <f t="shared" si="25"/>
        <v>0</v>
      </c>
    </row>
    <row r="829" spans="1:9">
      <c r="A829" s="85" t="str">
        <f>VLOOKUP('Informe Kelly'!A822,Base!A:B,2,FALSE)</f>
        <v>15.327.501-7</v>
      </c>
      <c r="B829" s="85" t="str">
        <f>VLOOKUP('Informe Kelly'!A822,Base!A:G,7,FALSE)</f>
        <v>VASQUEZ MONTECINO LEONARDO</v>
      </c>
      <c r="C829" s="91">
        <f>'Informe Kelly'!E822</f>
        <v>40644</v>
      </c>
      <c r="D829" s="96">
        <f t="shared" si="24"/>
        <v>429</v>
      </c>
      <c r="E829" s="85" t="e">
        <f>VLOOKUP(A829,Ingreso!K:P,6,FALSE)</f>
        <v>#N/A</v>
      </c>
      <c r="F829" s="85">
        <f>IF('Informe Kelly'!H822=$A$2,'Informe Kelly'!F822,"")</f>
        <v>0.29548611111111112</v>
      </c>
      <c r="G829" s="85" t="str">
        <f>IF('Informe Kelly'!H822=$A$3,'Informe Kelly'!F822,"")</f>
        <v/>
      </c>
      <c r="H829" s="85" t="e">
        <f>IF(C829=C827,0,IF(D829=D828,0,(HLOOKUP(C829,Ingreso!$AN$10:$AU$260,VLOOKUP(A829,Ingreso!$AL$11:$AM$260,2,FALSE)))/24))</f>
        <v>#N/A</v>
      </c>
      <c r="I829" s="77" t="e">
        <f t="shared" si="25"/>
        <v>#N/A</v>
      </c>
    </row>
    <row r="830" spans="1:9">
      <c r="A830" s="85" t="str">
        <f>VLOOKUP('Informe Kelly'!A823,Base!A:B,2,FALSE)</f>
        <v>15.327.501-7</v>
      </c>
      <c r="B830" s="85" t="str">
        <f>VLOOKUP('Informe Kelly'!A823,Base!A:G,7,FALSE)</f>
        <v>VASQUEZ MONTECINO LEONARDO</v>
      </c>
      <c r="C830" s="91">
        <f>'Informe Kelly'!E823</f>
        <v>40644</v>
      </c>
      <c r="D830" s="96">
        <f t="shared" si="24"/>
        <v>429</v>
      </c>
      <c r="E830" s="85" t="e">
        <f>VLOOKUP(A830,Ingreso!K:P,6,FALSE)</f>
        <v>#N/A</v>
      </c>
      <c r="F830" s="85" t="str">
        <f>IF('Informe Kelly'!H823=$A$2,'Informe Kelly'!F823,"")</f>
        <v/>
      </c>
      <c r="G830" s="85">
        <f>IF('Informe Kelly'!H823=$A$3,'Informe Kelly'!F823,"")</f>
        <v>0.6403240740740741</v>
      </c>
      <c r="H830" s="85">
        <f>IF(C830=C828,0,IF(D830=D829,0,(HLOOKUP(C830,Ingreso!$AN$10:$AU$260,VLOOKUP(A830,Ingreso!$AL$11:$AM$260,2,FALSE)))/24))</f>
        <v>0</v>
      </c>
      <c r="I830" s="77">
        <f t="shared" si="25"/>
        <v>0</v>
      </c>
    </row>
    <row r="831" spans="1:9">
      <c r="A831" s="85" t="str">
        <f>VLOOKUP('Informe Kelly'!A824,Base!A:B,2,FALSE)</f>
        <v>15.327.501-7</v>
      </c>
      <c r="B831" s="85" t="str">
        <f>VLOOKUP('Informe Kelly'!A824,Base!A:G,7,FALSE)</f>
        <v>VASQUEZ MONTECINO LEONARDO</v>
      </c>
      <c r="C831" s="91">
        <f>'Informe Kelly'!E824</f>
        <v>40645</v>
      </c>
      <c r="D831" s="96">
        <f t="shared" si="24"/>
        <v>430</v>
      </c>
      <c r="E831" s="85" t="e">
        <f>VLOOKUP(A831,Ingreso!K:P,6,FALSE)</f>
        <v>#N/A</v>
      </c>
      <c r="F831" s="85">
        <f>IF('Informe Kelly'!H824=$A$2,'Informe Kelly'!F824,"")</f>
        <v>0.2949074074074074</v>
      </c>
      <c r="G831" s="85" t="str">
        <f>IF('Informe Kelly'!H824=$A$3,'Informe Kelly'!F824,"")</f>
        <v/>
      </c>
      <c r="H831" s="85" t="e">
        <f>IF(C831=C829,0,IF(D831=D830,0,(HLOOKUP(C831,Ingreso!$AN$10:$AU$260,VLOOKUP(A831,Ingreso!$AL$11:$AM$260,2,FALSE)))/24))</f>
        <v>#N/A</v>
      </c>
      <c r="I831" s="77" t="e">
        <f t="shared" si="25"/>
        <v>#N/A</v>
      </c>
    </row>
    <row r="832" spans="1:9">
      <c r="A832" s="85" t="str">
        <f>VLOOKUP('Informe Kelly'!A825,Base!A:B,2,FALSE)</f>
        <v>15.327.501-7</v>
      </c>
      <c r="B832" s="85" t="str">
        <f>VLOOKUP('Informe Kelly'!A825,Base!A:G,7,FALSE)</f>
        <v>VASQUEZ MONTECINO LEONARDO</v>
      </c>
      <c r="C832" s="91">
        <f>'Informe Kelly'!E825</f>
        <v>40645</v>
      </c>
      <c r="D832" s="96">
        <f t="shared" si="24"/>
        <v>430</v>
      </c>
      <c r="E832" s="85" t="e">
        <f>VLOOKUP(A832,Ingreso!K:P,6,FALSE)</f>
        <v>#N/A</v>
      </c>
      <c r="F832" s="85" t="str">
        <f>IF('Informe Kelly'!H825=$A$2,'Informe Kelly'!F825,"")</f>
        <v/>
      </c>
      <c r="G832" s="85">
        <f>IF('Informe Kelly'!H825=$A$3,'Informe Kelly'!F825,"")</f>
        <v>0.6365277777777778</v>
      </c>
      <c r="H832" s="85">
        <f>IF(C832=C830,0,IF(D832=D831,0,(HLOOKUP(C832,Ingreso!$AN$10:$AU$260,VLOOKUP(A832,Ingreso!$AL$11:$AM$260,2,FALSE)))/24))</f>
        <v>0</v>
      </c>
      <c r="I832" s="77">
        <f t="shared" si="25"/>
        <v>0</v>
      </c>
    </row>
    <row r="833" spans="1:9">
      <c r="A833" s="85" t="str">
        <f>VLOOKUP('Informe Kelly'!A826,Base!A:B,2,FALSE)</f>
        <v>15.327.501-7</v>
      </c>
      <c r="B833" s="85" t="str">
        <f>VLOOKUP('Informe Kelly'!A826,Base!A:G,7,FALSE)</f>
        <v>VASQUEZ MONTECINO LEONARDO</v>
      </c>
      <c r="C833" s="91">
        <f>'Informe Kelly'!E826</f>
        <v>40646</v>
      </c>
      <c r="D833" s="96">
        <f t="shared" si="24"/>
        <v>431</v>
      </c>
      <c r="E833" s="85" t="e">
        <f>VLOOKUP(A833,Ingreso!K:P,6,FALSE)</f>
        <v>#N/A</v>
      </c>
      <c r="F833" s="85">
        <f>IF('Informe Kelly'!H826=$A$2,'Informe Kelly'!F826,"")</f>
        <v>0.29488425925925926</v>
      </c>
      <c r="G833" s="85" t="str">
        <f>IF('Informe Kelly'!H826=$A$3,'Informe Kelly'!F826,"")</f>
        <v/>
      </c>
      <c r="H833" s="85" t="e">
        <f>IF(C833=C831,0,IF(D833=D832,0,(HLOOKUP(C833,Ingreso!$AN$10:$AU$260,VLOOKUP(A833,Ingreso!$AL$11:$AM$260,2,FALSE)))/24))</f>
        <v>#N/A</v>
      </c>
      <c r="I833" s="77" t="e">
        <f t="shared" si="25"/>
        <v>#N/A</v>
      </c>
    </row>
    <row r="834" spans="1:9">
      <c r="A834" s="85" t="str">
        <f>VLOOKUP('Informe Kelly'!A827,Base!A:B,2,FALSE)</f>
        <v>15.327.501-7</v>
      </c>
      <c r="B834" s="85" t="str">
        <f>VLOOKUP('Informe Kelly'!A827,Base!A:G,7,FALSE)</f>
        <v>VASQUEZ MONTECINO LEONARDO</v>
      </c>
      <c r="C834" s="91">
        <f>'Informe Kelly'!E827</f>
        <v>40646</v>
      </c>
      <c r="D834" s="96">
        <f t="shared" si="24"/>
        <v>431</v>
      </c>
      <c r="E834" s="85" t="e">
        <f>VLOOKUP(A834,Ingreso!K:P,6,FALSE)</f>
        <v>#N/A</v>
      </c>
      <c r="F834" s="85" t="str">
        <f>IF('Informe Kelly'!H827=$A$2,'Informe Kelly'!F827,"")</f>
        <v/>
      </c>
      <c r="G834" s="85">
        <f>IF('Informe Kelly'!H827=$A$3,'Informe Kelly'!F827,"")</f>
        <v>0.63638888888888889</v>
      </c>
      <c r="H834" s="85">
        <f>IF(C834=C832,0,IF(D834=D833,0,(HLOOKUP(C834,Ingreso!$AN$10:$AU$260,VLOOKUP(A834,Ingreso!$AL$11:$AM$260,2,FALSE)))/24))</f>
        <v>0</v>
      </c>
      <c r="I834" s="77">
        <f t="shared" si="25"/>
        <v>0</v>
      </c>
    </row>
    <row r="835" spans="1:9">
      <c r="A835" s="85" t="str">
        <f>VLOOKUP('Informe Kelly'!A828,Base!A:B,2,FALSE)</f>
        <v>15.327.501-7</v>
      </c>
      <c r="B835" s="85" t="str">
        <f>VLOOKUP('Informe Kelly'!A828,Base!A:G,7,FALSE)</f>
        <v>VASQUEZ MONTECINO LEONARDO</v>
      </c>
      <c r="C835" s="91">
        <f>'Informe Kelly'!E828</f>
        <v>40647</v>
      </c>
      <c r="D835" s="96">
        <f t="shared" si="24"/>
        <v>432</v>
      </c>
      <c r="E835" s="85" t="e">
        <f>VLOOKUP(A835,Ingreso!K:P,6,FALSE)</f>
        <v>#N/A</v>
      </c>
      <c r="F835" s="85" t="str">
        <f>IF('Informe Kelly'!H828=$A$2,'Informe Kelly'!F828,"")</f>
        <v/>
      </c>
      <c r="G835" s="85">
        <f>IF('Informe Kelly'!H828=$A$3,'Informe Kelly'!F828,"")</f>
        <v>0.63791666666666669</v>
      </c>
      <c r="H835" s="85" t="e">
        <f>IF(C835=C833,0,IF(D835=D834,0,(HLOOKUP(C835,Ingreso!$AN$10:$AU$260,VLOOKUP(A835,Ingreso!$AL$11:$AM$260,2,FALSE)))/24))</f>
        <v>#N/A</v>
      </c>
      <c r="I835" s="77" t="e">
        <f t="shared" si="25"/>
        <v>#N/A</v>
      </c>
    </row>
    <row r="836" spans="1:9">
      <c r="A836" s="85" t="str">
        <f>VLOOKUP('Informe Kelly'!A829,Base!A:B,2,FALSE)</f>
        <v>15.327.501-7</v>
      </c>
      <c r="B836" s="85" t="str">
        <f>VLOOKUP('Informe Kelly'!A829,Base!A:G,7,FALSE)</f>
        <v>VASQUEZ MONTECINO LEONARDO</v>
      </c>
      <c r="C836" s="91">
        <f>'Informe Kelly'!E829</f>
        <v>40647</v>
      </c>
      <c r="D836" s="96">
        <f t="shared" si="24"/>
        <v>432</v>
      </c>
      <c r="E836" s="85" t="e">
        <f>VLOOKUP(A836,Ingreso!K:P,6,FALSE)</f>
        <v>#N/A</v>
      </c>
      <c r="F836" s="85">
        <f>IF('Informe Kelly'!H829=$A$2,'Informe Kelly'!F829,"")</f>
        <v>0.29390046296296296</v>
      </c>
      <c r="G836" s="85" t="str">
        <f>IF('Informe Kelly'!H829=$A$3,'Informe Kelly'!F829,"")</f>
        <v/>
      </c>
      <c r="H836" s="85">
        <f>IF(C836=C834,0,IF(D836=D835,0,(HLOOKUP(C836,Ingreso!$AN$10:$AU$260,VLOOKUP(A836,Ingreso!$AL$11:$AM$260,2,FALSE)))/24))</f>
        <v>0</v>
      </c>
      <c r="I836" s="77">
        <f t="shared" si="25"/>
        <v>0</v>
      </c>
    </row>
    <row r="837" spans="1:9">
      <c r="A837" s="85" t="str">
        <f>VLOOKUP('Informe Kelly'!A830,Base!A:B,2,FALSE)</f>
        <v>15.327.501-7</v>
      </c>
      <c r="B837" s="85" t="str">
        <f>VLOOKUP('Informe Kelly'!A830,Base!A:G,7,FALSE)</f>
        <v>VASQUEZ MONTECINO LEONARDO</v>
      </c>
      <c r="C837" s="91">
        <f>'Informe Kelly'!E830</f>
        <v>40648</v>
      </c>
      <c r="D837" s="96">
        <f t="shared" si="24"/>
        <v>433</v>
      </c>
      <c r="E837" s="85" t="e">
        <f>VLOOKUP(A837,Ingreso!K:P,6,FALSE)</f>
        <v>#N/A</v>
      </c>
      <c r="F837" s="85">
        <f>IF('Informe Kelly'!H830=$A$2,'Informe Kelly'!F830,"")</f>
        <v>0.29590277777777779</v>
      </c>
      <c r="G837" s="85" t="str">
        <f>IF('Informe Kelly'!H830=$A$3,'Informe Kelly'!F830,"")</f>
        <v/>
      </c>
      <c r="H837" s="85" t="e">
        <f>IF(C837=C835,0,IF(D837=D836,0,(HLOOKUP(C837,Ingreso!$AN$10:$AU$260,VLOOKUP(A837,Ingreso!$AL$11:$AM$260,2,FALSE)))/24))</f>
        <v>#N/A</v>
      </c>
      <c r="I837" s="77" t="e">
        <f t="shared" si="25"/>
        <v>#N/A</v>
      </c>
    </row>
    <row r="838" spans="1:9">
      <c r="A838" s="85" t="str">
        <f>VLOOKUP('Informe Kelly'!A831,Base!A:B,2,FALSE)</f>
        <v>15.327.501-7</v>
      </c>
      <c r="B838" s="85" t="str">
        <f>VLOOKUP('Informe Kelly'!A831,Base!A:G,7,FALSE)</f>
        <v>VASQUEZ MONTECINO LEONARDO</v>
      </c>
      <c r="C838" s="91">
        <f>'Informe Kelly'!E831</f>
        <v>40648</v>
      </c>
      <c r="D838" s="96">
        <f t="shared" si="24"/>
        <v>433</v>
      </c>
      <c r="E838" s="85" t="e">
        <f>VLOOKUP(A838,Ingreso!K:P,6,FALSE)</f>
        <v>#N/A</v>
      </c>
      <c r="F838" s="85" t="str">
        <f>IF('Informe Kelly'!H831=$A$2,'Informe Kelly'!F831,"")</f>
        <v/>
      </c>
      <c r="G838" s="85">
        <f>IF('Informe Kelly'!H831=$A$3,'Informe Kelly'!F831,"")</f>
        <v>0.64309027777777772</v>
      </c>
      <c r="H838" s="85">
        <f>IF(C838=C836,0,IF(D838=D837,0,(HLOOKUP(C838,Ingreso!$AN$10:$AU$260,VLOOKUP(A838,Ingreso!$AL$11:$AM$260,2,FALSE)))/24))</f>
        <v>0</v>
      </c>
      <c r="I838" s="77">
        <f t="shared" si="25"/>
        <v>0</v>
      </c>
    </row>
    <row r="839" spans="1:9">
      <c r="A839" s="85" t="str">
        <f>VLOOKUP('Informe Kelly'!A832,Base!A:B,2,FALSE)</f>
        <v>15.327.501-7</v>
      </c>
      <c r="B839" s="85" t="str">
        <f>VLOOKUP('Informe Kelly'!A832,Base!A:G,7,FALSE)</f>
        <v>VASQUEZ MONTECINO LEONARDO</v>
      </c>
      <c r="C839" s="91">
        <f>'Informe Kelly'!E832</f>
        <v>40649</v>
      </c>
      <c r="D839" s="96">
        <f t="shared" si="24"/>
        <v>434</v>
      </c>
      <c r="E839" s="85" t="e">
        <f>VLOOKUP(A839,Ingreso!K:P,6,FALSE)</f>
        <v>#N/A</v>
      </c>
      <c r="F839" s="85">
        <f>IF('Informe Kelly'!H832=$A$2,'Informe Kelly'!F832,"")</f>
        <v>0.29414351851851855</v>
      </c>
      <c r="G839" s="85" t="str">
        <f>IF('Informe Kelly'!H832=$A$3,'Informe Kelly'!F832,"")</f>
        <v/>
      </c>
      <c r="H839" s="85" t="e">
        <f>IF(C839=C837,0,IF(D839=D838,0,(HLOOKUP(C839,Ingreso!$AN$10:$AU$260,VLOOKUP(A839,Ingreso!$AL$11:$AM$260,2,FALSE)))/24))</f>
        <v>#N/A</v>
      </c>
      <c r="I839" s="77" t="e">
        <f t="shared" si="25"/>
        <v>#N/A</v>
      </c>
    </row>
    <row r="840" spans="1:9">
      <c r="A840" s="85" t="str">
        <f>VLOOKUP('Informe Kelly'!A833,Base!A:B,2,FALSE)</f>
        <v>15.327.501-7</v>
      </c>
      <c r="B840" s="85" t="str">
        <f>VLOOKUP('Informe Kelly'!A833,Base!A:G,7,FALSE)</f>
        <v>VASQUEZ MONTECINO LEONARDO</v>
      </c>
      <c r="C840" s="91">
        <f>'Informe Kelly'!E833</f>
        <v>40649</v>
      </c>
      <c r="D840" s="96">
        <f t="shared" si="24"/>
        <v>434</v>
      </c>
      <c r="E840" s="85" t="e">
        <f>VLOOKUP(A840,Ingreso!K:P,6,FALSE)</f>
        <v>#N/A</v>
      </c>
      <c r="F840" s="85" t="str">
        <f>IF('Informe Kelly'!H833=$A$2,'Informe Kelly'!F833,"")</f>
        <v/>
      </c>
      <c r="G840" s="85">
        <f>IF('Informe Kelly'!H833=$A$3,'Informe Kelly'!F833,"")</f>
        <v>0.63804398148148145</v>
      </c>
      <c r="H840" s="85">
        <f>IF(C840=C838,0,IF(D840=D839,0,(HLOOKUP(C840,Ingreso!$AN$10:$AU$260,VLOOKUP(A840,Ingreso!$AL$11:$AM$260,2,FALSE)))/24))</f>
        <v>0</v>
      </c>
      <c r="I840" s="77">
        <f t="shared" si="25"/>
        <v>0</v>
      </c>
    </row>
    <row r="841" spans="1:9">
      <c r="A841" s="85" t="str">
        <f>VLOOKUP('Informe Kelly'!A834,Base!A:B,2,FALSE)</f>
        <v>15.437.429-9</v>
      </c>
      <c r="B841" s="85" t="str">
        <f>VLOOKUP('Informe Kelly'!A834,Base!A:G,7,FALSE)</f>
        <v>NADEAU JOFRE JULIO</v>
      </c>
      <c r="C841" s="91">
        <f>'Informe Kelly'!E834</f>
        <v>40644</v>
      </c>
      <c r="D841" s="96">
        <f t="shared" ref="D841:D904" si="26">IF(C840=C841,IF(C841=C838,D840,IF(C841=C839,D840+1,D840)),D840+1)</f>
        <v>435</v>
      </c>
      <c r="E841" s="85" t="str">
        <f>VLOOKUP(A841,Ingreso!K:P,6,FALSE)</f>
        <v>Admin</v>
      </c>
      <c r="F841" s="85">
        <f>IF('Informe Kelly'!H834=$A$2,'Informe Kelly'!F834,"")</f>
        <v>0.35378472222222218</v>
      </c>
      <c r="G841" s="85" t="str">
        <f>IF('Informe Kelly'!H834=$A$3,'Informe Kelly'!F834,"")</f>
        <v/>
      </c>
      <c r="H841" s="85">
        <f>IF(C841=C839,0,IF(D841=D840,0,(HLOOKUP(C841,Ingreso!$AN$10:$AU$260,VLOOKUP(A841,Ingreso!$AL$11:$AM$260,2,FALSE)))/24))</f>
        <v>0</v>
      </c>
      <c r="I841" s="77">
        <f t="shared" si="25"/>
        <v>0.41666666666666669</v>
      </c>
    </row>
    <row r="842" spans="1:9">
      <c r="A842" s="85" t="str">
        <f>VLOOKUP('Informe Kelly'!A835,Base!A:B,2,FALSE)</f>
        <v>15.437.429-9</v>
      </c>
      <c r="B842" s="85" t="str">
        <f>VLOOKUP('Informe Kelly'!A835,Base!A:G,7,FALSE)</f>
        <v>NADEAU JOFRE JULIO</v>
      </c>
      <c r="C842" s="91">
        <f>'Informe Kelly'!E835</f>
        <v>40644</v>
      </c>
      <c r="D842" s="96">
        <f t="shared" si="26"/>
        <v>435</v>
      </c>
      <c r="E842" s="85" t="str">
        <f>VLOOKUP(A842,Ingreso!K:P,6,FALSE)</f>
        <v>Admin</v>
      </c>
      <c r="F842" s="85" t="str">
        <f>IF('Informe Kelly'!H835=$A$2,'Informe Kelly'!F835,"")</f>
        <v/>
      </c>
      <c r="G842" s="85">
        <f>IF('Informe Kelly'!H835=$A$3,'Informe Kelly'!F835,"")</f>
        <v>0.73265046296296299</v>
      </c>
      <c r="H842" s="85">
        <f>IF(C842=C840,0,IF(D842=D841,0,(HLOOKUP(C842,Ingreso!$AN$10:$AU$260,VLOOKUP(A842,Ingreso!$AL$11:$AM$260,2,FALSE)))/24))</f>
        <v>0</v>
      </c>
      <c r="I842" s="77">
        <f t="shared" ref="I842:I905" si="27">IF(C842=C840,0,IF(D842=D841,0,(VLOOKUP(E842,$C$2:$D$5,2,FALSE))))</f>
        <v>0</v>
      </c>
    </row>
    <row r="843" spans="1:9">
      <c r="A843" s="85" t="str">
        <f>VLOOKUP('Informe Kelly'!A836,Base!A:B,2,FALSE)</f>
        <v>15.437.429-9</v>
      </c>
      <c r="B843" s="85" t="str">
        <f>VLOOKUP('Informe Kelly'!A836,Base!A:G,7,FALSE)</f>
        <v>NADEAU JOFRE JULIO</v>
      </c>
      <c r="C843" s="91">
        <f>'Informe Kelly'!E836</f>
        <v>40645</v>
      </c>
      <c r="D843" s="96">
        <f t="shared" si="26"/>
        <v>436</v>
      </c>
      <c r="E843" s="85" t="str">
        <f>VLOOKUP(A843,Ingreso!K:P,6,FALSE)</f>
        <v>Admin</v>
      </c>
      <c r="F843" s="85">
        <f>IF('Informe Kelly'!H836=$A$2,'Informe Kelly'!F836,"")</f>
        <v>0.34534722222222225</v>
      </c>
      <c r="G843" s="85" t="str">
        <f>IF('Informe Kelly'!H836=$A$3,'Informe Kelly'!F836,"")</f>
        <v/>
      </c>
      <c r="H843" s="85">
        <f>IF(C843=C841,0,IF(D843=D842,0,(HLOOKUP(C843,Ingreso!$AN$10:$AU$260,VLOOKUP(A843,Ingreso!$AL$11:$AM$260,2,FALSE)))/24))</f>
        <v>0</v>
      </c>
      <c r="I843" s="77">
        <f t="shared" si="27"/>
        <v>0.41666666666666669</v>
      </c>
    </row>
    <row r="844" spans="1:9">
      <c r="A844" s="85" t="str">
        <f>VLOOKUP('Informe Kelly'!A837,Base!A:B,2,FALSE)</f>
        <v>15.437.429-9</v>
      </c>
      <c r="B844" s="85" t="str">
        <f>VLOOKUP('Informe Kelly'!A837,Base!A:G,7,FALSE)</f>
        <v>NADEAU JOFRE JULIO</v>
      </c>
      <c r="C844" s="91">
        <f>'Informe Kelly'!E837</f>
        <v>40645</v>
      </c>
      <c r="D844" s="96">
        <f t="shared" si="26"/>
        <v>436</v>
      </c>
      <c r="E844" s="85" t="str">
        <f>VLOOKUP(A844,Ingreso!K:P,6,FALSE)</f>
        <v>Admin</v>
      </c>
      <c r="F844" s="85" t="str">
        <f>IF('Informe Kelly'!H837=$A$2,'Informe Kelly'!F837,"")</f>
        <v/>
      </c>
      <c r="G844" s="85">
        <f>IF('Informe Kelly'!H837=$A$3,'Informe Kelly'!F837,"")</f>
        <v>0.73062499999999997</v>
      </c>
      <c r="H844" s="85">
        <f>IF(C844=C842,0,IF(D844=D843,0,(HLOOKUP(C844,Ingreso!$AN$10:$AU$260,VLOOKUP(A844,Ingreso!$AL$11:$AM$260,2,FALSE)))/24))</f>
        <v>0</v>
      </c>
      <c r="I844" s="77">
        <f t="shared" si="27"/>
        <v>0</v>
      </c>
    </row>
    <row r="845" spans="1:9">
      <c r="A845" s="85" t="str">
        <f>VLOOKUP('Informe Kelly'!A838,Base!A:B,2,FALSE)</f>
        <v>15.437.429-9</v>
      </c>
      <c r="B845" s="85" t="str">
        <f>VLOOKUP('Informe Kelly'!A838,Base!A:G,7,FALSE)</f>
        <v>NADEAU JOFRE JULIO</v>
      </c>
      <c r="C845" s="91">
        <f>'Informe Kelly'!E838</f>
        <v>40646</v>
      </c>
      <c r="D845" s="96">
        <f t="shared" si="26"/>
        <v>437</v>
      </c>
      <c r="E845" s="85" t="str">
        <f>VLOOKUP(A845,Ingreso!K:P,6,FALSE)</f>
        <v>Admin</v>
      </c>
      <c r="F845" s="85">
        <f>IF('Informe Kelly'!H838=$A$2,'Informe Kelly'!F838,"")</f>
        <v>0.34967592592592595</v>
      </c>
      <c r="G845" s="85" t="str">
        <f>IF('Informe Kelly'!H838=$A$3,'Informe Kelly'!F838,"")</f>
        <v/>
      </c>
      <c r="H845" s="85">
        <f>IF(C845=C843,0,IF(D845=D844,0,(HLOOKUP(C845,Ingreso!$AN$10:$AU$260,VLOOKUP(A845,Ingreso!$AL$11:$AM$260,2,FALSE)))/24))</f>
        <v>0</v>
      </c>
      <c r="I845" s="77">
        <f t="shared" si="27"/>
        <v>0.41666666666666669</v>
      </c>
    </row>
    <row r="846" spans="1:9">
      <c r="A846" s="85" t="str">
        <f>VLOOKUP('Informe Kelly'!A839,Base!A:B,2,FALSE)</f>
        <v>15.437.429-9</v>
      </c>
      <c r="B846" s="85" t="str">
        <f>VLOOKUP('Informe Kelly'!A839,Base!A:G,7,FALSE)</f>
        <v>NADEAU JOFRE JULIO</v>
      </c>
      <c r="C846" s="91">
        <f>'Informe Kelly'!E839</f>
        <v>40646</v>
      </c>
      <c r="D846" s="96">
        <f t="shared" si="26"/>
        <v>437</v>
      </c>
      <c r="E846" s="85" t="str">
        <f>VLOOKUP(A846,Ingreso!K:P,6,FALSE)</f>
        <v>Admin</v>
      </c>
      <c r="F846" s="85" t="str">
        <f>IF('Informe Kelly'!H839=$A$2,'Informe Kelly'!F839,"")</f>
        <v/>
      </c>
      <c r="G846" s="85">
        <f>IF('Informe Kelly'!H839=$A$3,'Informe Kelly'!F839,"")</f>
        <v>0.73314814814814822</v>
      </c>
      <c r="H846" s="85">
        <f>IF(C846=C844,0,IF(D846=D845,0,(HLOOKUP(C846,Ingreso!$AN$10:$AU$260,VLOOKUP(A846,Ingreso!$AL$11:$AM$260,2,FALSE)))/24))</f>
        <v>0</v>
      </c>
      <c r="I846" s="77">
        <f t="shared" si="27"/>
        <v>0</v>
      </c>
    </row>
    <row r="847" spans="1:9">
      <c r="A847" s="85" t="str">
        <f>VLOOKUP('Informe Kelly'!A840,Base!A:B,2,FALSE)</f>
        <v>15.437.429-9</v>
      </c>
      <c r="B847" s="85" t="str">
        <f>VLOOKUP('Informe Kelly'!A840,Base!A:G,7,FALSE)</f>
        <v>NADEAU JOFRE JULIO</v>
      </c>
      <c r="C847" s="91">
        <f>'Informe Kelly'!E840</f>
        <v>40647</v>
      </c>
      <c r="D847" s="96">
        <f t="shared" si="26"/>
        <v>438</v>
      </c>
      <c r="E847" s="85" t="str">
        <f>VLOOKUP(A847,Ingreso!K:P,6,FALSE)</f>
        <v>Admin</v>
      </c>
      <c r="F847" s="85">
        <f>IF('Informe Kelly'!H840=$A$2,'Informe Kelly'!F840,"")</f>
        <v>0.3478472222222222</v>
      </c>
      <c r="G847" s="85" t="str">
        <f>IF('Informe Kelly'!H840=$A$3,'Informe Kelly'!F840,"")</f>
        <v/>
      </c>
      <c r="H847" s="85">
        <f>IF(C847=C845,0,IF(D847=D846,0,(HLOOKUP(C847,Ingreso!$AN$10:$AU$260,VLOOKUP(A847,Ingreso!$AL$11:$AM$260,2,FALSE)))/24))</f>
        <v>0</v>
      </c>
      <c r="I847" s="77">
        <f t="shared" si="27"/>
        <v>0.41666666666666669</v>
      </c>
    </row>
    <row r="848" spans="1:9">
      <c r="A848" s="85" t="str">
        <f>VLOOKUP('Informe Kelly'!A841,Base!A:B,2,FALSE)</f>
        <v>15.437.429-9</v>
      </c>
      <c r="B848" s="85" t="str">
        <f>VLOOKUP('Informe Kelly'!A841,Base!A:G,7,FALSE)</f>
        <v>NADEAU JOFRE JULIO</v>
      </c>
      <c r="C848" s="91">
        <f>'Informe Kelly'!E841</f>
        <v>40647</v>
      </c>
      <c r="D848" s="96">
        <f t="shared" si="26"/>
        <v>438</v>
      </c>
      <c r="E848" s="85" t="str">
        <f>VLOOKUP(A848,Ingreso!K:P,6,FALSE)</f>
        <v>Admin</v>
      </c>
      <c r="F848" s="85" t="str">
        <f>IF('Informe Kelly'!H841=$A$2,'Informe Kelly'!F841,"")</f>
        <v/>
      </c>
      <c r="G848" s="85">
        <f>IF('Informe Kelly'!H841=$A$3,'Informe Kelly'!F841,"")</f>
        <v>0.73568287037037028</v>
      </c>
      <c r="H848" s="85">
        <f>IF(C848=C846,0,IF(D848=D847,0,(HLOOKUP(C848,Ingreso!$AN$10:$AU$260,VLOOKUP(A848,Ingreso!$AL$11:$AM$260,2,FALSE)))/24))</f>
        <v>0</v>
      </c>
      <c r="I848" s="77">
        <f t="shared" si="27"/>
        <v>0</v>
      </c>
    </row>
    <row r="849" spans="1:9">
      <c r="A849" s="85" t="str">
        <f>VLOOKUP('Informe Kelly'!A842,Base!A:B,2,FALSE)</f>
        <v>15.437.429-9</v>
      </c>
      <c r="B849" s="85" t="str">
        <f>VLOOKUP('Informe Kelly'!A842,Base!A:G,7,FALSE)</f>
        <v>NADEAU JOFRE JULIO</v>
      </c>
      <c r="C849" s="91">
        <f>'Informe Kelly'!E842</f>
        <v>40648</v>
      </c>
      <c r="D849" s="96">
        <f t="shared" si="26"/>
        <v>439</v>
      </c>
      <c r="E849" s="85" t="str">
        <f>VLOOKUP(A849,Ingreso!K:P,6,FALSE)</f>
        <v>Admin</v>
      </c>
      <c r="F849" s="85" t="str">
        <f>IF('Informe Kelly'!H842=$A$2,'Informe Kelly'!F842,"")</f>
        <v/>
      </c>
      <c r="G849" s="85">
        <f>IF('Informe Kelly'!H842=$A$3,'Informe Kelly'!F842,"")</f>
        <v>0.73166666666666658</v>
      </c>
      <c r="H849" s="85">
        <f>IF(C849=C847,0,IF(D849=D848,0,(HLOOKUP(C849,Ingreso!$AN$10:$AU$260,VLOOKUP(A849,Ingreso!$AL$11:$AM$260,2,FALSE)))/24))</f>
        <v>0</v>
      </c>
      <c r="I849" s="77">
        <f t="shared" si="27"/>
        <v>0.41666666666666669</v>
      </c>
    </row>
    <row r="850" spans="1:9">
      <c r="A850" s="85" t="str">
        <f>VLOOKUP('Informe Kelly'!A843,Base!A:B,2,FALSE)</f>
        <v>15.437.429-9</v>
      </c>
      <c r="B850" s="85" t="str">
        <f>VLOOKUP('Informe Kelly'!A843,Base!A:G,7,FALSE)</f>
        <v>NADEAU JOFRE JULIO</v>
      </c>
      <c r="C850" s="91">
        <f>'Informe Kelly'!E843</f>
        <v>40648</v>
      </c>
      <c r="D850" s="96">
        <f t="shared" si="26"/>
        <v>439</v>
      </c>
      <c r="E850" s="85" t="str">
        <f>VLOOKUP(A850,Ingreso!K:P,6,FALSE)</f>
        <v>Admin</v>
      </c>
      <c r="F850" s="85">
        <f>IF('Informe Kelly'!H843=$A$2,'Informe Kelly'!F843,"")</f>
        <v>0.34766203703703707</v>
      </c>
      <c r="G850" s="85" t="str">
        <f>IF('Informe Kelly'!H843=$A$3,'Informe Kelly'!F843,"")</f>
        <v/>
      </c>
      <c r="H850" s="85">
        <f>IF(C850=C848,0,IF(D850=D849,0,(HLOOKUP(C850,Ingreso!$AN$10:$AU$260,VLOOKUP(A850,Ingreso!$AL$11:$AM$260,2,FALSE)))/24))</f>
        <v>0</v>
      </c>
      <c r="I850" s="77">
        <f t="shared" si="27"/>
        <v>0</v>
      </c>
    </row>
    <row r="851" spans="1:9">
      <c r="A851" s="85" t="str">
        <f>VLOOKUP('Informe Kelly'!A844,Base!A:B,2,FALSE)</f>
        <v>15.437.429-9</v>
      </c>
      <c r="B851" s="85" t="str">
        <f>VLOOKUP('Informe Kelly'!A844,Base!A:G,7,FALSE)</f>
        <v>NADEAU JOFRE JULIO</v>
      </c>
      <c r="C851" s="91">
        <f>'Informe Kelly'!E844</f>
        <v>40649</v>
      </c>
      <c r="D851" s="96">
        <f t="shared" si="26"/>
        <v>440</v>
      </c>
      <c r="E851" s="85" t="str">
        <f>VLOOKUP(A851,Ingreso!K:P,6,FALSE)</f>
        <v>Admin</v>
      </c>
      <c r="F851" s="85">
        <f>IF('Informe Kelly'!H844=$A$2,'Informe Kelly'!F844,"")</f>
        <v>0.35677083333333331</v>
      </c>
      <c r="G851" s="85" t="str">
        <f>IF('Informe Kelly'!H844=$A$3,'Informe Kelly'!F844,"")</f>
        <v/>
      </c>
      <c r="H851" s="85">
        <f>IF(C851=C849,0,IF(D851=D850,0,(HLOOKUP(C851,Ingreso!$AN$10:$AU$260,VLOOKUP(A851,Ingreso!$AL$11:$AM$260,2,FALSE)))/24))</f>
        <v>0.25</v>
      </c>
      <c r="I851" s="77">
        <f t="shared" si="27"/>
        <v>0.41666666666666669</v>
      </c>
    </row>
    <row r="852" spans="1:9">
      <c r="A852" s="85" t="str">
        <f>VLOOKUP('Informe Kelly'!A845,Base!A:B,2,FALSE)</f>
        <v>15.437.429-9</v>
      </c>
      <c r="B852" s="85" t="str">
        <f>VLOOKUP('Informe Kelly'!A845,Base!A:G,7,FALSE)</f>
        <v>NADEAU JOFRE JULIO</v>
      </c>
      <c r="C852" s="91">
        <f>'Informe Kelly'!E845</f>
        <v>40649</v>
      </c>
      <c r="D852" s="96">
        <f t="shared" si="26"/>
        <v>440</v>
      </c>
      <c r="E852" s="85" t="str">
        <f>VLOOKUP(A852,Ingreso!K:P,6,FALSE)</f>
        <v>Admin</v>
      </c>
      <c r="F852" s="85" t="str">
        <f>IF('Informe Kelly'!H845=$A$2,'Informe Kelly'!F845,"")</f>
        <v/>
      </c>
      <c r="G852" s="85">
        <f>IF('Informe Kelly'!H845=$A$3,'Informe Kelly'!F845,"")</f>
        <v>0.60563657407407401</v>
      </c>
      <c r="H852" s="85">
        <f>IF(C852=C850,0,IF(D852=D851,0,(HLOOKUP(C852,Ingreso!$AN$10:$AU$260,VLOOKUP(A852,Ingreso!$AL$11:$AM$260,2,FALSE)))/24))</f>
        <v>0</v>
      </c>
      <c r="I852" s="77">
        <f t="shared" si="27"/>
        <v>0</v>
      </c>
    </row>
    <row r="853" spans="1:9">
      <c r="A853" s="85" t="str">
        <f>VLOOKUP('Informe Kelly'!A846,Base!A:B,2,FALSE)</f>
        <v>15.439.409-5</v>
      </c>
      <c r="B853" s="85" t="str">
        <f>VLOOKUP('Informe Kelly'!A846,Base!A:G,7,FALSE)</f>
        <v>BRAVO SALAMANCA MARICEL ANDREA</v>
      </c>
      <c r="C853" s="91">
        <f>'Informe Kelly'!E846</f>
        <v>40644</v>
      </c>
      <c r="D853" s="96">
        <f t="shared" si="26"/>
        <v>441</v>
      </c>
      <c r="E853" s="85" t="e">
        <f>VLOOKUP(A853,Ingreso!K:P,6,FALSE)</f>
        <v>#N/A</v>
      </c>
      <c r="F853" s="85">
        <f>IF('Informe Kelly'!H846=$A$2,'Informe Kelly'!F846,"")</f>
        <v>0.30375000000000002</v>
      </c>
      <c r="G853" s="85" t="str">
        <f>IF('Informe Kelly'!H846=$A$3,'Informe Kelly'!F846,"")</f>
        <v/>
      </c>
      <c r="H853" s="85" t="e">
        <f>IF(C853=C851,0,IF(D853=D852,0,(HLOOKUP(C853,Ingreso!$AN$10:$AU$260,VLOOKUP(A853,Ingreso!$AL$11:$AM$260,2,FALSE)))/24))</f>
        <v>#N/A</v>
      </c>
      <c r="I853" s="77" t="e">
        <f t="shared" si="27"/>
        <v>#N/A</v>
      </c>
    </row>
    <row r="854" spans="1:9">
      <c r="A854" s="85" t="str">
        <f>VLOOKUP('Informe Kelly'!A847,Base!A:B,2,FALSE)</f>
        <v>15.439.409-5</v>
      </c>
      <c r="B854" s="85" t="str">
        <f>VLOOKUP('Informe Kelly'!A847,Base!A:G,7,FALSE)</f>
        <v>BRAVO SALAMANCA MARICEL ANDREA</v>
      </c>
      <c r="C854" s="91">
        <f>'Informe Kelly'!E847</f>
        <v>40644</v>
      </c>
      <c r="D854" s="96">
        <f t="shared" si="26"/>
        <v>441</v>
      </c>
      <c r="E854" s="85" t="e">
        <f>VLOOKUP(A854,Ingreso!K:P,6,FALSE)</f>
        <v>#N/A</v>
      </c>
      <c r="F854" s="85" t="str">
        <f>IF('Informe Kelly'!H847=$A$2,'Informe Kelly'!F847,"")</f>
        <v/>
      </c>
      <c r="G854" s="85">
        <f>IF('Informe Kelly'!H847=$A$3,'Informe Kelly'!F847,"")</f>
        <v>0.63436342592592598</v>
      </c>
      <c r="H854" s="85">
        <f>IF(C854=C852,0,IF(D854=D853,0,(HLOOKUP(C854,Ingreso!$AN$10:$AU$260,VLOOKUP(A854,Ingreso!$AL$11:$AM$260,2,FALSE)))/24))</f>
        <v>0</v>
      </c>
      <c r="I854" s="77">
        <f t="shared" si="27"/>
        <v>0</v>
      </c>
    </row>
    <row r="855" spans="1:9">
      <c r="A855" s="85" t="str">
        <f>VLOOKUP('Informe Kelly'!A848,Base!A:B,2,FALSE)</f>
        <v>15.439.409-5</v>
      </c>
      <c r="B855" s="85" t="str">
        <f>VLOOKUP('Informe Kelly'!A848,Base!A:G,7,FALSE)</f>
        <v>BRAVO SALAMANCA MARICEL ANDREA</v>
      </c>
      <c r="C855" s="91">
        <f>'Informe Kelly'!E848</f>
        <v>40645</v>
      </c>
      <c r="D855" s="96">
        <f t="shared" si="26"/>
        <v>442</v>
      </c>
      <c r="E855" s="85" t="e">
        <f>VLOOKUP(A855,Ingreso!K:P,6,FALSE)</f>
        <v>#N/A</v>
      </c>
      <c r="F855" s="85">
        <f>IF('Informe Kelly'!H848=$A$2,'Informe Kelly'!F848,"")</f>
        <v>0.2956597222222222</v>
      </c>
      <c r="G855" s="85" t="str">
        <f>IF('Informe Kelly'!H848=$A$3,'Informe Kelly'!F848,"")</f>
        <v/>
      </c>
      <c r="H855" s="85" t="e">
        <f>IF(C855=C853,0,IF(D855=D854,0,(HLOOKUP(C855,Ingreso!$AN$10:$AU$260,VLOOKUP(A855,Ingreso!$AL$11:$AM$260,2,FALSE)))/24))</f>
        <v>#N/A</v>
      </c>
      <c r="I855" s="77" t="e">
        <f t="shared" si="27"/>
        <v>#N/A</v>
      </c>
    </row>
    <row r="856" spans="1:9">
      <c r="A856" s="85" t="str">
        <f>VLOOKUP('Informe Kelly'!A849,Base!A:B,2,FALSE)</f>
        <v>15.439.409-5</v>
      </c>
      <c r="B856" s="85" t="str">
        <f>VLOOKUP('Informe Kelly'!A849,Base!A:G,7,FALSE)</f>
        <v>BRAVO SALAMANCA MARICEL ANDREA</v>
      </c>
      <c r="C856" s="91">
        <f>'Informe Kelly'!E849</f>
        <v>40645</v>
      </c>
      <c r="D856" s="96">
        <f t="shared" si="26"/>
        <v>442</v>
      </c>
      <c r="E856" s="85" t="e">
        <f>VLOOKUP(A856,Ingreso!K:P,6,FALSE)</f>
        <v>#N/A</v>
      </c>
      <c r="F856" s="85" t="str">
        <f>IF('Informe Kelly'!H849=$A$2,'Informe Kelly'!F849,"")</f>
        <v/>
      </c>
      <c r="G856" s="85">
        <f>IF('Informe Kelly'!H849=$A$3,'Informe Kelly'!F849,"")</f>
        <v>0.63446759259259256</v>
      </c>
      <c r="H856" s="85">
        <f>IF(C856=C854,0,IF(D856=D855,0,(HLOOKUP(C856,Ingreso!$AN$10:$AU$260,VLOOKUP(A856,Ingreso!$AL$11:$AM$260,2,FALSE)))/24))</f>
        <v>0</v>
      </c>
      <c r="I856" s="77">
        <f t="shared" si="27"/>
        <v>0</v>
      </c>
    </row>
    <row r="857" spans="1:9">
      <c r="A857" s="85" t="str">
        <f>VLOOKUP('Informe Kelly'!A850,Base!A:B,2,FALSE)</f>
        <v>15.439.409-5</v>
      </c>
      <c r="B857" s="85" t="str">
        <f>VLOOKUP('Informe Kelly'!A850,Base!A:G,7,FALSE)</f>
        <v>BRAVO SALAMANCA MARICEL ANDREA</v>
      </c>
      <c r="C857" s="91">
        <f>'Informe Kelly'!E850</f>
        <v>40646</v>
      </c>
      <c r="D857" s="96">
        <f t="shared" si="26"/>
        <v>443</v>
      </c>
      <c r="E857" s="85" t="e">
        <f>VLOOKUP(A857,Ingreso!K:P,6,FALSE)</f>
        <v>#N/A</v>
      </c>
      <c r="F857" s="85">
        <f>IF('Informe Kelly'!H850=$A$2,'Informe Kelly'!F850,"")</f>
        <v>0.30031249999999998</v>
      </c>
      <c r="G857" s="85" t="str">
        <f>IF('Informe Kelly'!H850=$A$3,'Informe Kelly'!F850,"")</f>
        <v/>
      </c>
      <c r="H857" s="85" t="e">
        <f>IF(C857=C855,0,IF(D857=D856,0,(HLOOKUP(C857,Ingreso!$AN$10:$AU$260,VLOOKUP(A857,Ingreso!$AL$11:$AM$260,2,FALSE)))/24))</f>
        <v>#N/A</v>
      </c>
      <c r="I857" s="77" t="e">
        <f t="shared" si="27"/>
        <v>#N/A</v>
      </c>
    </row>
    <row r="858" spans="1:9">
      <c r="A858" s="85" t="str">
        <f>VLOOKUP('Informe Kelly'!A851,Base!A:B,2,FALSE)</f>
        <v>15.439.409-5</v>
      </c>
      <c r="B858" s="85" t="str">
        <f>VLOOKUP('Informe Kelly'!A851,Base!A:G,7,FALSE)</f>
        <v>BRAVO SALAMANCA MARICEL ANDREA</v>
      </c>
      <c r="C858" s="91">
        <f>'Informe Kelly'!E851</f>
        <v>40646</v>
      </c>
      <c r="D858" s="96">
        <f t="shared" si="26"/>
        <v>443</v>
      </c>
      <c r="E858" s="85" t="e">
        <f>VLOOKUP(A858,Ingreso!K:P,6,FALSE)</f>
        <v>#N/A</v>
      </c>
      <c r="F858" s="85" t="str">
        <f>IF('Informe Kelly'!H851=$A$2,'Informe Kelly'!F851,"")</f>
        <v/>
      </c>
      <c r="G858" s="85">
        <f>IF('Informe Kelly'!H851=$A$3,'Informe Kelly'!F851,"")</f>
        <v>0.63512731481481477</v>
      </c>
      <c r="H858" s="85">
        <f>IF(C858=C856,0,IF(D858=D857,0,(HLOOKUP(C858,Ingreso!$AN$10:$AU$260,VLOOKUP(A858,Ingreso!$AL$11:$AM$260,2,FALSE)))/24))</f>
        <v>0</v>
      </c>
      <c r="I858" s="77">
        <f t="shared" si="27"/>
        <v>0</v>
      </c>
    </row>
    <row r="859" spans="1:9">
      <c r="A859" s="85" t="str">
        <f>VLOOKUP('Informe Kelly'!A852,Base!A:B,2,FALSE)</f>
        <v>15.439.409-5</v>
      </c>
      <c r="B859" s="85" t="str">
        <f>VLOOKUP('Informe Kelly'!A852,Base!A:G,7,FALSE)</f>
        <v>BRAVO SALAMANCA MARICEL ANDREA</v>
      </c>
      <c r="C859" s="91">
        <f>'Informe Kelly'!E852</f>
        <v>40648</v>
      </c>
      <c r="D859" s="96">
        <f t="shared" si="26"/>
        <v>444</v>
      </c>
      <c r="E859" s="85" t="e">
        <f>VLOOKUP(A859,Ingreso!K:P,6,FALSE)</f>
        <v>#N/A</v>
      </c>
      <c r="F859" s="85">
        <f>IF('Informe Kelly'!H852=$A$2,'Informe Kelly'!F852,"")</f>
        <v>0.29645833333333332</v>
      </c>
      <c r="G859" s="85" t="str">
        <f>IF('Informe Kelly'!H852=$A$3,'Informe Kelly'!F852,"")</f>
        <v/>
      </c>
      <c r="H859" s="85" t="e">
        <f>IF(C859=C857,0,IF(D859=D858,0,(HLOOKUP(C859,Ingreso!$AN$10:$AU$260,VLOOKUP(A859,Ingreso!$AL$11:$AM$260,2,FALSE)))/24))</f>
        <v>#N/A</v>
      </c>
      <c r="I859" s="77" t="e">
        <f t="shared" si="27"/>
        <v>#N/A</v>
      </c>
    </row>
    <row r="860" spans="1:9">
      <c r="A860" s="85" t="str">
        <f>VLOOKUP('Informe Kelly'!A853,Base!A:B,2,FALSE)</f>
        <v>15.439.409-5</v>
      </c>
      <c r="B860" s="85" t="str">
        <f>VLOOKUP('Informe Kelly'!A853,Base!A:G,7,FALSE)</f>
        <v>BRAVO SALAMANCA MARICEL ANDREA</v>
      </c>
      <c r="C860" s="91">
        <f>'Informe Kelly'!E853</f>
        <v>40648</v>
      </c>
      <c r="D860" s="96">
        <f t="shared" si="26"/>
        <v>444</v>
      </c>
      <c r="E860" s="85" t="e">
        <f>VLOOKUP(A860,Ingreso!K:P,6,FALSE)</f>
        <v>#N/A</v>
      </c>
      <c r="F860" s="85" t="str">
        <f>IF('Informe Kelly'!H853=$A$2,'Informe Kelly'!F853,"")</f>
        <v/>
      </c>
      <c r="G860" s="85">
        <f>IF('Informe Kelly'!H853=$A$3,'Informe Kelly'!F853,"")</f>
        <v>0.63607638888888884</v>
      </c>
      <c r="H860" s="85">
        <f>IF(C860=C858,0,IF(D860=D859,0,(HLOOKUP(C860,Ingreso!$AN$10:$AU$260,VLOOKUP(A860,Ingreso!$AL$11:$AM$260,2,FALSE)))/24))</f>
        <v>0</v>
      </c>
      <c r="I860" s="77">
        <f t="shared" si="27"/>
        <v>0</v>
      </c>
    </row>
    <row r="861" spans="1:9">
      <c r="A861" s="85" t="str">
        <f>VLOOKUP('Informe Kelly'!A854,Base!A:B,2,FALSE)</f>
        <v>15.441.831-8</v>
      </c>
      <c r="B861" s="85" t="str">
        <f>VLOOKUP('Informe Kelly'!A854,Base!A:G,7,FALSE)</f>
        <v>VALDERRAMA CAÑAS ROBERTO MARIO</v>
      </c>
      <c r="C861" s="91">
        <f>'Informe Kelly'!E854</f>
        <v>40644</v>
      </c>
      <c r="D861" s="96">
        <f t="shared" si="26"/>
        <v>445</v>
      </c>
      <c r="E861" s="85" t="e">
        <f>VLOOKUP(A861,Ingreso!K:P,6,FALSE)</f>
        <v>#N/A</v>
      </c>
      <c r="F861" s="85">
        <f>IF('Informe Kelly'!H854=$A$2,'Informe Kelly'!F854,"")</f>
        <v>0.31550925925925927</v>
      </c>
      <c r="G861" s="85" t="str">
        <f>IF('Informe Kelly'!H854=$A$3,'Informe Kelly'!F854,"")</f>
        <v/>
      </c>
      <c r="H861" s="85" t="e">
        <f>IF(C861=C859,0,IF(D861=D860,0,(HLOOKUP(C861,Ingreso!$AN$10:$AU$260,VLOOKUP(A861,Ingreso!$AL$11:$AM$260,2,FALSE)))/24))</f>
        <v>#N/A</v>
      </c>
      <c r="I861" s="77" t="e">
        <f t="shared" si="27"/>
        <v>#N/A</v>
      </c>
    </row>
    <row r="862" spans="1:9">
      <c r="A862" s="85" t="str">
        <f>VLOOKUP('Informe Kelly'!A855,Base!A:B,2,FALSE)</f>
        <v>15.441.831-8</v>
      </c>
      <c r="B862" s="85" t="str">
        <f>VLOOKUP('Informe Kelly'!A855,Base!A:G,7,FALSE)</f>
        <v>VALDERRAMA CAÑAS ROBERTO MARIO</v>
      </c>
      <c r="C862" s="91">
        <f>'Informe Kelly'!E855</f>
        <v>40644</v>
      </c>
      <c r="D862" s="96">
        <f t="shared" si="26"/>
        <v>445</v>
      </c>
      <c r="E862" s="85" t="e">
        <f>VLOOKUP(A862,Ingreso!K:P,6,FALSE)</f>
        <v>#N/A</v>
      </c>
      <c r="F862" s="85" t="str">
        <f>IF('Informe Kelly'!H855=$A$2,'Informe Kelly'!F855,"")</f>
        <v/>
      </c>
      <c r="G862" s="85">
        <f>IF('Informe Kelly'!H855=$A$3,'Informe Kelly'!F855,"")</f>
        <v>0.63901620370370371</v>
      </c>
      <c r="H862" s="85">
        <f>IF(C862=C860,0,IF(D862=D861,0,(HLOOKUP(C862,Ingreso!$AN$10:$AU$260,VLOOKUP(A862,Ingreso!$AL$11:$AM$260,2,FALSE)))/24))</f>
        <v>0</v>
      </c>
      <c r="I862" s="77">
        <f t="shared" si="27"/>
        <v>0</v>
      </c>
    </row>
    <row r="863" spans="1:9">
      <c r="A863" s="85" t="str">
        <f>VLOOKUP('Informe Kelly'!A856,Base!A:B,2,FALSE)</f>
        <v>15.441.831-8</v>
      </c>
      <c r="B863" s="85" t="str">
        <f>VLOOKUP('Informe Kelly'!A856,Base!A:G,7,FALSE)</f>
        <v>VALDERRAMA CAÑAS ROBERTO MARIO</v>
      </c>
      <c r="C863" s="91">
        <f>'Informe Kelly'!E856</f>
        <v>40645</v>
      </c>
      <c r="D863" s="96">
        <f t="shared" si="26"/>
        <v>446</v>
      </c>
      <c r="E863" s="85" t="e">
        <f>VLOOKUP(A863,Ingreso!K:P,6,FALSE)</f>
        <v>#N/A</v>
      </c>
      <c r="F863" s="85">
        <f>IF('Informe Kelly'!H856=$A$2,'Informe Kelly'!F856,"")</f>
        <v>0.30662037037037038</v>
      </c>
      <c r="G863" s="85" t="str">
        <f>IF('Informe Kelly'!H856=$A$3,'Informe Kelly'!F856,"")</f>
        <v/>
      </c>
      <c r="H863" s="85" t="e">
        <f>IF(C863=C861,0,IF(D863=D862,0,(HLOOKUP(C863,Ingreso!$AN$10:$AU$260,VLOOKUP(A863,Ingreso!$AL$11:$AM$260,2,FALSE)))/24))</f>
        <v>#N/A</v>
      </c>
      <c r="I863" s="77" t="e">
        <f t="shared" si="27"/>
        <v>#N/A</v>
      </c>
    </row>
    <row r="864" spans="1:9">
      <c r="A864" s="85" t="str">
        <f>VLOOKUP('Informe Kelly'!A857,Base!A:B,2,FALSE)</f>
        <v>15.441.831-8</v>
      </c>
      <c r="B864" s="85" t="str">
        <f>VLOOKUP('Informe Kelly'!A857,Base!A:G,7,FALSE)</f>
        <v>VALDERRAMA CAÑAS ROBERTO MARIO</v>
      </c>
      <c r="C864" s="91">
        <f>'Informe Kelly'!E857</f>
        <v>40645</v>
      </c>
      <c r="D864" s="96">
        <f t="shared" si="26"/>
        <v>446</v>
      </c>
      <c r="E864" s="85" t="e">
        <f>VLOOKUP(A864,Ingreso!K:P,6,FALSE)</f>
        <v>#N/A</v>
      </c>
      <c r="F864" s="85" t="str">
        <f>IF('Informe Kelly'!H857=$A$2,'Informe Kelly'!F857,"")</f>
        <v/>
      </c>
      <c r="G864" s="85">
        <f>IF('Informe Kelly'!H857=$A$3,'Informe Kelly'!F857,"")</f>
        <v>0.63868055555555558</v>
      </c>
      <c r="H864" s="85">
        <f>IF(C864=C862,0,IF(D864=D863,0,(HLOOKUP(C864,Ingreso!$AN$10:$AU$260,VLOOKUP(A864,Ingreso!$AL$11:$AM$260,2,FALSE)))/24))</f>
        <v>0</v>
      </c>
      <c r="I864" s="77">
        <f t="shared" si="27"/>
        <v>0</v>
      </c>
    </row>
    <row r="865" spans="1:9">
      <c r="A865" s="85" t="str">
        <f>VLOOKUP('Informe Kelly'!A858,Base!A:B,2,FALSE)</f>
        <v>15.441.831-8</v>
      </c>
      <c r="B865" s="85" t="str">
        <f>VLOOKUP('Informe Kelly'!A858,Base!A:G,7,FALSE)</f>
        <v>VALDERRAMA CAÑAS ROBERTO MARIO</v>
      </c>
      <c r="C865" s="91">
        <f>'Informe Kelly'!E858</f>
        <v>40646</v>
      </c>
      <c r="D865" s="96">
        <f t="shared" si="26"/>
        <v>447</v>
      </c>
      <c r="E865" s="85" t="e">
        <f>VLOOKUP(A865,Ingreso!K:P,6,FALSE)</f>
        <v>#N/A</v>
      </c>
      <c r="F865" s="85">
        <f>IF('Informe Kelly'!H858=$A$2,'Informe Kelly'!F858,"")</f>
        <v>0.32120370370370371</v>
      </c>
      <c r="G865" s="85" t="str">
        <f>IF('Informe Kelly'!H858=$A$3,'Informe Kelly'!F858,"")</f>
        <v/>
      </c>
      <c r="H865" s="85" t="e">
        <f>IF(C865=C863,0,IF(D865=D864,0,(HLOOKUP(C865,Ingreso!$AN$10:$AU$260,VLOOKUP(A865,Ingreso!$AL$11:$AM$260,2,FALSE)))/24))</f>
        <v>#N/A</v>
      </c>
      <c r="I865" s="77" t="e">
        <f t="shared" si="27"/>
        <v>#N/A</v>
      </c>
    </row>
    <row r="866" spans="1:9">
      <c r="A866" s="85" t="str">
        <f>VLOOKUP('Informe Kelly'!A859,Base!A:B,2,FALSE)</f>
        <v>15.441.831-8</v>
      </c>
      <c r="B866" s="85" t="str">
        <f>VLOOKUP('Informe Kelly'!A859,Base!A:G,7,FALSE)</f>
        <v>VALDERRAMA CAÑAS ROBERTO MARIO</v>
      </c>
      <c r="C866" s="91">
        <f>'Informe Kelly'!E859</f>
        <v>40646</v>
      </c>
      <c r="D866" s="96">
        <f t="shared" si="26"/>
        <v>447</v>
      </c>
      <c r="E866" s="85" t="e">
        <f>VLOOKUP(A866,Ingreso!K:P,6,FALSE)</f>
        <v>#N/A</v>
      </c>
      <c r="F866" s="85" t="str">
        <f>IF('Informe Kelly'!H859=$A$2,'Informe Kelly'!F859,"")</f>
        <v/>
      </c>
      <c r="G866" s="85">
        <f>IF('Informe Kelly'!H859=$A$3,'Informe Kelly'!F859,"")</f>
        <v>0.63594907407407408</v>
      </c>
      <c r="H866" s="85">
        <f>IF(C866=C864,0,IF(D866=D865,0,(HLOOKUP(C866,Ingreso!$AN$10:$AU$260,VLOOKUP(A866,Ingreso!$AL$11:$AM$260,2,FALSE)))/24))</f>
        <v>0</v>
      </c>
      <c r="I866" s="77">
        <f t="shared" si="27"/>
        <v>0</v>
      </c>
    </row>
    <row r="867" spans="1:9">
      <c r="A867" s="85" t="str">
        <f>VLOOKUP('Informe Kelly'!A860,Base!A:B,2,FALSE)</f>
        <v>15.441.831-8</v>
      </c>
      <c r="B867" s="85" t="str">
        <f>VLOOKUP('Informe Kelly'!A860,Base!A:G,7,FALSE)</f>
        <v>VALDERRAMA CAÑAS ROBERTO MARIO</v>
      </c>
      <c r="C867" s="91">
        <f>'Informe Kelly'!E860</f>
        <v>40647</v>
      </c>
      <c r="D867" s="96">
        <f t="shared" si="26"/>
        <v>448</v>
      </c>
      <c r="E867" s="85" t="e">
        <f>VLOOKUP(A867,Ingreso!K:P,6,FALSE)</f>
        <v>#N/A</v>
      </c>
      <c r="F867" s="85">
        <f>IF('Informe Kelly'!H860=$A$2,'Informe Kelly'!F860,"")</f>
        <v>0.31199074074074074</v>
      </c>
      <c r="G867" s="85" t="str">
        <f>IF('Informe Kelly'!H860=$A$3,'Informe Kelly'!F860,"")</f>
        <v/>
      </c>
      <c r="H867" s="85" t="e">
        <f>IF(C867=C865,0,IF(D867=D866,0,(HLOOKUP(C867,Ingreso!$AN$10:$AU$260,VLOOKUP(A867,Ingreso!$AL$11:$AM$260,2,FALSE)))/24))</f>
        <v>#N/A</v>
      </c>
      <c r="I867" s="77" t="e">
        <f t="shared" si="27"/>
        <v>#N/A</v>
      </c>
    </row>
    <row r="868" spans="1:9">
      <c r="A868" s="85" t="str">
        <f>VLOOKUP('Informe Kelly'!A861,Base!A:B,2,FALSE)</f>
        <v>15.441.831-8</v>
      </c>
      <c r="B868" s="85" t="str">
        <f>VLOOKUP('Informe Kelly'!A861,Base!A:G,7,FALSE)</f>
        <v>VALDERRAMA CAÑAS ROBERTO MARIO</v>
      </c>
      <c r="C868" s="91">
        <f>'Informe Kelly'!E861</f>
        <v>40647</v>
      </c>
      <c r="D868" s="96">
        <f t="shared" si="26"/>
        <v>448</v>
      </c>
      <c r="E868" s="85" t="e">
        <f>VLOOKUP(A868,Ingreso!K:P,6,FALSE)</f>
        <v>#N/A</v>
      </c>
      <c r="F868" s="85" t="str">
        <f>IF('Informe Kelly'!H861=$A$2,'Informe Kelly'!F861,"")</f>
        <v/>
      </c>
      <c r="G868" s="85">
        <f>IF('Informe Kelly'!H861=$A$3,'Informe Kelly'!F861,"")</f>
        <v>0.63370370370370377</v>
      </c>
      <c r="H868" s="85">
        <f>IF(C868=C866,0,IF(D868=D867,0,(HLOOKUP(C868,Ingreso!$AN$10:$AU$260,VLOOKUP(A868,Ingreso!$AL$11:$AM$260,2,FALSE)))/24))</f>
        <v>0</v>
      </c>
      <c r="I868" s="77">
        <f t="shared" si="27"/>
        <v>0</v>
      </c>
    </row>
    <row r="869" spans="1:9">
      <c r="A869" s="85" t="str">
        <f>VLOOKUP('Informe Kelly'!A862,Base!A:B,2,FALSE)</f>
        <v>15.441.831-8</v>
      </c>
      <c r="B869" s="85" t="str">
        <f>VLOOKUP('Informe Kelly'!A862,Base!A:G,7,FALSE)</f>
        <v>VALDERRAMA CAÑAS ROBERTO MARIO</v>
      </c>
      <c r="C869" s="91">
        <f>'Informe Kelly'!E862</f>
        <v>40648</v>
      </c>
      <c r="D869" s="96">
        <f t="shared" si="26"/>
        <v>449</v>
      </c>
      <c r="E869" s="85" t="e">
        <f>VLOOKUP(A869,Ingreso!K:P,6,FALSE)</f>
        <v>#N/A</v>
      </c>
      <c r="F869" s="85" t="str">
        <f>IF('Informe Kelly'!H862=$A$2,'Informe Kelly'!F862,"")</f>
        <v/>
      </c>
      <c r="G869" s="85">
        <f>IF('Informe Kelly'!H862=$A$3,'Informe Kelly'!F862,"")</f>
        <v>0.63831018518518523</v>
      </c>
      <c r="H869" s="85" t="e">
        <f>IF(C869=C867,0,IF(D869=D868,0,(HLOOKUP(C869,Ingreso!$AN$10:$AU$260,VLOOKUP(A869,Ingreso!$AL$11:$AM$260,2,FALSE)))/24))</f>
        <v>#N/A</v>
      </c>
      <c r="I869" s="77" t="e">
        <f t="shared" si="27"/>
        <v>#N/A</v>
      </c>
    </row>
    <row r="870" spans="1:9">
      <c r="A870" s="85" t="str">
        <f>VLOOKUP('Informe Kelly'!A863,Base!A:B,2,FALSE)</f>
        <v>15.441.831-8</v>
      </c>
      <c r="B870" s="85" t="str">
        <f>VLOOKUP('Informe Kelly'!A863,Base!A:G,7,FALSE)</f>
        <v>VALDERRAMA CAÑAS ROBERTO MARIO</v>
      </c>
      <c r="C870" s="91">
        <f>'Informe Kelly'!E863</f>
        <v>40648</v>
      </c>
      <c r="D870" s="96">
        <f t="shared" si="26"/>
        <v>449</v>
      </c>
      <c r="E870" s="85" t="e">
        <f>VLOOKUP(A870,Ingreso!K:P,6,FALSE)</f>
        <v>#N/A</v>
      </c>
      <c r="F870" s="85">
        <f>IF('Informe Kelly'!H863=$A$2,'Informe Kelly'!F863,"")</f>
        <v>0.3037037037037037</v>
      </c>
      <c r="G870" s="85" t="str">
        <f>IF('Informe Kelly'!H863=$A$3,'Informe Kelly'!F863,"")</f>
        <v/>
      </c>
      <c r="H870" s="85">
        <f>IF(C870=C868,0,IF(D870=D869,0,(HLOOKUP(C870,Ingreso!$AN$10:$AU$260,VLOOKUP(A870,Ingreso!$AL$11:$AM$260,2,FALSE)))/24))</f>
        <v>0</v>
      </c>
      <c r="I870" s="77">
        <f t="shared" si="27"/>
        <v>0</v>
      </c>
    </row>
    <row r="871" spans="1:9">
      <c r="A871" s="85" t="str">
        <f>VLOOKUP('Informe Kelly'!A864,Base!A:B,2,FALSE)</f>
        <v>15.441.831-8</v>
      </c>
      <c r="B871" s="85" t="str">
        <f>VLOOKUP('Informe Kelly'!A864,Base!A:G,7,FALSE)</f>
        <v>VALDERRAMA CAÑAS ROBERTO MARIO</v>
      </c>
      <c r="C871" s="91">
        <f>'Informe Kelly'!E864</f>
        <v>40649</v>
      </c>
      <c r="D871" s="96">
        <f t="shared" si="26"/>
        <v>450</v>
      </c>
      <c r="E871" s="85" t="e">
        <f>VLOOKUP(A871,Ingreso!K:P,6,FALSE)</f>
        <v>#N/A</v>
      </c>
      <c r="F871" s="85">
        <f>IF('Informe Kelly'!H864=$A$2,'Informe Kelly'!F864,"")</f>
        <v>0.31130787037037039</v>
      </c>
      <c r="G871" s="85" t="str">
        <f>IF('Informe Kelly'!H864=$A$3,'Informe Kelly'!F864,"")</f>
        <v/>
      </c>
      <c r="H871" s="85" t="e">
        <f>IF(C871=C869,0,IF(D871=D870,0,(HLOOKUP(C871,Ingreso!$AN$10:$AU$260,VLOOKUP(A871,Ingreso!$AL$11:$AM$260,2,FALSE)))/24))</f>
        <v>#N/A</v>
      </c>
      <c r="I871" s="77" t="e">
        <f t="shared" si="27"/>
        <v>#N/A</v>
      </c>
    </row>
    <row r="872" spans="1:9">
      <c r="A872" s="85" t="str">
        <f>VLOOKUP('Informe Kelly'!A865,Base!A:B,2,FALSE)</f>
        <v>15.441.831-8</v>
      </c>
      <c r="B872" s="85" t="str">
        <f>VLOOKUP('Informe Kelly'!A865,Base!A:G,7,FALSE)</f>
        <v>VALDERRAMA CAÑAS ROBERTO MARIO</v>
      </c>
      <c r="C872" s="91">
        <f>'Informe Kelly'!E865</f>
        <v>40649</v>
      </c>
      <c r="D872" s="96">
        <f t="shared" si="26"/>
        <v>450</v>
      </c>
      <c r="E872" s="85" t="e">
        <f>VLOOKUP(A872,Ingreso!K:P,6,FALSE)</f>
        <v>#N/A</v>
      </c>
      <c r="F872" s="85" t="str">
        <f>IF('Informe Kelly'!H865=$A$2,'Informe Kelly'!F865,"")</f>
        <v/>
      </c>
      <c r="G872" s="85">
        <f>IF('Informe Kelly'!H865=$A$3,'Informe Kelly'!F865,"")</f>
        <v>0.64354166666666668</v>
      </c>
      <c r="H872" s="85">
        <f>IF(C872=C870,0,IF(D872=D871,0,(HLOOKUP(C872,Ingreso!$AN$10:$AU$260,VLOOKUP(A872,Ingreso!$AL$11:$AM$260,2,FALSE)))/24))</f>
        <v>0</v>
      </c>
      <c r="I872" s="77">
        <f t="shared" si="27"/>
        <v>0</v>
      </c>
    </row>
    <row r="873" spans="1:9">
      <c r="A873" s="85" t="str">
        <f>VLOOKUP('Informe Kelly'!A866,Base!A:B,2,FALSE)</f>
        <v>15.444.951-5</v>
      </c>
      <c r="B873" s="85" t="str">
        <f>VLOOKUP('Informe Kelly'!A866,Base!A:G,7,FALSE)</f>
        <v>PLAZA ARAYA MIGUEL ANTONIO</v>
      </c>
      <c r="C873" s="91">
        <f>'Informe Kelly'!E866</f>
        <v>40644</v>
      </c>
      <c r="D873" s="96">
        <f t="shared" si="26"/>
        <v>451</v>
      </c>
      <c r="E873" s="85" t="str">
        <f>VLOOKUP(A873,Ingreso!K:P,6,FALSE)</f>
        <v>Turno C</v>
      </c>
      <c r="F873" s="85">
        <f>IF('Informe Kelly'!H866=$A$2,'Informe Kelly'!F866,"")</f>
        <v>0.93306712962962957</v>
      </c>
      <c r="G873" s="85" t="str">
        <f>IF('Informe Kelly'!H866=$A$3,'Informe Kelly'!F866,"")</f>
        <v/>
      </c>
      <c r="H873" s="85">
        <f>IF(C873=C871,0,IF(D873=D872,0,(HLOOKUP(C873,Ingreso!$AN$10:$AU$260,VLOOKUP(A873,Ingreso!$AL$11:$AM$260,2,FALSE)))/24))</f>
        <v>0</v>
      </c>
      <c r="I873" s="77">
        <f t="shared" si="27"/>
        <v>0.375</v>
      </c>
    </row>
    <row r="874" spans="1:9">
      <c r="A874" s="85" t="str">
        <f>VLOOKUP('Informe Kelly'!A867,Base!A:B,2,FALSE)</f>
        <v>15.444.951-5</v>
      </c>
      <c r="B874" s="85" t="str">
        <f>VLOOKUP('Informe Kelly'!A867,Base!A:G,7,FALSE)</f>
        <v>PLAZA ARAYA MIGUEL ANTONIO</v>
      </c>
      <c r="C874" s="91">
        <f>'Informe Kelly'!E867</f>
        <v>40645</v>
      </c>
      <c r="D874" s="96">
        <f t="shared" si="26"/>
        <v>452</v>
      </c>
      <c r="E874" s="85" t="str">
        <f>VLOOKUP(A874,Ingreso!K:P,6,FALSE)</f>
        <v>Turno C</v>
      </c>
      <c r="F874" s="85" t="str">
        <f>IF('Informe Kelly'!H867=$A$2,'Informe Kelly'!F867,"")</f>
        <v/>
      </c>
      <c r="G874" s="85">
        <f>IF('Informe Kelly'!H867=$A$3,'Informe Kelly'!F867,"")</f>
        <v>0.31768518518518518</v>
      </c>
      <c r="H874" s="85">
        <f>IF(C874=C872,0,IF(D874=D873,0,(HLOOKUP(C874,Ingreso!$AN$10:$AU$260,VLOOKUP(A874,Ingreso!$AL$11:$AM$260,2,FALSE)))/24))</f>
        <v>0</v>
      </c>
      <c r="I874" s="77">
        <f t="shared" si="27"/>
        <v>0.375</v>
      </c>
    </row>
    <row r="875" spans="1:9">
      <c r="A875" s="85" t="str">
        <f>VLOOKUP('Informe Kelly'!A868,Base!A:B,2,FALSE)</f>
        <v>15.444.951-5</v>
      </c>
      <c r="B875" s="85" t="str">
        <f>VLOOKUP('Informe Kelly'!A868,Base!A:G,7,FALSE)</f>
        <v>PLAZA ARAYA MIGUEL ANTONIO</v>
      </c>
      <c r="C875" s="91">
        <f>'Informe Kelly'!E868</f>
        <v>40645</v>
      </c>
      <c r="D875" s="96">
        <f t="shared" si="26"/>
        <v>452</v>
      </c>
      <c r="E875" s="85" t="str">
        <f>VLOOKUP(A875,Ingreso!K:P,6,FALSE)</f>
        <v>Turno C</v>
      </c>
      <c r="F875" s="85">
        <f>IF('Informe Kelly'!H868=$A$2,'Informe Kelly'!F868,"")</f>
        <v>0.93319444444444455</v>
      </c>
      <c r="G875" s="85" t="str">
        <f>IF('Informe Kelly'!H868=$A$3,'Informe Kelly'!F868,"")</f>
        <v/>
      </c>
      <c r="H875" s="85">
        <f>IF(C875=C873,0,IF(D875=D874,0,(HLOOKUP(C875,Ingreso!$AN$10:$AU$260,VLOOKUP(A875,Ingreso!$AL$11:$AM$260,2,FALSE)))/24))</f>
        <v>0</v>
      </c>
      <c r="I875" s="77">
        <f t="shared" si="27"/>
        <v>0</v>
      </c>
    </row>
    <row r="876" spans="1:9">
      <c r="A876" s="85" t="str">
        <f>VLOOKUP('Informe Kelly'!A869,Base!A:B,2,FALSE)</f>
        <v>15.444.951-5</v>
      </c>
      <c r="B876" s="85" t="str">
        <f>VLOOKUP('Informe Kelly'!A869,Base!A:G,7,FALSE)</f>
        <v>PLAZA ARAYA MIGUEL ANTONIO</v>
      </c>
      <c r="C876" s="91">
        <f>'Informe Kelly'!E869</f>
        <v>40646</v>
      </c>
      <c r="D876" s="96">
        <f t="shared" si="26"/>
        <v>453</v>
      </c>
      <c r="E876" s="85" t="str">
        <f>VLOOKUP(A876,Ingreso!K:P,6,FALSE)</f>
        <v>Turno C</v>
      </c>
      <c r="F876" s="85" t="str">
        <f>IF('Informe Kelly'!H869=$A$2,'Informe Kelly'!F869,"")</f>
        <v/>
      </c>
      <c r="G876" s="85">
        <f>IF('Informe Kelly'!H869=$A$3,'Informe Kelly'!F869,"")</f>
        <v>0.32193287037037038</v>
      </c>
      <c r="H876" s="85">
        <f>IF(C876=C874,0,IF(D876=D875,0,(HLOOKUP(C876,Ingreso!$AN$10:$AU$260,VLOOKUP(A876,Ingreso!$AL$11:$AM$260,2,FALSE)))/24))</f>
        <v>0</v>
      </c>
      <c r="I876" s="77">
        <f t="shared" si="27"/>
        <v>0.375</v>
      </c>
    </row>
    <row r="877" spans="1:9">
      <c r="A877" s="85" t="str">
        <f>VLOOKUP('Informe Kelly'!A870,Base!A:B,2,FALSE)</f>
        <v>15.444.951-5</v>
      </c>
      <c r="B877" s="85" t="str">
        <f>VLOOKUP('Informe Kelly'!A870,Base!A:G,7,FALSE)</f>
        <v>PLAZA ARAYA MIGUEL ANTONIO</v>
      </c>
      <c r="C877" s="91">
        <f>'Informe Kelly'!E870</f>
        <v>40646</v>
      </c>
      <c r="D877" s="96">
        <f t="shared" si="26"/>
        <v>453</v>
      </c>
      <c r="E877" s="85" t="str">
        <f>VLOOKUP(A877,Ingreso!K:P,6,FALSE)</f>
        <v>Turno C</v>
      </c>
      <c r="F877" s="85">
        <f>IF('Informe Kelly'!H870=$A$2,'Informe Kelly'!F870,"")</f>
        <v>0.92903935185185194</v>
      </c>
      <c r="G877" s="85" t="str">
        <f>IF('Informe Kelly'!H870=$A$3,'Informe Kelly'!F870,"")</f>
        <v/>
      </c>
      <c r="H877" s="85">
        <f>IF(C877=C875,0,IF(D877=D876,0,(HLOOKUP(C877,Ingreso!$AN$10:$AU$260,VLOOKUP(A877,Ingreso!$AL$11:$AM$260,2,FALSE)))/24))</f>
        <v>0</v>
      </c>
      <c r="I877" s="77">
        <f t="shared" si="27"/>
        <v>0</v>
      </c>
    </row>
    <row r="878" spans="1:9">
      <c r="A878" s="85" t="str">
        <f>VLOOKUP('Informe Kelly'!A871,Base!A:B,2,FALSE)</f>
        <v>15.444.951-5</v>
      </c>
      <c r="B878" s="85" t="str">
        <f>VLOOKUP('Informe Kelly'!A871,Base!A:G,7,FALSE)</f>
        <v>PLAZA ARAYA MIGUEL ANTONIO</v>
      </c>
      <c r="C878" s="91">
        <f>'Informe Kelly'!E871</f>
        <v>40647</v>
      </c>
      <c r="D878" s="96">
        <f t="shared" si="26"/>
        <v>454</v>
      </c>
      <c r="E878" s="85" t="str">
        <f>VLOOKUP(A878,Ingreso!K:P,6,FALSE)</f>
        <v>Turno C</v>
      </c>
      <c r="F878" s="85" t="str">
        <f>IF('Informe Kelly'!H871=$A$2,'Informe Kelly'!F871,"")</f>
        <v/>
      </c>
      <c r="G878" s="85">
        <f>IF('Informe Kelly'!H871=$A$3,'Informe Kelly'!F871,"")</f>
        <v>0.31777777777777777</v>
      </c>
      <c r="H878" s="85">
        <f>IF(C878=C876,0,IF(D878=D877,0,(HLOOKUP(C878,Ingreso!$AN$10:$AU$260,VLOOKUP(A878,Ingreso!$AL$11:$AM$260,2,FALSE)))/24))</f>
        <v>0</v>
      </c>
      <c r="I878" s="77">
        <f t="shared" si="27"/>
        <v>0.375</v>
      </c>
    </row>
    <row r="879" spans="1:9">
      <c r="A879" s="85" t="str">
        <f>VLOOKUP('Informe Kelly'!A872,Base!A:B,2,FALSE)</f>
        <v>15.444.951-5</v>
      </c>
      <c r="B879" s="85" t="str">
        <f>VLOOKUP('Informe Kelly'!A872,Base!A:G,7,FALSE)</f>
        <v>PLAZA ARAYA MIGUEL ANTONIO</v>
      </c>
      <c r="C879" s="91">
        <f>'Informe Kelly'!E872</f>
        <v>40647</v>
      </c>
      <c r="D879" s="96">
        <f t="shared" si="26"/>
        <v>454</v>
      </c>
      <c r="E879" s="85" t="str">
        <f>VLOOKUP(A879,Ingreso!K:P,6,FALSE)</f>
        <v>Turno C</v>
      </c>
      <c r="F879" s="85">
        <f>IF('Informe Kelly'!H872=$A$2,'Informe Kelly'!F872,"")</f>
        <v>0.93417824074074074</v>
      </c>
      <c r="G879" s="85" t="str">
        <f>IF('Informe Kelly'!H872=$A$3,'Informe Kelly'!F872,"")</f>
        <v/>
      </c>
      <c r="H879" s="85">
        <f>IF(C879=C877,0,IF(D879=D878,0,(HLOOKUP(C879,Ingreso!$AN$10:$AU$260,VLOOKUP(A879,Ingreso!$AL$11:$AM$260,2,FALSE)))/24))</f>
        <v>0</v>
      </c>
      <c r="I879" s="77">
        <f t="shared" si="27"/>
        <v>0</v>
      </c>
    </row>
    <row r="880" spans="1:9">
      <c r="A880" s="85" t="str">
        <f>VLOOKUP('Informe Kelly'!A873,Base!A:B,2,FALSE)</f>
        <v>15.444.951-5</v>
      </c>
      <c r="B880" s="85" t="str">
        <f>VLOOKUP('Informe Kelly'!A873,Base!A:G,7,FALSE)</f>
        <v>PLAZA ARAYA MIGUEL ANTONIO</v>
      </c>
      <c r="C880" s="91">
        <f>'Informe Kelly'!E873</f>
        <v>40648</v>
      </c>
      <c r="D880" s="96">
        <f t="shared" si="26"/>
        <v>455</v>
      </c>
      <c r="E880" s="85" t="str">
        <f>VLOOKUP(A880,Ingreso!K:P,6,FALSE)</f>
        <v>Turno C</v>
      </c>
      <c r="F880" s="85">
        <f>IF('Informe Kelly'!H873=$A$2,'Informe Kelly'!F873,"")</f>
        <v>0.95870370370370372</v>
      </c>
      <c r="G880" s="85" t="str">
        <f>IF('Informe Kelly'!H873=$A$3,'Informe Kelly'!F873,"")</f>
        <v/>
      </c>
      <c r="H880" s="85">
        <f>IF(C880=C878,0,IF(D880=D879,0,(HLOOKUP(C880,Ingreso!$AN$10:$AU$260,VLOOKUP(A880,Ingreso!$AL$11:$AM$260,2,FALSE)))/24))</f>
        <v>0</v>
      </c>
      <c r="I880" s="77">
        <f t="shared" si="27"/>
        <v>0.375</v>
      </c>
    </row>
    <row r="881" spans="1:9">
      <c r="A881" s="85" t="str">
        <f>VLOOKUP('Informe Kelly'!A874,Base!A:B,2,FALSE)</f>
        <v>15.444.951-5</v>
      </c>
      <c r="B881" s="85" t="str">
        <f>VLOOKUP('Informe Kelly'!A874,Base!A:G,7,FALSE)</f>
        <v>PLAZA ARAYA MIGUEL ANTONIO</v>
      </c>
      <c r="C881" s="91">
        <f>'Informe Kelly'!E874</f>
        <v>40648</v>
      </c>
      <c r="D881" s="96">
        <f t="shared" si="26"/>
        <v>455</v>
      </c>
      <c r="E881" s="85" t="str">
        <f>VLOOKUP(A881,Ingreso!K:P,6,FALSE)</f>
        <v>Turno C</v>
      </c>
      <c r="F881" s="85" t="str">
        <f>IF('Informe Kelly'!H874=$A$2,'Informe Kelly'!F874,"")</f>
        <v/>
      </c>
      <c r="G881" s="85">
        <f>IF('Informe Kelly'!H874=$A$3,'Informe Kelly'!F874,"")</f>
        <v>0.31493055555555555</v>
      </c>
      <c r="H881" s="85">
        <f>IF(C881=C879,0,IF(D881=D880,0,(HLOOKUP(C881,Ingreso!$AN$10:$AU$260,VLOOKUP(A881,Ingreso!$AL$11:$AM$260,2,FALSE)))/24))</f>
        <v>0</v>
      </c>
      <c r="I881" s="77">
        <f t="shared" si="27"/>
        <v>0</v>
      </c>
    </row>
    <row r="882" spans="1:9">
      <c r="A882" s="85" t="str">
        <f>VLOOKUP('Informe Kelly'!A875,Base!A:B,2,FALSE)</f>
        <v>15.444.951-5</v>
      </c>
      <c r="B882" s="85" t="str">
        <f>VLOOKUP('Informe Kelly'!A875,Base!A:G,7,FALSE)</f>
        <v>PLAZA ARAYA MIGUEL ANTONIO</v>
      </c>
      <c r="C882" s="91">
        <f>'Informe Kelly'!E875</f>
        <v>40649</v>
      </c>
      <c r="D882" s="96">
        <f t="shared" si="26"/>
        <v>456</v>
      </c>
      <c r="E882" s="85" t="str">
        <f>VLOOKUP(A882,Ingreso!K:P,6,FALSE)</f>
        <v>Turno C</v>
      </c>
      <c r="F882" s="85" t="str">
        <f>IF('Informe Kelly'!H875=$A$2,'Informe Kelly'!F875,"")</f>
        <v/>
      </c>
      <c r="G882" s="85">
        <f>IF('Informe Kelly'!H875=$A$3,'Informe Kelly'!F875,"")</f>
        <v>0.31848379629629631</v>
      </c>
      <c r="H882" s="85">
        <f>IF(C882=C880,0,IF(D882=D881,0,(HLOOKUP(C882,Ingreso!$AN$10:$AU$260,VLOOKUP(A882,Ingreso!$AL$11:$AM$260,2,FALSE)))/24))</f>
        <v>0</v>
      </c>
      <c r="I882" s="77">
        <f t="shared" si="27"/>
        <v>0.375</v>
      </c>
    </row>
    <row r="883" spans="1:9">
      <c r="A883" s="85" t="str">
        <f>VLOOKUP('Informe Kelly'!A876,Base!A:B,2,FALSE)</f>
        <v>15.445.100-5</v>
      </c>
      <c r="B883" s="85" t="str">
        <f>VLOOKUP('Informe Kelly'!A876,Base!A:G,7,FALSE)</f>
        <v>MACAYA MOSCOSO FELIPE ANDRES</v>
      </c>
      <c r="C883" s="91">
        <f>'Informe Kelly'!E876</f>
        <v>40644</v>
      </c>
      <c r="D883" s="96">
        <f t="shared" si="26"/>
        <v>457</v>
      </c>
      <c r="E883" s="85" t="e">
        <f>VLOOKUP(A883,Ingreso!K:P,6,FALSE)</f>
        <v>#N/A</v>
      </c>
      <c r="F883" s="85">
        <f>IF('Informe Kelly'!H876=$A$2,'Informe Kelly'!F876,"")</f>
        <v>0.60718749999999999</v>
      </c>
      <c r="G883" s="85" t="str">
        <f>IF('Informe Kelly'!H876=$A$3,'Informe Kelly'!F876,"")</f>
        <v/>
      </c>
      <c r="H883" s="85" t="e">
        <f>IF(C883=C881,0,IF(D883=D882,0,(HLOOKUP(C883,Ingreso!$AN$10:$AU$260,VLOOKUP(A883,Ingreso!$AL$11:$AM$260,2,FALSE)))/24))</f>
        <v>#N/A</v>
      </c>
      <c r="I883" s="77" t="e">
        <f t="shared" si="27"/>
        <v>#N/A</v>
      </c>
    </row>
    <row r="884" spans="1:9">
      <c r="A884" s="85" t="str">
        <f>VLOOKUP('Informe Kelly'!A877,Base!A:B,2,FALSE)</f>
        <v>15.445.100-5</v>
      </c>
      <c r="B884" s="85" t="str">
        <f>VLOOKUP('Informe Kelly'!A877,Base!A:G,7,FALSE)</f>
        <v>MACAYA MOSCOSO FELIPE ANDRES</v>
      </c>
      <c r="C884" s="91">
        <f>'Informe Kelly'!E877</f>
        <v>40644</v>
      </c>
      <c r="D884" s="96">
        <f t="shared" si="26"/>
        <v>457</v>
      </c>
      <c r="E884" s="85" t="e">
        <f>VLOOKUP(A884,Ingreso!K:P,6,FALSE)</f>
        <v>#N/A</v>
      </c>
      <c r="F884" s="85" t="str">
        <f>IF('Informe Kelly'!H877=$A$2,'Informe Kelly'!F877,"")</f>
        <v/>
      </c>
      <c r="G884" s="85">
        <f>IF('Informe Kelly'!H877=$A$3,'Informe Kelly'!F877,"")</f>
        <v>0.94936342592592593</v>
      </c>
      <c r="H884" s="85">
        <f>IF(C884=C882,0,IF(D884=D883,0,(HLOOKUP(C884,Ingreso!$AN$10:$AU$260,VLOOKUP(A884,Ingreso!$AL$11:$AM$260,2,FALSE)))/24))</f>
        <v>0</v>
      </c>
      <c r="I884" s="77">
        <f t="shared" si="27"/>
        <v>0</v>
      </c>
    </row>
    <row r="885" spans="1:9">
      <c r="A885" s="85" t="str">
        <f>VLOOKUP('Informe Kelly'!A878,Base!A:B,2,FALSE)</f>
        <v>15.445.100-5</v>
      </c>
      <c r="B885" s="85" t="str">
        <f>VLOOKUP('Informe Kelly'!A878,Base!A:G,7,FALSE)</f>
        <v>MACAYA MOSCOSO FELIPE ANDRES</v>
      </c>
      <c r="C885" s="91">
        <f>'Informe Kelly'!E878</f>
        <v>40645</v>
      </c>
      <c r="D885" s="96">
        <f t="shared" si="26"/>
        <v>458</v>
      </c>
      <c r="E885" s="85" t="e">
        <f>VLOOKUP(A885,Ingreso!K:P,6,FALSE)</f>
        <v>#N/A</v>
      </c>
      <c r="F885" s="85">
        <f>IF('Informe Kelly'!H878=$A$2,'Informe Kelly'!F878,"")</f>
        <v>0.60704861111111108</v>
      </c>
      <c r="G885" s="85" t="str">
        <f>IF('Informe Kelly'!H878=$A$3,'Informe Kelly'!F878,"")</f>
        <v/>
      </c>
      <c r="H885" s="85" t="e">
        <f>IF(C885=C883,0,IF(D885=D884,0,(HLOOKUP(C885,Ingreso!$AN$10:$AU$260,VLOOKUP(A885,Ingreso!$AL$11:$AM$260,2,FALSE)))/24))</f>
        <v>#N/A</v>
      </c>
      <c r="I885" s="77" t="e">
        <f t="shared" si="27"/>
        <v>#N/A</v>
      </c>
    </row>
    <row r="886" spans="1:9">
      <c r="A886" s="85" t="str">
        <f>VLOOKUP('Informe Kelly'!A879,Base!A:B,2,FALSE)</f>
        <v>15.445.100-5</v>
      </c>
      <c r="B886" s="85" t="str">
        <f>VLOOKUP('Informe Kelly'!A879,Base!A:G,7,FALSE)</f>
        <v>MACAYA MOSCOSO FELIPE ANDRES</v>
      </c>
      <c r="C886" s="91">
        <f>'Informe Kelly'!E879</f>
        <v>40645</v>
      </c>
      <c r="D886" s="96">
        <f t="shared" si="26"/>
        <v>458</v>
      </c>
      <c r="E886" s="85" t="e">
        <f>VLOOKUP(A886,Ingreso!K:P,6,FALSE)</f>
        <v>#N/A</v>
      </c>
      <c r="F886" s="85" t="str">
        <f>IF('Informe Kelly'!H879=$A$2,'Informe Kelly'!F879,"")</f>
        <v/>
      </c>
      <c r="G886" s="85">
        <f>IF('Informe Kelly'!H879=$A$3,'Informe Kelly'!F879,"")</f>
        <v>0.94769675925925922</v>
      </c>
      <c r="H886" s="85">
        <f>IF(C886=C884,0,IF(D886=D885,0,(HLOOKUP(C886,Ingreso!$AN$10:$AU$260,VLOOKUP(A886,Ingreso!$AL$11:$AM$260,2,FALSE)))/24))</f>
        <v>0</v>
      </c>
      <c r="I886" s="77">
        <f t="shared" si="27"/>
        <v>0</v>
      </c>
    </row>
    <row r="887" spans="1:9">
      <c r="A887" s="85" t="str">
        <f>VLOOKUP('Informe Kelly'!A880,Base!A:B,2,FALSE)</f>
        <v>15.445.100-5</v>
      </c>
      <c r="B887" s="85" t="str">
        <f>VLOOKUP('Informe Kelly'!A880,Base!A:G,7,FALSE)</f>
        <v>MACAYA MOSCOSO FELIPE ANDRES</v>
      </c>
      <c r="C887" s="91">
        <f>'Informe Kelly'!E880</f>
        <v>40646</v>
      </c>
      <c r="D887" s="96">
        <f t="shared" si="26"/>
        <v>459</v>
      </c>
      <c r="E887" s="85" t="e">
        <f>VLOOKUP(A887,Ingreso!K:P,6,FALSE)</f>
        <v>#N/A</v>
      </c>
      <c r="F887" s="85">
        <f>IF('Informe Kelly'!H880=$A$2,'Informe Kelly'!F880,"")</f>
        <v>0.30549768518518522</v>
      </c>
      <c r="G887" s="85" t="str">
        <f>IF('Informe Kelly'!H880=$A$3,'Informe Kelly'!F880,"")</f>
        <v/>
      </c>
      <c r="H887" s="85" t="e">
        <f>IF(C887=C885,0,IF(D887=D886,0,(HLOOKUP(C887,Ingreso!$AN$10:$AU$260,VLOOKUP(A887,Ingreso!$AL$11:$AM$260,2,FALSE)))/24))</f>
        <v>#N/A</v>
      </c>
      <c r="I887" s="77" t="e">
        <f t="shared" si="27"/>
        <v>#N/A</v>
      </c>
    </row>
    <row r="888" spans="1:9">
      <c r="A888" s="85" t="str">
        <f>VLOOKUP('Informe Kelly'!A881,Base!A:B,2,FALSE)</f>
        <v>15.445.100-5</v>
      </c>
      <c r="B888" s="85" t="str">
        <f>VLOOKUP('Informe Kelly'!A881,Base!A:G,7,FALSE)</f>
        <v>MACAYA MOSCOSO FELIPE ANDRES</v>
      </c>
      <c r="C888" s="91">
        <f>'Informe Kelly'!E881</f>
        <v>40646</v>
      </c>
      <c r="D888" s="96">
        <f t="shared" si="26"/>
        <v>459</v>
      </c>
      <c r="E888" s="85" t="e">
        <f>VLOOKUP(A888,Ingreso!K:P,6,FALSE)</f>
        <v>#N/A</v>
      </c>
      <c r="F888" s="85" t="str">
        <f>IF('Informe Kelly'!H881=$A$2,'Informe Kelly'!F881,"")</f>
        <v/>
      </c>
      <c r="G888" s="85">
        <f>IF('Informe Kelly'!H881=$A$3,'Informe Kelly'!F881,"")</f>
        <v>0.63975694444444442</v>
      </c>
      <c r="H888" s="85">
        <f>IF(C888=C886,0,IF(D888=D887,0,(HLOOKUP(C888,Ingreso!$AN$10:$AU$260,VLOOKUP(A888,Ingreso!$AL$11:$AM$260,2,FALSE)))/24))</f>
        <v>0</v>
      </c>
      <c r="I888" s="77">
        <f t="shared" si="27"/>
        <v>0</v>
      </c>
    </row>
    <row r="889" spans="1:9">
      <c r="A889" s="85" t="str">
        <f>VLOOKUP('Informe Kelly'!A882,Base!A:B,2,FALSE)</f>
        <v>15.445.100-5</v>
      </c>
      <c r="B889" s="85" t="str">
        <f>VLOOKUP('Informe Kelly'!A882,Base!A:G,7,FALSE)</f>
        <v>MACAYA MOSCOSO FELIPE ANDRES</v>
      </c>
      <c r="C889" s="91">
        <f>'Informe Kelly'!E882</f>
        <v>40647</v>
      </c>
      <c r="D889" s="96">
        <f t="shared" si="26"/>
        <v>460</v>
      </c>
      <c r="E889" s="85" t="e">
        <f>VLOOKUP(A889,Ingreso!K:P,6,FALSE)</f>
        <v>#N/A</v>
      </c>
      <c r="F889" s="85">
        <f>IF('Informe Kelly'!H882=$A$2,'Informe Kelly'!F882,"")</f>
        <v>0.60824074074074075</v>
      </c>
      <c r="G889" s="85" t="str">
        <f>IF('Informe Kelly'!H882=$A$3,'Informe Kelly'!F882,"")</f>
        <v/>
      </c>
      <c r="H889" s="85" t="e">
        <f>IF(C889=C887,0,IF(D889=D888,0,(HLOOKUP(C889,Ingreso!$AN$10:$AU$260,VLOOKUP(A889,Ingreso!$AL$11:$AM$260,2,FALSE)))/24))</f>
        <v>#N/A</v>
      </c>
      <c r="I889" s="77" t="e">
        <f t="shared" si="27"/>
        <v>#N/A</v>
      </c>
    </row>
    <row r="890" spans="1:9">
      <c r="A890" s="85" t="str">
        <f>VLOOKUP('Informe Kelly'!A883,Base!A:B,2,FALSE)</f>
        <v>15.445.100-5</v>
      </c>
      <c r="B890" s="85" t="str">
        <f>VLOOKUP('Informe Kelly'!A883,Base!A:G,7,FALSE)</f>
        <v>MACAYA MOSCOSO FELIPE ANDRES</v>
      </c>
      <c r="C890" s="91">
        <f>'Informe Kelly'!E883</f>
        <v>40647</v>
      </c>
      <c r="D890" s="96">
        <f t="shared" si="26"/>
        <v>460</v>
      </c>
      <c r="E890" s="85" t="e">
        <f>VLOOKUP(A890,Ingreso!K:P,6,FALSE)</f>
        <v>#N/A</v>
      </c>
      <c r="F890" s="85" t="str">
        <f>IF('Informe Kelly'!H883=$A$2,'Informe Kelly'!F883,"")</f>
        <v/>
      </c>
      <c r="G890" s="85">
        <f>IF('Informe Kelly'!H883=$A$3,'Informe Kelly'!F883,"")</f>
        <v>0.95207175925925924</v>
      </c>
      <c r="H890" s="85">
        <f>IF(C890=C888,0,IF(D890=D889,0,(HLOOKUP(C890,Ingreso!$AN$10:$AU$260,VLOOKUP(A890,Ingreso!$AL$11:$AM$260,2,FALSE)))/24))</f>
        <v>0</v>
      </c>
      <c r="I890" s="77">
        <f t="shared" si="27"/>
        <v>0</v>
      </c>
    </row>
    <row r="891" spans="1:9">
      <c r="A891" s="85" t="str">
        <f>VLOOKUP('Informe Kelly'!A884,Base!A:B,2,FALSE)</f>
        <v>15.445.100-5</v>
      </c>
      <c r="B891" s="85" t="str">
        <f>VLOOKUP('Informe Kelly'!A884,Base!A:G,7,FALSE)</f>
        <v>MACAYA MOSCOSO FELIPE ANDRES</v>
      </c>
      <c r="C891" s="91">
        <f>'Informe Kelly'!E884</f>
        <v>40648</v>
      </c>
      <c r="D891" s="96">
        <f t="shared" si="26"/>
        <v>461</v>
      </c>
      <c r="E891" s="85" t="e">
        <f>VLOOKUP(A891,Ingreso!K:P,6,FALSE)</f>
        <v>#N/A</v>
      </c>
      <c r="F891" s="85">
        <f>IF('Informe Kelly'!H884=$A$2,'Informe Kelly'!F884,"")</f>
        <v>0.6097569444444445</v>
      </c>
      <c r="G891" s="85" t="str">
        <f>IF('Informe Kelly'!H884=$A$3,'Informe Kelly'!F884,"")</f>
        <v/>
      </c>
      <c r="H891" s="85" t="e">
        <f>IF(C891=C889,0,IF(D891=D890,0,(HLOOKUP(C891,Ingreso!$AN$10:$AU$260,VLOOKUP(A891,Ingreso!$AL$11:$AM$260,2,FALSE)))/24))</f>
        <v>#N/A</v>
      </c>
      <c r="I891" s="77" t="e">
        <f t="shared" si="27"/>
        <v>#N/A</v>
      </c>
    </row>
    <row r="892" spans="1:9">
      <c r="A892" s="85" t="str">
        <f>VLOOKUP('Informe Kelly'!A885,Base!A:B,2,FALSE)</f>
        <v>15.445.100-5</v>
      </c>
      <c r="B892" s="85" t="str">
        <f>VLOOKUP('Informe Kelly'!A885,Base!A:G,7,FALSE)</f>
        <v>MACAYA MOSCOSO FELIPE ANDRES</v>
      </c>
      <c r="C892" s="91">
        <f>'Informe Kelly'!E885</f>
        <v>40648</v>
      </c>
      <c r="D892" s="96">
        <f t="shared" si="26"/>
        <v>461</v>
      </c>
      <c r="E892" s="85" t="e">
        <f>VLOOKUP(A892,Ingreso!K:P,6,FALSE)</f>
        <v>#N/A</v>
      </c>
      <c r="F892" s="85" t="str">
        <f>IF('Informe Kelly'!H885=$A$2,'Informe Kelly'!F885,"")</f>
        <v/>
      </c>
      <c r="G892" s="85">
        <f>IF('Informe Kelly'!H885=$A$3,'Informe Kelly'!F885,"")</f>
        <v>0.94756944444444446</v>
      </c>
      <c r="H892" s="85">
        <f>IF(C892=C890,0,IF(D892=D891,0,(HLOOKUP(C892,Ingreso!$AN$10:$AU$260,VLOOKUP(A892,Ingreso!$AL$11:$AM$260,2,FALSE)))/24))</f>
        <v>0</v>
      </c>
      <c r="I892" s="77">
        <f t="shared" si="27"/>
        <v>0</v>
      </c>
    </row>
    <row r="893" spans="1:9">
      <c r="A893" s="85" t="str">
        <f>VLOOKUP('Informe Kelly'!A886,Base!A:B,2,FALSE)</f>
        <v>15.445.100-5</v>
      </c>
      <c r="B893" s="85" t="str">
        <f>VLOOKUP('Informe Kelly'!A886,Base!A:G,7,FALSE)</f>
        <v>MACAYA MOSCOSO FELIPE ANDRES</v>
      </c>
      <c r="C893" s="91">
        <f>'Informe Kelly'!E886</f>
        <v>40649</v>
      </c>
      <c r="D893" s="96">
        <f t="shared" si="26"/>
        <v>462</v>
      </c>
      <c r="E893" s="85" t="e">
        <f>VLOOKUP(A893,Ingreso!K:P,6,FALSE)</f>
        <v>#N/A</v>
      </c>
      <c r="F893" s="85" t="str">
        <f>IF('Informe Kelly'!H886=$A$2,'Informe Kelly'!F886,"")</f>
        <v/>
      </c>
      <c r="G893" s="85">
        <f>IF('Informe Kelly'!H886=$A$3,'Informe Kelly'!F886,"")</f>
        <v>0.94738425925925929</v>
      </c>
      <c r="H893" s="85" t="e">
        <f>IF(C893=C891,0,IF(D893=D892,0,(HLOOKUP(C893,Ingreso!$AN$10:$AU$260,VLOOKUP(A893,Ingreso!$AL$11:$AM$260,2,FALSE)))/24))</f>
        <v>#N/A</v>
      </c>
      <c r="I893" s="77" t="e">
        <f t="shared" si="27"/>
        <v>#N/A</v>
      </c>
    </row>
    <row r="894" spans="1:9">
      <c r="A894" s="85" t="str">
        <f>VLOOKUP('Informe Kelly'!A887,Base!A:B,2,FALSE)</f>
        <v>15.445.100-5</v>
      </c>
      <c r="B894" s="85" t="str">
        <f>VLOOKUP('Informe Kelly'!A887,Base!A:G,7,FALSE)</f>
        <v>MACAYA MOSCOSO FELIPE ANDRES</v>
      </c>
      <c r="C894" s="91">
        <f>'Informe Kelly'!E887</f>
        <v>40649</v>
      </c>
      <c r="D894" s="96">
        <f t="shared" si="26"/>
        <v>462</v>
      </c>
      <c r="E894" s="85" t="e">
        <f>VLOOKUP(A894,Ingreso!K:P,6,FALSE)</f>
        <v>#N/A</v>
      </c>
      <c r="F894" s="85">
        <f>IF('Informe Kelly'!H887=$A$2,'Informe Kelly'!F887,"")</f>
        <v>0.6274305555555556</v>
      </c>
      <c r="G894" s="85" t="str">
        <f>IF('Informe Kelly'!H887=$A$3,'Informe Kelly'!F887,"")</f>
        <v/>
      </c>
      <c r="H894" s="85">
        <f>IF(C894=C892,0,IF(D894=D893,0,(HLOOKUP(C894,Ingreso!$AN$10:$AU$260,VLOOKUP(A894,Ingreso!$AL$11:$AM$260,2,FALSE)))/24))</f>
        <v>0</v>
      </c>
      <c r="I894" s="77">
        <f t="shared" si="27"/>
        <v>0</v>
      </c>
    </row>
    <row r="895" spans="1:9">
      <c r="A895" s="85" t="str">
        <f>VLOOKUP('Informe Kelly'!A888,Base!A:B,2,FALSE)</f>
        <v>15.449.281-K</v>
      </c>
      <c r="B895" s="85" t="str">
        <f>VLOOKUP('Informe Kelly'!A888,Base!A:G,7,FALSE)</f>
        <v>DURAN MIRANDA ROBERTO FABIAN</v>
      </c>
      <c r="C895" s="91">
        <f>'Informe Kelly'!E888</f>
        <v>40644</v>
      </c>
      <c r="D895" s="96">
        <f t="shared" si="26"/>
        <v>463</v>
      </c>
      <c r="E895" s="85" t="e">
        <f>VLOOKUP(A895,Ingreso!K:P,6,FALSE)</f>
        <v>#N/A</v>
      </c>
      <c r="F895" s="85">
        <f>IF('Informe Kelly'!H888=$A$2,'Informe Kelly'!F888,"")</f>
        <v>0.92087962962962966</v>
      </c>
      <c r="G895" s="85" t="str">
        <f>IF('Informe Kelly'!H888=$A$3,'Informe Kelly'!F888,"")</f>
        <v/>
      </c>
      <c r="H895" s="85" t="e">
        <f>IF(C895=C893,0,IF(D895=D894,0,(HLOOKUP(C895,Ingreso!$AN$10:$AU$260,VLOOKUP(A895,Ingreso!$AL$11:$AM$260,2,FALSE)))/24))</f>
        <v>#N/A</v>
      </c>
      <c r="I895" s="77" t="e">
        <f t="shared" si="27"/>
        <v>#N/A</v>
      </c>
    </row>
    <row r="896" spans="1:9">
      <c r="A896" s="85" t="str">
        <f>VLOOKUP('Informe Kelly'!A889,Base!A:B,2,FALSE)</f>
        <v>15.449.281-K</v>
      </c>
      <c r="B896" s="85" t="str">
        <f>VLOOKUP('Informe Kelly'!A889,Base!A:G,7,FALSE)</f>
        <v>DURAN MIRANDA ROBERTO FABIAN</v>
      </c>
      <c r="C896" s="91">
        <f>'Informe Kelly'!E889</f>
        <v>40645</v>
      </c>
      <c r="D896" s="96">
        <f t="shared" si="26"/>
        <v>464</v>
      </c>
      <c r="E896" s="85" t="e">
        <f>VLOOKUP(A896,Ingreso!K:P,6,FALSE)</f>
        <v>#N/A</v>
      </c>
      <c r="F896" s="85" t="str">
        <f>IF('Informe Kelly'!H889=$A$2,'Informe Kelly'!F889,"")</f>
        <v/>
      </c>
      <c r="G896" s="85">
        <f>IF('Informe Kelly'!H889=$A$3,'Informe Kelly'!F889,"")</f>
        <v>0.32471064814814815</v>
      </c>
      <c r="H896" s="85" t="e">
        <f>IF(C896=C894,0,IF(D896=D895,0,(HLOOKUP(C896,Ingreso!$AN$10:$AU$260,VLOOKUP(A896,Ingreso!$AL$11:$AM$260,2,FALSE)))/24))</f>
        <v>#N/A</v>
      </c>
      <c r="I896" s="77" t="e">
        <f t="shared" si="27"/>
        <v>#N/A</v>
      </c>
    </row>
    <row r="897" spans="1:9">
      <c r="A897" s="85" t="str">
        <f>VLOOKUP('Informe Kelly'!A890,Base!A:B,2,FALSE)</f>
        <v>15.449.281-K</v>
      </c>
      <c r="B897" s="85" t="str">
        <f>VLOOKUP('Informe Kelly'!A890,Base!A:G,7,FALSE)</f>
        <v>DURAN MIRANDA ROBERTO FABIAN</v>
      </c>
      <c r="C897" s="91">
        <f>'Informe Kelly'!E890</f>
        <v>40645</v>
      </c>
      <c r="D897" s="96">
        <f t="shared" si="26"/>
        <v>464</v>
      </c>
      <c r="E897" s="85" t="e">
        <f>VLOOKUP(A897,Ingreso!K:P,6,FALSE)</f>
        <v>#N/A</v>
      </c>
      <c r="F897" s="85">
        <f>IF('Informe Kelly'!H890=$A$2,'Informe Kelly'!F890,"")</f>
        <v>0.91895833333333332</v>
      </c>
      <c r="G897" s="85" t="str">
        <f>IF('Informe Kelly'!H890=$A$3,'Informe Kelly'!F890,"")</f>
        <v/>
      </c>
      <c r="H897" s="85">
        <f>IF(C897=C895,0,IF(D897=D896,0,(HLOOKUP(C897,Ingreso!$AN$10:$AU$260,VLOOKUP(A897,Ingreso!$AL$11:$AM$260,2,FALSE)))/24))</f>
        <v>0</v>
      </c>
      <c r="I897" s="77">
        <f t="shared" si="27"/>
        <v>0</v>
      </c>
    </row>
    <row r="898" spans="1:9">
      <c r="A898" s="85" t="str">
        <f>VLOOKUP('Informe Kelly'!A891,Base!A:B,2,FALSE)</f>
        <v>15.449.281-K</v>
      </c>
      <c r="B898" s="85" t="str">
        <f>VLOOKUP('Informe Kelly'!A891,Base!A:G,7,FALSE)</f>
        <v>DURAN MIRANDA ROBERTO FABIAN</v>
      </c>
      <c r="C898" s="91">
        <f>'Informe Kelly'!E891</f>
        <v>40646</v>
      </c>
      <c r="D898" s="96">
        <f t="shared" si="26"/>
        <v>465</v>
      </c>
      <c r="E898" s="85" t="e">
        <f>VLOOKUP(A898,Ingreso!K:P,6,FALSE)</f>
        <v>#N/A</v>
      </c>
      <c r="F898" s="85" t="str">
        <f>IF('Informe Kelly'!H891=$A$2,'Informe Kelly'!F891,"")</f>
        <v/>
      </c>
      <c r="G898" s="85">
        <f>IF('Informe Kelly'!H891=$A$3,'Informe Kelly'!F891,"")</f>
        <v>0.32175925925925924</v>
      </c>
      <c r="H898" s="85" t="e">
        <f>IF(C898=C896,0,IF(D898=D897,0,(HLOOKUP(C898,Ingreso!$AN$10:$AU$260,VLOOKUP(A898,Ingreso!$AL$11:$AM$260,2,FALSE)))/24))</f>
        <v>#N/A</v>
      </c>
      <c r="I898" s="77" t="e">
        <f t="shared" si="27"/>
        <v>#N/A</v>
      </c>
    </row>
    <row r="899" spans="1:9">
      <c r="A899" s="85" t="str">
        <f>VLOOKUP('Informe Kelly'!A892,Base!A:B,2,FALSE)</f>
        <v>15.449.281-K</v>
      </c>
      <c r="B899" s="85" t="str">
        <f>VLOOKUP('Informe Kelly'!A892,Base!A:G,7,FALSE)</f>
        <v>DURAN MIRANDA ROBERTO FABIAN</v>
      </c>
      <c r="C899" s="91">
        <f>'Informe Kelly'!E892</f>
        <v>40646</v>
      </c>
      <c r="D899" s="96">
        <f t="shared" si="26"/>
        <v>465</v>
      </c>
      <c r="E899" s="85" t="e">
        <f>VLOOKUP(A899,Ingreso!K:P,6,FALSE)</f>
        <v>#N/A</v>
      </c>
      <c r="F899" s="85">
        <f>IF('Informe Kelly'!H892=$A$2,'Informe Kelly'!F892,"")</f>
        <v>0.92113425925925929</v>
      </c>
      <c r="G899" s="85" t="str">
        <f>IF('Informe Kelly'!H892=$A$3,'Informe Kelly'!F892,"")</f>
        <v/>
      </c>
      <c r="H899" s="85">
        <f>IF(C899=C897,0,IF(D899=D898,0,(HLOOKUP(C899,Ingreso!$AN$10:$AU$260,VLOOKUP(A899,Ingreso!$AL$11:$AM$260,2,FALSE)))/24))</f>
        <v>0</v>
      </c>
      <c r="I899" s="77">
        <f t="shared" si="27"/>
        <v>0</v>
      </c>
    </row>
    <row r="900" spans="1:9">
      <c r="A900" s="85" t="str">
        <f>VLOOKUP('Informe Kelly'!A893,Base!A:B,2,FALSE)</f>
        <v>15.449.281-K</v>
      </c>
      <c r="B900" s="85" t="str">
        <f>VLOOKUP('Informe Kelly'!A893,Base!A:G,7,FALSE)</f>
        <v>DURAN MIRANDA ROBERTO FABIAN</v>
      </c>
      <c r="C900" s="91">
        <f>'Informe Kelly'!E893</f>
        <v>40647</v>
      </c>
      <c r="D900" s="96">
        <f t="shared" si="26"/>
        <v>466</v>
      </c>
      <c r="E900" s="85" t="e">
        <f>VLOOKUP(A900,Ingreso!K:P,6,FALSE)</f>
        <v>#N/A</v>
      </c>
      <c r="F900" s="85" t="str">
        <f>IF('Informe Kelly'!H893=$A$2,'Informe Kelly'!F893,"")</f>
        <v/>
      </c>
      <c r="G900" s="85">
        <f>IF('Informe Kelly'!H893=$A$3,'Informe Kelly'!F893,"")</f>
        <v>0.32278935185185187</v>
      </c>
      <c r="H900" s="85" t="e">
        <f>IF(C900=C898,0,IF(D900=D899,0,(HLOOKUP(C900,Ingreso!$AN$10:$AU$260,VLOOKUP(A900,Ingreso!$AL$11:$AM$260,2,FALSE)))/24))</f>
        <v>#N/A</v>
      </c>
      <c r="I900" s="77" t="e">
        <f t="shared" si="27"/>
        <v>#N/A</v>
      </c>
    </row>
    <row r="901" spans="1:9">
      <c r="A901" s="85" t="str">
        <f>VLOOKUP('Informe Kelly'!A894,Base!A:B,2,FALSE)</f>
        <v>15.449.281-K</v>
      </c>
      <c r="B901" s="85" t="str">
        <f>VLOOKUP('Informe Kelly'!A894,Base!A:G,7,FALSE)</f>
        <v>DURAN MIRANDA ROBERTO FABIAN</v>
      </c>
      <c r="C901" s="91">
        <f>'Informe Kelly'!E894</f>
        <v>40647</v>
      </c>
      <c r="D901" s="96">
        <f t="shared" si="26"/>
        <v>466</v>
      </c>
      <c r="E901" s="85" t="e">
        <f>VLOOKUP(A901,Ingreso!K:P,6,FALSE)</f>
        <v>#N/A</v>
      </c>
      <c r="F901" s="85">
        <f>IF('Informe Kelly'!H894=$A$2,'Informe Kelly'!F894,"")</f>
        <v>0.92033564814814817</v>
      </c>
      <c r="G901" s="85" t="str">
        <f>IF('Informe Kelly'!H894=$A$3,'Informe Kelly'!F894,"")</f>
        <v/>
      </c>
      <c r="H901" s="85">
        <f>IF(C901=C899,0,IF(D901=D900,0,(HLOOKUP(C901,Ingreso!$AN$10:$AU$260,VLOOKUP(A901,Ingreso!$AL$11:$AM$260,2,FALSE)))/24))</f>
        <v>0</v>
      </c>
      <c r="I901" s="77">
        <f t="shared" si="27"/>
        <v>0</v>
      </c>
    </row>
    <row r="902" spans="1:9">
      <c r="A902" s="85" t="str">
        <f>VLOOKUP('Informe Kelly'!A895,Base!A:B,2,FALSE)</f>
        <v>15.449.281-K</v>
      </c>
      <c r="B902" s="85" t="str">
        <f>VLOOKUP('Informe Kelly'!A895,Base!A:G,7,FALSE)</f>
        <v>DURAN MIRANDA ROBERTO FABIAN</v>
      </c>
      <c r="C902" s="91">
        <f>'Informe Kelly'!E895</f>
        <v>40648</v>
      </c>
      <c r="D902" s="96">
        <f t="shared" si="26"/>
        <v>467</v>
      </c>
      <c r="E902" s="85" t="e">
        <f>VLOOKUP(A902,Ingreso!K:P,6,FALSE)</f>
        <v>#N/A</v>
      </c>
      <c r="F902" s="85">
        <f>IF('Informe Kelly'!H895=$A$2,'Informe Kelly'!F895,"")</f>
        <v>0.92052083333333334</v>
      </c>
      <c r="G902" s="85" t="str">
        <f>IF('Informe Kelly'!H895=$A$3,'Informe Kelly'!F895,"")</f>
        <v/>
      </c>
      <c r="H902" s="85" t="e">
        <f>IF(C902=C900,0,IF(D902=D901,0,(HLOOKUP(C902,Ingreso!$AN$10:$AU$260,VLOOKUP(A902,Ingreso!$AL$11:$AM$260,2,FALSE)))/24))</f>
        <v>#N/A</v>
      </c>
      <c r="I902" s="77" t="e">
        <f t="shared" si="27"/>
        <v>#N/A</v>
      </c>
    </row>
    <row r="903" spans="1:9">
      <c r="A903" s="85" t="str">
        <f>VLOOKUP('Informe Kelly'!A896,Base!A:B,2,FALSE)</f>
        <v>15.449.281-K</v>
      </c>
      <c r="B903" s="85" t="str">
        <f>VLOOKUP('Informe Kelly'!A896,Base!A:G,7,FALSE)</f>
        <v>DURAN MIRANDA ROBERTO FABIAN</v>
      </c>
      <c r="C903" s="91">
        <f>'Informe Kelly'!E896</f>
        <v>40648</v>
      </c>
      <c r="D903" s="96">
        <f t="shared" si="26"/>
        <v>467</v>
      </c>
      <c r="E903" s="85" t="e">
        <f>VLOOKUP(A903,Ingreso!K:P,6,FALSE)</f>
        <v>#N/A</v>
      </c>
      <c r="F903" s="85" t="str">
        <f>IF('Informe Kelly'!H896=$A$2,'Informe Kelly'!F896,"")</f>
        <v/>
      </c>
      <c r="G903" s="85">
        <f>IF('Informe Kelly'!H896=$A$3,'Informe Kelly'!F896,"")</f>
        <v>0.32153935185185184</v>
      </c>
      <c r="H903" s="85">
        <f>IF(C903=C901,0,IF(D903=D902,0,(HLOOKUP(C903,Ingreso!$AN$10:$AU$260,VLOOKUP(A903,Ingreso!$AL$11:$AM$260,2,FALSE)))/24))</f>
        <v>0</v>
      </c>
      <c r="I903" s="77">
        <f t="shared" si="27"/>
        <v>0</v>
      </c>
    </row>
    <row r="904" spans="1:9">
      <c r="A904" s="85" t="str">
        <f>VLOOKUP('Informe Kelly'!A897,Base!A:B,2,FALSE)</f>
        <v>15.449.281-K</v>
      </c>
      <c r="B904" s="85" t="str">
        <f>VLOOKUP('Informe Kelly'!A897,Base!A:G,7,FALSE)</f>
        <v>DURAN MIRANDA ROBERTO FABIAN</v>
      </c>
      <c r="C904" s="91">
        <f>'Informe Kelly'!E897</f>
        <v>40649</v>
      </c>
      <c r="D904" s="96">
        <f t="shared" si="26"/>
        <v>468</v>
      </c>
      <c r="E904" s="85" t="e">
        <f>VLOOKUP(A904,Ingreso!K:P,6,FALSE)</f>
        <v>#N/A</v>
      </c>
      <c r="F904" s="85" t="str">
        <f>IF('Informe Kelly'!H897=$A$2,'Informe Kelly'!F897,"")</f>
        <v/>
      </c>
      <c r="G904" s="85">
        <f>IF('Informe Kelly'!H897=$A$3,'Informe Kelly'!F897,"")</f>
        <v>0.31881944444444443</v>
      </c>
      <c r="H904" s="85" t="e">
        <f>IF(C904=C902,0,IF(D904=D903,0,(HLOOKUP(C904,Ingreso!$AN$10:$AU$260,VLOOKUP(A904,Ingreso!$AL$11:$AM$260,2,FALSE)))/24))</f>
        <v>#N/A</v>
      </c>
      <c r="I904" s="77" t="e">
        <f t="shared" si="27"/>
        <v>#N/A</v>
      </c>
    </row>
    <row r="905" spans="1:9">
      <c r="A905" s="85" t="str">
        <f>VLOOKUP('Informe Kelly'!A898,Base!A:B,2,FALSE)</f>
        <v>15.533.689-7</v>
      </c>
      <c r="B905" s="85" t="str">
        <f>VLOOKUP('Informe Kelly'!A898,Base!A:G,7,FALSE)</f>
        <v>DURAN  BRAVO, ROBERTO</v>
      </c>
      <c r="C905" s="91">
        <f>'Informe Kelly'!E898</f>
        <v>40648</v>
      </c>
      <c r="D905" s="96">
        <f t="shared" ref="D905:D968" si="28">IF(C904=C905,IF(C905=C902,D904,IF(C905=C903,D904+1,D904)),D904+1)</f>
        <v>469</v>
      </c>
      <c r="E905" s="85" t="e">
        <f>VLOOKUP(A905,Ingreso!K:P,6,FALSE)</f>
        <v>#N/A</v>
      </c>
      <c r="F905" s="85">
        <f>IF('Informe Kelly'!H898=$A$2,'Informe Kelly'!F898,"")</f>
        <v>0.31149305555555556</v>
      </c>
      <c r="G905" s="85" t="str">
        <f>IF('Informe Kelly'!H898=$A$3,'Informe Kelly'!F898,"")</f>
        <v/>
      </c>
      <c r="H905" s="85">
        <f>IF(C905=C903,0,IF(D905=D904,0,(HLOOKUP(C905,Ingreso!$AN$10:$AU$260,VLOOKUP(A905,Ingreso!$AL$11:$AM$260,2,FALSE)))/24))</f>
        <v>0</v>
      </c>
      <c r="I905" s="77">
        <f t="shared" si="27"/>
        <v>0</v>
      </c>
    </row>
    <row r="906" spans="1:9">
      <c r="A906" s="85" t="str">
        <f>VLOOKUP('Informe Kelly'!A899,Base!A:B,2,FALSE)</f>
        <v>15.533.689-7</v>
      </c>
      <c r="B906" s="85" t="str">
        <f>VLOOKUP('Informe Kelly'!A899,Base!A:G,7,FALSE)</f>
        <v>DURAN  BRAVO, ROBERTO</v>
      </c>
      <c r="C906" s="91">
        <f>'Informe Kelly'!E899</f>
        <v>40648</v>
      </c>
      <c r="D906" s="96">
        <f t="shared" si="28"/>
        <v>469</v>
      </c>
      <c r="E906" s="85" t="e">
        <f>VLOOKUP(A906,Ingreso!K:P,6,FALSE)</f>
        <v>#N/A</v>
      </c>
      <c r="F906" s="85" t="str">
        <f>IF('Informe Kelly'!H899=$A$2,'Informe Kelly'!F899,"")</f>
        <v/>
      </c>
      <c r="G906" s="85">
        <f>IF('Informe Kelly'!H899=$A$3,'Informe Kelly'!F899,"")</f>
        <v>0.70156249999999998</v>
      </c>
      <c r="H906" s="85">
        <f>IF(C906=C904,0,IF(D906=D905,0,(HLOOKUP(C906,Ingreso!$AN$10:$AU$260,VLOOKUP(A906,Ingreso!$AL$11:$AM$260,2,FALSE)))/24))</f>
        <v>0</v>
      </c>
      <c r="I906" s="77">
        <f t="shared" ref="I906:I969" si="29">IF(C906=C904,0,IF(D906=D905,0,(VLOOKUP(E906,$C$2:$D$5,2,FALSE))))</f>
        <v>0</v>
      </c>
    </row>
    <row r="907" spans="1:9">
      <c r="A907" s="85" t="str">
        <f>VLOOKUP('Informe Kelly'!A900,Base!A:B,2,FALSE)</f>
        <v>15.891.790-4</v>
      </c>
      <c r="B907" s="85" t="str">
        <f>VLOOKUP('Informe Kelly'!A900,Base!A:G,7,FALSE)</f>
        <v>SALINAS SALDIA LUIS ALBERTO</v>
      </c>
      <c r="C907" s="91">
        <f>'Informe Kelly'!E900</f>
        <v>40644</v>
      </c>
      <c r="D907" s="96">
        <f t="shared" si="28"/>
        <v>470</v>
      </c>
      <c r="E907" s="85" t="str">
        <f>VLOOKUP(A907,Ingreso!K:P,6,FALSE)</f>
        <v>Turno A</v>
      </c>
      <c r="F907" s="85">
        <f>IF('Informe Kelly'!H900=$A$2,'Informe Kelly'!F900,"")</f>
        <v>0.31711805555555556</v>
      </c>
      <c r="G907" s="85" t="str">
        <f>IF('Informe Kelly'!H900=$A$3,'Informe Kelly'!F900,"")</f>
        <v/>
      </c>
      <c r="H907" s="85">
        <f>IF(C907=C905,0,IF(D907=D906,0,(HLOOKUP(C907,Ingreso!$AN$10:$AU$260,VLOOKUP(A907,Ingreso!$AL$11:$AM$260,2,FALSE)))/24))</f>
        <v>0</v>
      </c>
      <c r="I907" s="77">
        <f t="shared" si="29"/>
        <v>0.3125</v>
      </c>
    </row>
    <row r="908" spans="1:9">
      <c r="A908" s="85" t="str">
        <f>VLOOKUP('Informe Kelly'!A901,Base!A:B,2,FALSE)</f>
        <v>15.891.790-4</v>
      </c>
      <c r="B908" s="85" t="str">
        <f>VLOOKUP('Informe Kelly'!A901,Base!A:G,7,FALSE)</f>
        <v>SALINAS SALDIA LUIS ALBERTO</v>
      </c>
      <c r="C908" s="91">
        <f>'Informe Kelly'!E901</f>
        <v>40644</v>
      </c>
      <c r="D908" s="96">
        <f t="shared" si="28"/>
        <v>470</v>
      </c>
      <c r="E908" s="85" t="str">
        <f>VLOOKUP(A908,Ingreso!K:P,6,FALSE)</f>
        <v>Turno A</v>
      </c>
      <c r="F908" s="85" t="str">
        <f>IF('Informe Kelly'!H901=$A$2,'Informe Kelly'!F901,"")</f>
        <v/>
      </c>
      <c r="G908" s="85">
        <f>IF('Informe Kelly'!H901=$A$3,'Informe Kelly'!F901,"")</f>
        <v>0.63336805555555553</v>
      </c>
      <c r="H908" s="85">
        <f>IF(C908=C906,0,IF(D908=D907,0,(HLOOKUP(C908,Ingreso!$AN$10:$AU$260,VLOOKUP(A908,Ingreso!$AL$11:$AM$260,2,FALSE)))/24))</f>
        <v>0</v>
      </c>
      <c r="I908" s="77">
        <f t="shared" si="29"/>
        <v>0</v>
      </c>
    </row>
    <row r="909" spans="1:9">
      <c r="A909" s="85" t="str">
        <f>VLOOKUP('Informe Kelly'!A902,Base!A:B,2,FALSE)</f>
        <v>15.891.790-4</v>
      </c>
      <c r="B909" s="85" t="str">
        <f>VLOOKUP('Informe Kelly'!A902,Base!A:G,7,FALSE)</f>
        <v>SALINAS SALDIA LUIS ALBERTO</v>
      </c>
      <c r="C909" s="91">
        <f>'Informe Kelly'!E902</f>
        <v>40645</v>
      </c>
      <c r="D909" s="96">
        <f t="shared" si="28"/>
        <v>471</v>
      </c>
      <c r="E909" s="85" t="str">
        <f>VLOOKUP(A909,Ingreso!K:P,6,FALSE)</f>
        <v>Turno A</v>
      </c>
      <c r="F909" s="85">
        <f>IF('Informe Kelly'!H902=$A$2,'Informe Kelly'!F902,"")</f>
        <v>0.31069444444444444</v>
      </c>
      <c r="G909" s="85" t="str">
        <f>IF('Informe Kelly'!H902=$A$3,'Informe Kelly'!F902,"")</f>
        <v/>
      </c>
      <c r="H909" s="85">
        <f>IF(C909=C907,0,IF(D909=D908,0,(HLOOKUP(C909,Ingreso!$AN$10:$AU$260,VLOOKUP(A909,Ingreso!$AL$11:$AM$260,2,FALSE)))/24))</f>
        <v>0.10416666666666667</v>
      </c>
      <c r="I909" s="77">
        <f t="shared" si="29"/>
        <v>0.3125</v>
      </c>
    </row>
    <row r="910" spans="1:9">
      <c r="A910" s="85" t="str">
        <f>VLOOKUP('Informe Kelly'!A903,Base!A:B,2,FALSE)</f>
        <v>15.891.790-4</v>
      </c>
      <c r="B910" s="85" t="str">
        <f>VLOOKUP('Informe Kelly'!A903,Base!A:G,7,FALSE)</f>
        <v>SALINAS SALDIA LUIS ALBERTO</v>
      </c>
      <c r="C910" s="91">
        <f>'Informe Kelly'!E903</f>
        <v>40645</v>
      </c>
      <c r="D910" s="96">
        <f t="shared" si="28"/>
        <v>471</v>
      </c>
      <c r="E910" s="85" t="str">
        <f>VLOOKUP(A910,Ingreso!K:P,6,FALSE)</f>
        <v>Turno A</v>
      </c>
      <c r="F910" s="85" t="str">
        <f>IF('Informe Kelly'!H903=$A$2,'Informe Kelly'!F903,"")</f>
        <v/>
      </c>
      <c r="G910" s="85">
        <f>IF('Informe Kelly'!H903=$A$3,'Informe Kelly'!F903,"")</f>
        <v>0.71466435185185195</v>
      </c>
      <c r="H910" s="85">
        <f>IF(C910=C908,0,IF(D910=D909,0,(HLOOKUP(C910,Ingreso!$AN$10:$AU$260,VLOOKUP(A910,Ingreso!$AL$11:$AM$260,2,FALSE)))/24))</f>
        <v>0</v>
      </c>
      <c r="I910" s="77">
        <f t="shared" si="29"/>
        <v>0</v>
      </c>
    </row>
    <row r="911" spans="1:9">
      <c r="A911" s="85" t="str">
        <f>VLOOKUP('Informe Kelly'!A904,Base!A:B,2,FALSE)</f>
        <v>15.891.790-4</v>
      </c>
      <c r="B911" s="85" t="str">
        <f>VLOOKUP('Informe Kelly'!A904,Base!A:G,7,FALSE)</f>
        <v>SALINAS SALDIA LUIS ALBERTO</v>
      </c>
      <c r="C911" s="91">
        <f>'Informe Kelly'!E904</f>
        <v>40646</v>
      </c>
      <c r="D911" s="96">
        <f t="shared" si="28"/>
        <v>472</v>
      </c>
      <c r="E911" s="85" t="str">
        <f>VLOOKUP(A911,Ingreso!K:P,6,FALSE)</f>
        <v>Turno A</v>
      </c>
      <c r="F911" s="85">
        <f>IF('Informe Kelly'!H904=$A$2,'Informe Kelly'!F904,"")</f>
        <v>0.31155092592592593</v>
      </c>
      <c r="G911" s="85" t="str">
        <f>IF('Informe Kelly'!H904=$A$3,'Informe Kelly'!F904,"")</f>
        <v/>
      </c>
      <c r="H911" s="85">
        <f>IF(C911=C909,0,IF(D911=D910,0,(HLOOKUP(C911,Ingreso!$AN$10:$AU$260,VLOOKUP(A911,Ingreso!$AL$11:$AM$260,2,FALSE)))/24))</f>
        <v>0.10416666666666667</v>
      </c>
      <c r="I911" s="77">
        <f t="shared" si="29"/>
        <v>0.3125</v>
      </c>
    </row>
    <row r="912" spans="1:9">
      <c r="A912" s="85" t="str">
        <f>VLOOKUP('Informe Kelly'!A905,Base!A:B,2,FALSE)</f>
        <v>15.891.790-4</v>
      </c>
      <c r="B912" s="85" t="str">
        <f>VLOOKUP('Informe Kelly'!A905,Base!A:G,7,FALSE)</f>
        <v>SALINAS SALDIA LUIS ALBERTO</v>
      </c>
      <c r="C912" s="91">
        <f>'Informe Kelly'!E905</f>
        <v>40646</v>
      </c>
      <c r="D912" s="96">
        <f t="shared" si="28"/>
        <v>472</v>
      </c>
      <c r="E912" s="85" t="str">
        <f>VLOOKUP(A912,Ingreso!K:P,6,FALSE)</f>
        <v>Turno A</v>
      </c>
      <c r="F912" s="85" t="str">
        <f>IF('Informe Kelly'!H905=$A$2,'Informe Kelly'!F905,"")</f>
        <v/>
      </c>
      <c r="G912" s="85">
        <f>IF('Informe Kelly'!H905=$A$3,'Informe Kelly'!F905,"")</f>
        <v>0.71090277777777777</v>
      </c>
      <c r="H912" s="85">
        <f>IF(C912=C910,0,IF(D912=D911,0,(HLOOKUP(C912,Ingreso!$AN$10:$AU$260,VLOOKUP(A912,Ingreso!$AL$11:$AM$260,2,FALSE)))/24))</f>
        <v>0</v>
      </c>
      <c r="I912" s="77">
        <f t="shared" si="29"/>
        <v>0</v>
      </c>
    </row>
    <row r="913" spans="1:9">
      <c r="A913" s="85" t="str">
        <f>VLOOKUP('Informe Kelly'!A906,Base!A:B,2,FALSE)</f>
        <v>15.891.790-4</v>
      </c>
      <c r="B913" s="85" t="str">
        <f>VLOOKUP('Informe Kelly'!A906,Base!A:G,7,FALSE)</f>
        <v>SALINAS SALDIA LUIS ALBERTO</v>
      </c>
      <c r="C913" s="91">
        <f>'Informe Kelly'!E906</f>
        <v>40648</v>
      </c>
      <c r="D913" s="96">
        <f t="shared" si="28"/>
        <v>473</v>
      </c>
      <c r="E913" s="85" t="str">
        <f>VLOOKUP(A913,Ingreso!K:P,6,FALSE)</f>
        <v>Turno A</v>
      </c>
      <c r="F913" s="85" t="str">
        <f>IF('Informe Kelly'!H906=$A$2,'Informe Kelly'!F906,"")</f>
        <v/>
      </c>
      <c r="G913" s="85">
        <f>IF('Informe Kelly'!H906=$A$3,'Informe Kelly'!F906,"")</f>
        <v>0.62523148148148155</v>
      </c>
      <c r="H913" s="85">
        <f>IF(C913=C911,0,IF(D913=D912,0,(HLOOKUP(C913,Ingreso!$AN$10:$AU$260,VLOOKUP(A913,Ingreso!$AL$11:$AM$260,2,FALSE)))/24))</f>
        <v>0</v>
      </c>
      <c r="I913" s="77">
        <f t="shared" si="29"/>
        <v>0.3125</v>
      </c>
    </row>
    <row r="914" spans="1:9">
      <c r="A914" s="85" t="str">
        <f>VLOOKUP('Informe Kelly'!A907,Base!A:B,2,FALSE)</f>
        <v>15.891.790-4</v>
      </c>
      <c r="B914" s="85" t="str">
        <f>VLOOKUP('Informe Kelly'!A907,Base!A:G,7,FALSE)</f>
        <v>SALINAS SALDIA LUIS ALBERTO</v>
      </c>
      <c r="C914" s="91">
        <f>'Informe Kelly'!E907</f>
        <v>40648</v>
      </c>
      <c r="D914" s="96">
        <f t="shared" si="28"/>
        <v>473</v>
      </c>
      <c r="E914" s="85" t="str">
        <f>VLOOKUP(A914,Ingreso!K:P,6,FALSE)</f>
        <v>Turno A</v>
      </c>
      <c r="F914" s="85">
        <f>IF('Informe Kelly'!H907=$A$2,'Informe Kelly'!F907,"")</f>
        <v>0.32341435185185186</v>
      </c>
      <c r="G914" s="85" t="str">
        <f>IF('Informe Kelly'!H907=$A$3,'Informe Kelly'!F907,"")</f>
        <v/>
      </c>
      <c r="H914" s="85">
        <f>IF(C914=C912,0,IF(D914=D913,0,(HLOOKUP(C914,Ingreso!$AN$10:$AU$260,VLOOKUP(A914,Ingreso!$AL$11:$AM$260,2,FALSE)))/24))</f>
        <v>0</v>
      </c>
      <c r="I914" s="77">
        <f t="shared" si="29"/>
        <v>0</v>
      </c>
    </row>
    <row r="915" spans="1:9">
      <c r="A915" s="85" t="str">
        <f>VLOOKUP('Informe Kelly'!A908,Base!A:B,2,FALSE)</f>
        <v>15.891.790-4</v>
      </c>
      <c r="B915" s="85" t="str">
        <f>VLOOKUP('Informe Kelly'!A908,Base!A:G,7,FALSE)</f>
        <v>SALINAS SALDIA LUIS ALBERTO</v>
      </c>
      <c r="C915" s="91">
        <f>'Informe Kelly'!E908</f>
        <v>40649</v>
      </c>
      <c r="D915" s="96">
        <f t="shared" si="28"/>
        <v>474</v>
      </c>
      <c r="E915" s="85" t="str">
        <f>VLOOKUP(A915,Ingreso!K:P,6,FALSE)</f>
        <v>Turno A</v>
      </c>
      <c r="F915" s="85">
        <f>IF('Informe Kelly'!H908=$A$2,'Informe Kelly'!F908,"")</f>
        <v>0.32061342592592595</v>
      </c>
      <c r="G915" s="85" t="str">
        <f>IF('Informe Kelly'!H908=$A$3,'Informe Kelly'!F908,"")</f>
        <v/>
      </c>
      <c r="H915" s="85">
        <f>IF(C915=C913,0,IF(D915=D914,0,(HLOOKUP(C915,Ingreso!$AN$10:$AU$260,VLOOKUP(A915,Ingreso!$AL$11:$AM$260,2,FALSE)))/24))</f>
        <v>0</v>
      </c>
      <c r="I915" s="77">
        <f t="shared" si="29"/>
        <v>0.3125</v>
      </c>
    </row>
    <row r="916" spans="1:9">
      <c r="A916" s="85" t="str">
        <f>VLOOKUP('Informe Kelly'!A909,Base!A:B,2,FALSE)</f>
        <v>15.891.790-4</v>
      </c>
      <c r="B916" s="85" t="str">
        <f>VLOOKUP('Informe Kelly'!A909,Base!A:G,7,FALSE)</f>
        <v>SALINAS SALDIA LUIS ALBERTO</v>
      </c>
      <c r="C916" s="91">
        <f>'Informe Kelly'!E909</f>
        <v>40649</v>
      </c>
      <c r="D916" s="96">
        <f t="shared" si="28"/>
        <v>474</v>
      </c>
      <c r="E916" s="85" t="str">
        <f>VLOOKUP(A916,Ingreso!K:P,6,FALSE)</f>
        <v>Turno A</v>
      </c>
      <c r="F916" s="85" t="str">
        <f>IF('Informe Kelly'!H909=$A$2,'Informe Kelly'!F909,"")</f>
        <v/>
      </c>
      <c r="G916" s="85">
        <f>IF('Informe Kelly'!H909=$A$3,'Informe Kelly'!F909,"")</f>
        <v>0.63129629629629636</v>
      </c>
      <c r="H916" s="85">
        <f>IF(C916=C914,0,IF(D916=D915,0,(HLOOKUP(C916,Ingreso!$AN$10:$AU$260,VLOOKUP(A916,Ingreso!$AL$11:$AM$260,2,FALSE)))/24))</f>
        <v>0</v>
      </c>
      <c r="I916" s="77">
        <f t="shared" si="29"/>
        <v>0</v>
      </c>
    </row>
    <row r="917" spans="1:9">
      <c r="A917" s="85" t="str">
        <f>VLOOKUP('Informe Kelly'!A910,Base!A:B,2,FALSE)</f>
        <v>16.031.949-6</v>
      </c>
      <c r="B917" s="85" t="str">
        <f>VLOOKUP('Informe Kelly'!A910,Base!A:G,7,FALSE)</f>
        <v>ESPINOZA MORENO JONATHAN</v>
      </c>
      <c r="C917" s="91">
        <f>'Informe Kelly'!E910</f>
        <v>40644</v>
      </c>
      <c r="D917" s="96">
        <f t="shared" si="28"/>
        <v>475</v>
      </c>
      <c r="E917" s="85" t="str">
        <f>VLOOKUP(A917,Ingreso!K:P,6,FALSE)</f>
        <v>Turno A</v>
      </c>
      <c r="F917" s="85">
        <f>IF('Informe Kelly'!H910=$A$2,'Informe Kelly'!F910,"")</f>
        <v>0.29099537037037038</v>
      </c>
      <c r="G917" s="85" t="str">
        <f>IF('Informe Kelly'!H910=$A$3,'Informe Kelly'!F910,"")</f>
        <v/>
      </c>
      <c r="H917" s="85">
        <f>IF(C917=C915,0,IF(D917=D916,0,(HLOOKUP(C917,Ingreso!$AN$10:$AU$260,VLOOKUP(A917,Ingreso!$AL$11:$AM$260,2,FALSE)))/24))</f>
        <v>0</v>
      </c>
      <c r="I917" s="77">
        <f t="shared" si="29"/>
        <v>0.3125</v>
      </c>
    </row>
    <row r="918" spans="1:9">
      <c r="A918" s="85" t="str">
        <f>VLOOKUP('Informe Kelly'!A911,Base!A:B,2,FALSE)</f>
        <v>16.031.949-6</v>
      </c>
      <c r="B918" s="85" t="str">
        <f>VLOOKUP('Informe Kelly'!A911,Base!A:G,7,FALSE)</f>
        <v>ESPINOZA MORENO JONATHAN</v>
      </c>
      <c r="C918" s="91">
        <f>'Informe Kelly'!E911</f>
        <v>40644</v>
      </c>
      <c r="D918" s="96">
        <f t="shared" si="28"/>
        <v>475</v>
      </c>
      <c r="E918" s="85" t="str">
        <f>VLOOKUP(A918,Ingreso!K:P,6,FALSE)</f>
        <v>Turno A</v>
      </c>
      <c r="F918" s="85" t="str">
        <f>IF('Informe Kelly'!H911=$A$2,'Informe Kelly'!F911,"")</f>
        <v/>
      </c>
      <c r="G918" s="85">
        <f>IF('Informe Kelly'!H911=$A$3,'Informe Kelly'!F911,"")</f>
        <v>0.63254629629629633</v>
      </c>
      <c r="H918" s="85">
        <f>IF(C918=C916,0,IF(D918=D917,0,(HLOOKUP(C918,Ingreso!$AN$10:$AU$260,VLOOKUP(A918,Ingreso!$AL$11:$AM$260,2,FALSE)))/24))</f>
        <v>0</v>
      </c>
      <c r="I918" s="77">
        <f t="shared" si="29"/>
        <v>0</v>
      </c>
    </row>
    <row r="919" spans="1:9">
      <c r="A919" s="85" t="str">
        <f>VLOOKUP('Informe Kelly'!A912,Base!A:B,2,FALSE)</f>
        <v>16.031.949-6</v>
      </c>
      <c r="B919" s="85" t="str">
        <f>VLOOKUP('Informe Kelly'!A912,Base!A:G,7,FALSE)</f>
        <v>ESPINOZA MORENO JONATHAN</v>
      </c>
      <c r="C919" s="91">
        <f>'Informe Kelly'!E912</f>
        <v>40645</v>
      </c>
      <c r="D919" s="96">
        <f t="shared" si="28"/>
        <v>476</v>
      </c>
      <c r="E919" s="85" t="str">
        <f>VLOOKUP(A919,Ingreso!K:P,6,FALSE)</f>
        <v>Turno A</v>
      </c>
      <c r="F919" s="85">
        <f>IF('Informe Kelly'!H912=$A$2,'Informe Kelly'!F912,"")</f>
        <v>0.29658564814814814</v>
      </c>
      <c r="G919" s="85" t="str">
        <f>IF('Informe Kelly'!H912=$A$3,'Informe Kelly'!F912,"")</f>
        <v/>
      </c>
      <c r="H919" s="85">
        <f>IF(C919=C917,0,IF(D919=D918,0,(HLOOKUP(C919,Ingreso!$AN$10:$AU$260,VLOOKUP(A919,Ingreso!$AL$11:$AM$260,2,FALSE)))/24))</f>
        <v>0</v>
      </c>
      <c r="I919" s="77">
        <f t="shared" si="29"/>
        <v>0.3125</v>
      </c>
    </row>
    <row r="920" spans="1:9">
      <c r="A920" s="85" t="str">
        <f>VLOOKUP('Informe Kelly'!A913,Base!A:B,2,FALSE)</f>
        <v>16.031.949-6</v>
      </c>
      <c r="B920" s="85" t="str">
        <f>VLOOKUP('Informe Kelly'!A913,Base!A:G,7,FALSE)</f>
        <v>ESPINOZA MORENO JONATHAN</v>
      </c>
      <c r="C920" s="91">
        <f>'Informe Kelly'!E913</f>
        <v>40645</v>
      </c>
      <c r="D920" s="96">
        <f t="shared" si="28"/>
        <v>476</v>
      </c>
      <c r="E920" s="85" t="str">
        <f>VLOOKUP(A920,Ingreso!K:P,6,FALSE)</f>
        <v>Turno A</v>
      </c>
      <c r="F920" s="85" t="str">
        <f>IF('Informe Kelly'!H913=$A$2,'Informe Kelly'!F913,"")</f>
        <v/>
      </c>
      <c r="G920" s="85">
        <f>IF('Informe Kelly'!H913=$A$3,'Informe Kelly'!F913,"")</f>
        <v>0.62417824074074069</v>
      </c>
      <c r="H920" s="85">
        <f>IF(C920=C918,0,IF(D920=D919,0,(HLOOKUP(C920,Ingreso!$AN$10:$AU$260,VLOOKUP(A920,Ingreso!$AL$11:$AM$260,2,FALSE)))/24))</f>
        <v>0</v>
      </c>
      <c r="I920" s="77">
        <f t="shared" si="29"/>
        <v>0</v>
      </c>
    </row>
    <row r="921" spans="1:9">
      <c r="A921" s="85" t="str">
        <f>VLOOKUP('Informe Kelly'!A914,Base!A:B,2,FALSE)</f>
        <v>16.031.949-6</v>
      </c>
      <c r="B921" s="85" t="str">
        <f>VLOOKUP('Informe Kelly'!A914,Base!A:G,7,FALSE)</f>
        <v>ESPINOZA MORENO JONATHAN</v>
      </c>
      <c r="C921" s="91">
        <f>'Informe Kelly'!E914</f>
        <v>40646</v>
      </c>
      <c r="D921" s="96">
        <f t="shared" si="28"/>
        <v>477</v>
      </c>
      <c r="E921" s="85" t="str">
        <f>VLOOKUP(A921,Ingreso!K:P,6,FALSE)</f>
        <v>Turno A</v>
      </c>
      <c r="F921" s="85">
        <f>IF('Informe Kelly'!H914=$A$2,'Informe Kelly'!F914,"")</f>
        <v>0.29635416666666664</v>
      </c>
      <c r="G921" s="85" t="str">
        <f>IF('Informe Kelly'!H914=$A$3,'Informe Kelly'!F914,"")</f>
        <v/>
      </c>
      <c r="H921" s="85">
        <f>IF(C921=C919,0,IF(D921=D920,0,(HLOOKUP(C921,Ingreso!$AN$10:$AU$260,VLOOKUP(A921,Ingreso!$AL$11:$AM$260,2,FALSE)))/24))</f>
        <v>0</v>
      </c>
      <c r="I921" s="77">
        <f t="shared" si="29"/>
        <v>0.3125</v>
      </c>
    </row>
    <row r="922" spans="1:9">
      <c r="A922" s="85" t="str">
        <f>VLOOKUP('Informe Kelly'!A915,Base!A:B,2,FALSE)</f>
        <v>16.031.949-6</v>
      </c>
      <c r="B922" s="85" t="str">
        <f>VLOOKUP('Informe Kelly'!A915,Base!A:G,7,FALSE)</f>
        <v>ESPINOZA MORENO JONATHAN</v>
      </c>
      <c r="C922" s="91">
        <f>'Informe Kelly'!E915</f>
        <v>40646</v>
      </c>
      <c r="D922" s="96">
        <f t="shared" si="28"/>
        <v>477</v>
      </c>
      <c r="E922" s="85" t="str">
        <f>VLOOKUP(A922,Ingreso!K:P,6,FALSE)</f>
        <v>Turno A</v>
      </c>
      <c r="F922" s="85" t="str">
        <f>IF('Informe Kelly'!H915=$A$2,'Informe Kelly'!F915,"")</f>
        <v/>
      </c>
      <c r="G922" s="85">
        <f>IF('Informe Kelly'!H915=$A$3,'Informe Kelly'!F915,"")</f>
        <v>0.63276620370370373</v>
      </c>
      <c r="H922" s="85">
        <f>IF(C922=C920,0,IF(D922=D921,0,(HLOOKUP(C922,Ingreso!$AN$10:$AU$260,VLOOKUP(A922,Ingreso!$AL$11:$AM$260,2,FALSE)))/24))</f>
        <v>0</v>
      </c>
      <c r="I922" s="77">
        <f t="shared" si="29"/>
        <v>0</v>
      </c>
    </row>
    <row r="923" spans="1:9">
      <c r="A923" s="85" t="str">
        <f>VLOOKUP('Informe Kelly'!A916,Base!A:B,2,FALSE)</f>
        <v>16.031.949-6</v>
      </c>
      <c r="B923" s="85" t="str">
        <f>VLOOKUP('Informe Kelly'!A916,Base!A:G,7,FALSE)</f>
        <v>ESPINOZA MORENO JONATHAN</v>
      </c>
      <c r="C923" s="91">
        <f>'Informe Kelly'!E916</f>
        <v>40647</v>
      </c>
      <c r="D923" s="96">
        <f t="shared" si="28"/>
        <v>478</v>
      </c>
      <c r="E923" s="85" t="str">
        <f>VLOOKUP(A923,Ingreso!K:P,6,FALSE)</f>
        <v>Turno A</v>
      </c>
      <c r="F923" s="85">
        <f>IF('Informe Kelly'!H916=$A$2,'Informe Kelly'!F916,"")</f>
        <v>0.29668981481481482</v>
      </c>
      <c r="G923" s="85" t="str">
        <f>IF('Informe Kelly'!H916=$A$3,'Informe Kelly'!F916,"")</f>
        <v/>
      </c>
      <c r="H923" s="85">
        <f>IF(C923=C921,0,IF(D923=D922,0,(HLOOKUP(C923,Ingreso!$AN$10:$AU$260,VLOOKUP(A923,Ingreso!$AL$11:$AM$260,2,FALSE)))/24))</f>
        <v>0</v>
      </c>
      <c r="I923" s="77">
        <f t="shared" si="29"/>
        <v>0.3125</v>
      </c>
    </row>
    <row r="924" spans="1:9">
      <c r="A924" s="85" t="str">
        <f>VLOOKUP('Informe Kelly'!A917,Base!A:B,2,FALSE)</f>
        <v>16.031.949-6</v>
      </c>
      <c r="B924" s="85" t="str">
        <f>VLOOKUP('Informe Kelly'!A917,Base!A:G,7,FALSE)</f>
        <v>ESPINOZA MORENO JONATHAN</v>
      </c>
      <c r="C924" s="91">
        <f>'Informe Kelly'!E917</f>
        <v>40647</v>
      </c>
      <c r="D924" s="96">
        <f t="shared" si="28"/>
        <v>478</v>
      </c>
      <c r="E924" s="85" t="str">
        <f>VLOOKUP(A924,Ingreso!K:P,6,FALSE)</f>
        <v>Turno A</v>
      </c>
      <c r="F924" s="85" t="str">
        <f>IF('Informe Kelly'!H917=$A$2,'Informe Kelly'!F917,"")</f>
        <v/>
      </c>
      <c r="G924" s="85">
        <f>IF('Informe Kelly'!H917=$A$3,'Informe Kelly'!F917,"")</f>
        <v>0.63611111111111118</v>
      </c>
      <c r="H924" s="85">
        <f>IF(C924=C922,0,IF(D924=D923,0,(HLOOKUP(C924,Ingreso!$AN$10:$AU$260,VLOOKUP(A924,Ingreso!$AL$11:$AM$260,2,FALSE)))/24))</f>
        <v>0</v>
      </c>
      <c r="I924" s="77">
        <f t="shared" si="29"/>
        <v>0</v>
      </c>
    </row>
    <row r="925" spans="1:9">
      <c r="A925" s="85" t="str">
        <f>VLOOKUP('Informe Kelly'!A918,Base!A:B,2,FALSE)</f>
        <v>16.031.949-6</v>
      </c>
      <c r="B925" s="85" t="str">
        <f>VLOOKUP('Informe Kelly'!A918,Base!A:G,7,FALSE)</f>
        <v>ESPINOZA MORENO JONATHAN</v>
      </c>
      <c r="C925" s="91">
        <f>'Informe Kelly'!E918</f>
        <v>40648</v>
      </c>
      <c r="D925" s="96">
        <f t="shared" si="28"/>
        <v>479</v>
      </c>
      <c r="E925" s="85" t="str">
        <f>VLOOKUP(A925,Ingreso!K:P,6,FALSE)</f>
        <v>Turno A</v>
      </c>
      <c r="F925" s="85" t="str">
        <f>IF('Informe Kelly'!H918=$A$2,'Informe Kelly'!F918,"")</f>
        <v/>
      </c>
      <c r="G925" s="85">
        <f>IF('Informe Kelly'!H918=$A$3,'Informe Kelly'!F918,"")</f>
        <v>0.63396990740740744</v>
      </c>
      <c r="H925" s="85">
        <f>IF(C925=C923,0,IF(D925=D924,0,(HLOOKUP(C925,Ingreso!$AN$10:$AU$260,VLOOKUP(A925,Ingreso!$AL$11:$AM$260,2,FALSE)))/24))</f>
        <v>0</v>
      </c>
      <c r="I925" s="77">
        <f t="shared" si="29"/>
        <v>0.3125</v>
      </c>
    </row>
    <row r="926" spans="1:9">
      <c r="A926" s="85" t="str">
        <f>VLOOKUP('Informe Kelly'!A919,Base!A:B,2,FALSE)</f>
        <v>16.031.949-6</v>
      </c>
      <c r="B926" s="85" t="str">
        <f>VLOOKUP('Informe Kelly'!A919,Base!A:G,7,FALSE)</f>
        <v>ESPINOZA MORENO JONATHAN</v>
      </c>
      <c r="C926" s="91">
        <f>'Informe Kelly'!E919</f>
        <v>40648</v>
      </c>
      <c r="D926" s="96">
        <f t="shared" si="28"/>
        <v>479</v>
      </c>
      <c r="E926" s="85" t="str">
        <f>VLOOKUP(A926,Ingreso!K:P,6,FALSE)</f>
        <v>Turno A</v>
      </c>
      <c r="F926" s="85">
        <f>IF('Informe Kelly'!H919=$A$2,'Informe Kelly'!F919,"")</f>
        <v>0.29649305555555555</v>
      </c>
      <c r="G926" s="85" t="str">
        <f>IF('Informe Kelly'!H919=$A$3,'Informe Kelly'!F919,"")</f>
        <v/>
      </c>
      <c r="H926" s="85">
        <f>IF(C926=C924,0,IF(D926=D925,0,(HLOOKUP(C926,Ingreso!$AN$10:$AU$260,VLOOKUP(A926,Ingreso!$AL$11:$AM$260,2,FALSE)))/24))</f>
        <v>0</v>
      </c>
      <c r="I926" s="77">
        <f t="shared" si="29"/>
        <v>0</v>
      </c>
    </row>
    <row r="927" spans="1:9">
      <c r="A927" s="85" t="str">
        <f>VLOOKUP('Informe Kelly'!A920,Base!A:B,2,FALSE)</f>
        <v>16.031.949-6</v>
      </c>
      <c r="B927" s="85" t="str">
        <f>VLOOKUP('Informe Kelly'!A920,Base!A:G,7,FALSE)</f>
        <v>ESPINOZA MORENO JONATHAN</v>
      </c>
      <c r="C927" s="91">
        <f>'Informe Kelly'!E920</f>
        <v>40649</v>
      </c>
      <c r="D927" s="96">
        <f t="shared" si="28"/>
        <v>480</v>
      </c>
      <c r="E927" s="85" t="str">
        <f>VLOOKUP(A927,Ingreso!K:P,6,FALSE)</f>
        <v>Turno A</v>
      </c>
      <c r="F927" s="85">
        <f>IF('Informe Kelly'!H920=$A$2,'Informe Kelly'!F920,"")</f>
        <v>0.29293981481481485</v>
      </c>
      <c r="G927" s="85" t="str">
        <f>IF('Informe Kelly'!H920=$A$3,'Informe Kelly'!F920,"")</f>
        <v/>
      </c>
      <c r="H927" s="85">
        <f>IF(C927=C925,0,IF(D927=D926,0,(HLOOKUP(C927,Ingreso!$AN$10:$AU$260,VLOOKUP(A927,Ingreso!$AL$11:$AM$260,2,FALSE)))/24))</f>
        <v>0</v>
      </c>
      <c r="I927" s="77">
        <f t="shared" si="29"/>
        <v>0.3125</v>
      </c>
    </row>
    <row r="928" spans="1:9">
      <c r="A928" s="85" t="str">
        <f>VLOOKUP('Informe Kelly'!A921,Base!A:B,2,FALSE)</f>
        <v>16.031.949-6</v>
      </c>
      <c r="B928" s="85" t="str">
        <f>VLOOKUP('Informe Kelly'!A921,Base!A:G,7,FALSE)</f>
        <v>ESPINOZA MORENO JONATHAN</v>
      </c>
      <c r="C928" s="91">
        <f>'Informe Kelly'!E921</f>
        <v>40649</v>
      </c>
      <c r="D928" s="96">
        <f t="shared" si="28"/>
        <v>480</v>
      </c>
      <c r="E928" s="85" t="str">
        <f>VLOOKUP(A928,Ingreso!K:P,6,FALSE)</f>
        <v>Turno A</v>
      </c>
      <c r="F928" s="85" t="str">
        <f>IF('Informe Kelly'!H921=$A$2,'Informe Kelly'!F921,"")</f>
        <v/>
      </c>
      <c r="G928" s="85">
        <f>IF('Informe Kelly'!H921=$A$3,'Informe Kelly'!F921,"")</f>
        <v>0.63657407407407407</v>
      </c>
      <c r="H928" s="85">
        <f>IF(C928=C926,0,IF(D928=D927,0,(HLOOKUP(C928,Ingreso!$AN$10:$AU$260,VLOOKUP(A928,Ingreso!$AL$11:$AM$260,2,FALSE)))/24))</f>
        <v>0</v>
      </c>
      <c r="I928" s="77">
        <f t="shared" si="29"/>
        <v>0</v>
      </c>
    </row>
    <row r="929" spans="1:9">
      <c r="A929" s="85" t="str">
        <f>VLOOKUP('Informe Kelly'!A922,Base!A:B,2,FALSE)</f>
        <v>16.132.065-K</v>
      </c>
      <c r="B929" s="85" t="str">
        <f>VLOOKUP('Informe Kelly'!A922,Base!A:G,7,FALSE)</f>
        <v>GALLARDO LUCERO EMERSON</v>
      </c>
      <c r="C929" s="91">
        <f>'Informe Kelly'!E922</f>
        <v>40644</v>
      </c>
      <c r="D929" s="96">
        <f t="shared" si="28"/>
        <v>481</v>
      </c>
      <c r="E929" s="85" t="str">
        <f>VLOOKUP(A929,Ingreso!K:P,6,FALSE)</f>
        <v>Turno A</v>
      </c>
      <c r="F929" s="85">
        <f>IF('Informe Kelly'!H922=$A$2,'Informe Kelly'!F922,"")</f>
        <v>0.30380787037037038</v>
      </c>
      <c r="G929" s="85" t="str">
        <f>IF('Informe Kelly'!H922=$A$3,'Informe Kelly'!F922,"")</f>
        <v/>
      </c>
      <c r="H929" s="85">
        <f>IF(C929=C927,0,IF(D929=D928,0,(HLOOKUP(C929,Ingreso!$AN$10:$AU$260,VLOOKUP(A929,Ingreso!$AL$11:$AM$260,2,FALSE)))/24))</f>
        <v>0</v>
      </c>
      <c r="I929" s="77">
        <f t="shared" si="29"/>
        <v>0.3125</v>
      </c>
    </row>
    <row r="930" spans="1:9">
      <c r="A930" s="85" t="str">
        <f>VLOOKUP('Informe Kelly'!A923,Base!A:B,2,FALSE)</f>
        <v>16.132.065-K</v>
      </c>
      <c r="B930" s="85" t="str">
        <f>VLOOKUP('Informe Kelly'!A923,Base!A:G,7,FALSE)</f>
        <v>GALLARDO LUCERO EMERSON</v>
      </c>
      <c r="C930" s="91">
        <f>'Informe Kelly'!E923</f>
        <v>40644</v>
      </c>
      <c r="D930" s="96">
        <f t="shared" si="28"/>
        <v>481</v>
      </c>
      <c r="E930" s="85" t="str">
        <f>VLOOKUP(A930,Ingreso!K:P,6,FALSE)</f>
        <v>Turno A</v>
      </c>
      <c r="F930" s="85" t="str">
        <f>IF('Informe Kelly'!H923=$A$2,'Informe Kelly'!F923,"")</f>
        <v/>
      </c>
      <c r="G930" s="85">
        <f>IF('Informe Kelly'!H923=$A$3,'Informe Kelly'!F923,"")</f>
        <v>0.62672453703703701</v>
      </c>
      <c r="H930" s="85">
        <f>IF(C930=C928,0,IF(D930=D929,0,(HLOOKUP(C930,Ingreso!$AN$10:$AU$260,VLOOKUP(A930,Ingreso!$AL$11:$AM$260,2,FALSE)))/24))</f>
        <v>0</v>
      </c>
      <c r="I930" s="77">
        <f t="shared" si="29"/>
        <v>0</v>
      </c>
    </row>
    <row r="931" spans="1:9">
      <c r="A931" s="85" t="str">
        <f>VLOOKUP('Informe Kelly'!A924,Base!A:B,2,FALSE)</f>
        <v>16.132.065-K</v>
      </c>
      <c r="B931" s="85" t="str">
        <f>VLOOKUP('Informe Kelly'!A924,Base!A:G,7,FALSE)</f>
        <v>GALLARDO LUCERO EMERSON</v>
      </c>
      <c r="C931" s="91">
        <f>'Informe Kelly'!E924</f>
        <v>40645</v>
      </c>
      <c r="D931" s="96">
        <f t="shared" si="28"/>
        <v>482</v>
      </c>
      <c r="E931" s="85" t="str">
        <f>VLOOKUP(A931,Ingreso!K:P,6,FALSE)</f>
        <v>Turno A</v>
      </c>
      <c r="F931" s="85">
        <f>IF('Informe Kelly'!H924=$A$2,'Informe Kelly'!F924,"")</f>
        <v>0.2986921296296296</v>
      </c>
      <c r="G931" s="85" t="str">
        <f>IF('Informe Kelly'!H924=$A$3,'Informe Kelly'!F924,"")</f>
        <v/>
      </c>
      <c r="H931" s="85">
        <f>IF(C931=C929,0,IF(D931=D930,0,(HLOOKUP(C931,Ingreso!$AN$10:$AU$260,VLOOKUP(A931,Ingreso!$AL$11:$AM$260,2,FALSE)))/24))</f>
        <v>0</v>
      </c>
      <c r="I931" s="77">
        <f t="shared" si="29"/>
        <v>0.3125</v>
      </c>
    </row>
    <row r="932" spans="1:9">
      <c r="A932" s="85" t="str">
        <f>VLOOKUP('Informe Kelly'!A925,Base!A:B,2,FALSE)</f>
        <v>16.132.065-K</v>
      </c>
      <c r="B932" s="85" t="str">
        <f>VLOOKUP('Informe Kelly'!A925,Base!A:G,7,FALSE)</f>
        <v>GALLARDO LUCERO EMERSON</v>
      </c>
      <c r="C932" s="91">
        <f>'Informe Kelly'!E925</f>
        <v>40645</v>
      </c>
      <c r="D932" s="96">
        <f t="shared" si="28"/>
        <v>482</v>
      </c>
      <c r="E932" s="85" t="str">
        <f>VLOOKUP(A932,Ingreso!K:P,6,FALSE)</f>
        <v>Turno A</v>
      </c>
      <c r="F932" s="85" t="str">
        <f>IF('Informe Kelly'!H925=$A$2,'Informe Kelly'!F925,"")</f>
        <v/>
      </c>
      <c r="G932" s="85">
        <f>IF('Informe Kelly'!H925=$A$3,'Informe Kelly'!F925,"")</f>
        <v>0.63392361111111117</v>
      </c>
      <c r="H932" s="85">
        <f>IF(C932=C930,0,IF(D932=D931,0,(HLOOKUP(C932,Ingreso!$AN$10:$AU$260,VLOOKUP(A932,Ingreso!$AL$11:$AM$260,2,FALSE)))/24))</f>
        <v>0</v>
      </c>
      <c r="I932" s="77">
        <f t="shared" si="29"/>
        <v>0</v>
      </c>
    </row>
    <row r="933" spans="1:9">
      <c r="A933" s="85" t="str">
        <f>VLOOKUP('Informe Kelly'!A926,Base!A:B,2,FALSE)</f>
        <v>16.132.065-K</v>
      </c>
      <c r="B933" s="85" t="str">
        <f>VLOOKUP('Informe Kelly'!A926,Base!A:G,7,FALSE)</f>
        <v>GALLARDO LUCERO EMERSON</v>
      </c>
      <c r="C933" s="91">
        <f>'Informe Kelly'!E926</f>
        <v>40646</v>
      </c>
      <c r="D933" s="96">
        <f t="shared" si="28"/>
        <v>483</v>
      </c>
      <c r="E933" s="85" t="str">
        <f>VLOOKUP(A933,Ingreso!K:P,6,FALSE)</f>
        <v>Turno A</v>
      </c>
      <c r="F933" s="85">
        <f>IF('Informe Kelly'!H926=$A$2,'Informe Kelly'!F926,"")</f>
        <v>0.3038541666666667</v>
      </c>
      <c r="G933" s="85" t="str">
        <f>IF('Informe Kelly'!H926=$A$3,'Informe Kelly'!F926,"")</f>
        <v/>
      </c>
      <c r="H933" s="85">
        <f>IF(C933=C931,0,IF(D933=D932,0,(HLOOKUP(C933,Ingreso!$AN$10:$AU$260,VLOOKUP(A933,Ingreso!$AL$11:$AM$260,2,FALSE)))/24))</f>
        <v>0</v>
      </c>
      <c r="I933" s="77">
        <f t="shared" si="29"/>
        <v>0.3125</v>
      </c>
    </row>
    <row r="934" spans="1:9">
      <c r="A934" s="85" t="str">
        <f>VLOOKUP('Informe Kelly'!A927,Base!A:B,2,FALSE)</f>
        <v>16.132.065-K</v>
      </c>
      <c r="B934" s="85" t="str">
        <f>VLOOKUP('Informe Kelly'!A927,Base!A:G,7,FALSE)</f>
        <v>GALLARDO LUCERO EMERSON</v>
      </c>
      <c r="C934" s="91">
        <f>'Informe Kelly'!E927</f>
        <v>40646</v>
      </c>
      <c r="D934" s="96">
        <f t="shared" si="28"/>
        <v>483</v>
      </c>
      <c r="E934" s="85" t="str">
        <f>VLOOKUP(A934,Ingreso!K:P,6,FALSE)</f>
        <v>Turno A</v>
      </c>
      <c r="F934" s="85" t="str">
        <f>IF('Informe Kelly'!H927=$A$2,'Informe Kelly'!F927,"")</f>
        <v/>
      </c>
      <c r="G934" s="85">
        <f>IF('Informe Kelly'!H927=$A$3,'Informe Kelly'!F927,"")</f>
        <v>0.6308449074074074</v>
      </c>
      <c r="H934" s="85">
        <f>IF(C934=C932,0,IF(D934=D933,0,(HLOOKUP(C934,Ingreso!$AN$10:$AU$260,VLOOKUP(A934,Ingreso!$AL$11:$AM$260,2,FALSE)))/24))</f>
        <v>0</v>
      </c>
      <c r="I934" s="77">
        <f t="shared" si="29"/>
        <v>0</v>
      </c>
    </row>
    <row r="935" spans="1:9">
      <c r="A935" s="85" t="str">
        <f>VLOOKUP('Informe Kelly'!A928,Base!A:B,2,FALSE)</f>
        <v>16.132.065-K</v>
      </c>
      <c r="B935" s="85" t="str">
        <f>VLOOKUP('Informe Kelly'!A928,Base!A:G,7,FALSE)</f>
        <v>GALLARDO LUCERO EMERSON</v>
      </c>
      <c r="C935" s="91">
        <f>'Informe Kelly'!E928</f>
        <v>40647</v>
      </c>
      <c r="D935" s="96">
        <f t="shared" si="28"/>
        <v>484</v>
      </c>
      <c r="E935" s="85" t="str">
        <f>VLOOKUP(A935,Ingreso!K:P,6,FALSE)</f>
        <v>Turno A</v>
      </c>
      <c r="F935" s="85">
        <f>IF('Informe Kelly'!H928=$A$2,'Informe Kelly'!F928,"")</f>
        <v>0.31121527777777774</v>
      </c>
      <c r="G935" s="85" t="str">
        <f>IF('Informe Kelly'!H928=$A$3,'Informe Kelly'!F928,"")</f>
        <v/>
      </c>
      <c r="H935" s="85">
        <f>IF(C935=C933,0,IF(D935=D934,0,(HLOOKUP(C935,Ingreso!$AN$10:$AU$260,VLOOKUP(A935,Ingreso!$AL$11:$AM$260,2,FALSE)))/24))</f>
        <v>0</v>
      </c>
      <c r="I935" s="77">
        <f t="shared" si="29"/>
        <v>0.3125</v>
      </c>
    </row>
    <row r="936" spans="1:9">
      <c r="A936" s="85" t="str">
        <f>VLOOKUP('Informe Kelly'!A929,Base!A:B,2,FALSE)</f>
        <v>16.132.065-K</v>
      </c>
      <c r="B936" s="85" t="str">
        <f>VLOOKUP('Informe Kelly'!A929,Base!A:G,7,FALSE)</f>
        <v>GALLARDO LUCERO EMERSON</v>
      </c>
      <c r="C936" s="91">
        <f>'Informe Kelly'!E929</f>
        <v>40647</v>
      </c>
      <c r="D936" s="96">
        <f t="shared" si="28"/>
        <v>484</v>
      </c>
      <c r="E936" s="85" t="str">
        <f>VLOOKUP(A936,Ingreso!K:P,6,FALSE)</f>
        <v>Turno A</v>
      </c>
      <c r="F936" s="85" t="str">
        <f>IF('Informe Kelly'!H929=$A$2,'Informe Kelly'!F929,"")</f>
        <v/>
      </c>
      <c r="G936" s="85">
        <f>IF('Informe Kelly'!H929=$A$3,'Informe Kelly'!F929,"")</f>
        <v>0.62832175925925926</v>
      </c>
      <c r="H936" s="85">
        <f>IF(C936=C934,0,IF(D936=D935,0,(HLOOKUP(C936,Ingreso!$AN$10:$AU$260,VLOOKUP(A936,Ingreso!$AL$11:$AM$260,2,FALSE)))/24))</f>
        <v>0</v>
      </c>
      <c r="I936" s="77">
        <f t="shared" si="29"/>
        <v>0</v>
      </c>
    </row>
    <row r="937" spans="1:9">
      <c r="A937" s="85" t="str">
        <f>VLOOKUP('Informe Kelly'!A930,Base!A:B,2,FALSE)</f>
        <v>16.132.065-K</v>
      </c>
      <c r="B937" s="85" t="str">
        <f>VLOOKUP('Informe Kelly'!A930,Base!A:G,7,FALSE)</f>
        <v>GALLARDO LUCERO EMERSON</v>
      </c>
      <c r="C937" s="91">
        <f>'Informe Kelly'!E930</f>
        <v>40648</v>
      </c>
      <c r="D937" s="96">
        <f t="shared" si="28"/>
        <v>485</v>
      </c>
      <c r="E937" s="85" t="str">
        <f>VLOOKUP(A937,Ingreso!K:P,6,FALSE)</f>
        <v>Turno A</v>
      </c>
      <c r="F937" s="85" t="str">
        <f>IF('Informe Kelly'!H930=$A$2,'Informe Kelly'!F930,"")</f>
        <v/>
      </c>
      <c r="G937" s="85">
        <f>IF('Informe Kelly'!H930=$A$3,'Informe Kelly'!F930,"")</f>
        <v>0.63760416666666664</v>
      </c>
      <c r="H937" s="85">
        <f>IF(C937=C935,0,IF(D937=D936,0,(HLOOKUP(C937,Ingreso!$AN$10:$AU$260,VLOOKUP(A937,Ingreso!$AL$11:$AM$260,2,FALSE)))/24))</f>
        <v>0</v>
      </c>
      <c r="I937" s="77">
        <f t="shared" si="29"/>
        <v>0.3125</v>
      </c>
    </row>
    <row r="938" spans="1:9">
      <c r="A938" s="85" t="str">
        <f>VLOOKUP('Informe Kelly'!A931,Base!A:B,2,FALSE)</f>
        <v>16.132.065-K</v>
      </c>
      <c r="B938" s="85" t="str">
        <f>VLOOKUP('Informe Kelly'!A931,Base!A:G,7,FALSE)</f>
        <v>GALLARDO LUCERO EMERSON</v>
      </c>
      <c r="C938" s="91">
        <f>'Informe Kelly'!E931</f>
        <v>40648</v>
      </c>
      <c r="D938" s="96">
        <f t="shared" si="28"/>
        <v>485</v>
      </c>
      <c r="E938" s="85" t="str">
        <f>VLOOKUP(A938,Ingreso!K:P,6,FALSE)</f>
        <v>Turno A</v>
      </c>
      <c r="F938" s="85">
        <f>IF('Informe Kelly'!H931=$A$2,'Informe Kelly'!F931,"")</f>
        <v>0.30528935185185185</v>
      </c>
      <c r="G938" s="85" t="str">
        <f>IF('Informe Kelly'!H931=$A$3,'Informe Kelly'!F931,"")</f>
        <v/>
      </c>
      <c r="H938" s="85">
        <f>IF(C938=C936,0,IF(D938=D937,0,(HLOOKUP(C938,Ingreso!$AN$10:$AU$260,VLOOKUP(A938,Ingreso!$AL$11:$AM$260,2,FALSE)))/24))</f>
        <v>0</v>
      </c>
      <c r="I938" s="77">
        <f t="shared" si="29"/>
        <v>0</v>
      </c>
    </row>
    <row r="939" spans="1:9">
      <c r="A939" s="85" t="str">
        <f>VLOOKUP('Informe Kelly'!A932,Base!A:B,2,FALSE)</f>
        <v>16.132.065-K</v>
      </c>
      <c r="B939" s="85" t="str">
        <f>VLOOKUP('Informe Kelly'!A932,Base!A:G,7,FALSE)</f>
        <v>GALLARDO LUCERO EMERSON</v>
      </c>
      <c r="C939" s="91">
        <f>'Informe Kelly'!E932</f>
        <v>40649</v>
      </c>
      <c r="D939" s="96">
        <f t="shared" si="28"/>
        <v>486</v>
      </c>
      <c r="E939" s="85" t="str">
        <f>VLOOKUP(A939,Ingreso!K:P,6,FALSE)</f>
        <v>Turno A</v>
      </c>
      <c r="F939" s="85">
        <f>IF('Informe Kelly'!H932=$A$2,'Informe Kelly'!F932,"")</f>
        <v>0.3144675925925926</v>
      </c>
      <c r="G939" s="85" t="str">
        <f>IF('Informe Kelly'!H932=$A$3,'Informe Kelly'!F932,"")</f>
        <v/>
      </c>
      <c r="H939" s="85">
        <f>IF(C939=C937,0,IF(D939=D938,0,(HLOOKUP(C939,Ingreso!$AN$10:$AU$260,VLOOKUP(A939,Ingreso!$AL$11:$AM$260,2,FALSE)))/24))</f>
        <v>0</v>
      </c>
      <c r="I939" s="77">
        <f t="shared" si="29"/>
        <v>0.3125</v>
      </c>
    </row>
    <row r="940" spans="1:9">
      <c r="A940" s="85" t="str">
        <f>VLOOKUP('Informe Kelly'!A933,Base!A:B,2,FALSE)</f>
        <v>16.132.065-K</v>
      </c>
      <c r="B940" s="85" t="str">
        <f>VLOOKUP('Informe Kelly'!A933,Base!A:G,7,FALSE)</f>
        <v>GALLARDO LUCERO EMERSON</v>
      </c>
      <c r="C940" s="91">
        <f>'Informe Kelly'!E933</f>
        <v>40649</v>
      </c>
      <c r="D940" s="96">
        <f t="shared" si="28"/>
        <v>486</v>
      </c>
      <c r="E940" s="85" t="str">
        <f>VLOOKUP(A940,Ingreso!K:P,6,FALSE)</f>
        <v>Turno A</v>
      </c>
      <c r="F940" s="85" t="str">
        <f>IF('Informe Kelly'!H933=$A$2,'Informe Kelly'!F933,"")</f>
        <v/>
      </c>
      <c r="G940" s="85">
        <f>IF('Informe Kelly'!H933=$A$3,'Informe Kelly'!F933,"")</f>
        <v>0.6396412037037037</v>
      </c>
      <c r="H940" s="85">
        <f>IF(C940=C938,0,IF(D940=D939,0,(HLOOKUP(C940,Ingreso!$AN$10:$AU$260,VLOOKUP(A940,Ingreso!$AL$11:$AM$260,2,FALSE)))/24))</f>
        <v>0</v>
      </c>
      <c r="I940" s="77">
        <f t="shared" si="29"/>
        <v>0</v>
      </c>
    </row>
    <row r="941" spans="1:9">
      <c r="A941" s="85" t="str">
        <f>VLOOKUP('Informe Kelly'!A934,Base!A:B,2,FALSE)</f>
        <v>16149604-</v>
      </c>
      <c r="B941" s="85" t="str">
        <f>VLOOKUP('Informe Kelly'!A934,Base!A:G,7,FALSE)</f>
        <v xml:space="preserve">POBLETE SANDOVAL RODRIGO </v>
      </c>
      <c r="C941" s="91">
        <f>'Informe Kelly'!E934</f>
        <v>40644</v>
      </c>
      <c r="D941" s="96">
        <f t="shared" si="28"/>
        <v>487</v>
      </c>
      <c r="E941" s="85" t="e">
        <f>VLOOKUP(A941,Ingreso!K:P,6,FALSE)</f>
        <v>#N/A</v>
      </c>
      <c r="F941" s="85">
        <f>IF('Informe Kelly'!H934=$A$2,'Informe Kelly'!F934,"")</f>
        <v>0.92133101851851851</v>
      </c>
      <c r="G941" s="85" t="str">
        <f>IF('Informe Kelly'!H934=$A$3,'Informe Kelly'!F934,"")</f>
        <v/>
      </c>
      <c r="H941" s="85" t="e">
        <f>IF(C941=C939,0,IF(D941=D940,0,(HLOOKUP(C941,Ingreso!$AN$10:$AU$260,VLOOKUP(A941,Ingreso!$AL$11:$AM$260,2,FALSE)))/24))</f>
        <v>#N/A</v>
      </c>
      <c r="I941" s="77" t="e">
        <f t="shared" si="29"/>
        <v>#N/A</v>
      </c>
    </row>
    <row r="942" spans="1:9">
      <c r="A942" s="85" t="str">
        <f>VLOOKUP('Informe Kelly'!A935,Base!A:B,2,FALSE)</f>
        <v>16149604-</v>
      </c>
      <c r="B942" s="85" t="str">
        <f>VLOOKUP('Informe Kelly'!A935,Base!A:G,7,FALSE)</f>
        <v xml:space="preserve">POBLETE SANDOVAL RODRIGO </v>
      </c>
      <c r="C942" s="91">
        <f>'Informe Kelly'!E935</f>
        <v>40645</v>
      </c>
      <c r="D942" s="96">
        <f t="shared" si="28"/>
        <v>488</v>
      </c>
      <c r="E942" s="85" t="e">
        <f>VLOOKUP(A942,Ingreso!K:P,6,FALSE)</f>
        <v>#N/A</v>
      </c>
      <c r="F942" s="85" t="str">
        <f>IF('Informe Kelly'!H935=$A$2,'Informe Kelly'!F935,"")</f>
        <v/>
      </c>
      <c r="G942" s="85">
        <f>IF('Informe Kelly'!H935=$A$3,'Informe Kelly'!F935,"")</f>
        <v>0.32763888888888887</v>
      </c>
      <c r="H942" s="85" t="e">
        <f>IF(C942=C940,0,IF(D942=D941,0,(HLOOKUP(C942,Ingreso!$AN$10:$AU$260,VLOOKUP(A942,Ingreso!$AL$11:$AM$260,2,FALSE)))/24))</f>
        <v>#N/A</v>
      </c>
      <c r="I942" s="77" t="e">
        <f t="shared" si="29"/>
        <v>#N/A</v>
      </c>
    </row>
    <row r="943" spans="1:9">
      <c r="A943" s="85" t="str">
        <f>VLOOKUP('Informe Kelly'!A936,Base!A:B,2,FALSE)</f>
        <v>16149604-</v>
      </c>
      <c r="B943" s="85" t="str">
        <f>VLOOKUP('Informe Kelly'!A936,Base!A:G,7,FALSE)</f>
        <v xml:space="preserve">POBLETE SANDOVAL RODRIGO </v>
      </c>
      <c r="C943" s="91">
        <f>'Informe Kelly'!E936</f>
        <v>40645</v>
      </c>
      <c r="D943" s="96">
        <f t="shared" si="28"/>
        <v>488</v>
      </c>
      <c r="E943" s="85" t="e">
        <f>VLOOKUP(A943,Ingreso!K:P,6,FALSE)</f>
        <v>#N/A</v>
      </c>
      <c r="F943" s="85">
        <f>IF('Informe Kelly'!H936=$A$2,'Informe Kelly'!F936,"")</f>
        <v>0.91961805555555554</v>
      </c>
      <c r="G943" s="85" t="str">
        <f>IF('Informe Kelly'!H936=$A$3,'Informe Kelly'!F936,"")</f>
        <v/>
      </c>
      <c r="H943" s="85">
        <f>IF(C943=C941,0,IF(D943=D942,0,(HLOOKUP(C943,Ingreso!$AN$10:$AU$260,VLOOKUP(A943,Ingreso!$AL$11:$AM$260,2,FALSE)))/24))</f>
        <v>0</v>
      </c>
      <c r="I943" s="77">
        <f t="shared" si="29"/>
        <v>0</v>
      </c>
    </row>
    <row r="944" spans="1:9">
      <c r="A944" s="85" t="str">
        <f>VLOOKUP('Informe Kelly'!A937,Base!A:B,2,FALSE)</f>
        <v>16149604-</v>
      </c>
      <c r="B944" s="85" t="str">
        <f>VLOOKUP('Informe Kelly'!A937,Base!A:G,7,FALSE)</f>
        <v xml:space="preserve">POBLETE SANDOVAL RODRIGO </v>
      </c>
      <c r="C944" s="91">
        <f>'Informe Kelly'!E937</f>
        <v>40646</v>
      </c>
      <c r="D944" s="96">
        <f t="shared" si="28"/>
        <v>489</v>
      </c>
      <c r="E944" s="85" t="e">
        <f>VLOOKUP(A944,Ingreso!K:P,6,FALSE)</f>
        <v>#N/A</v>
      </c>
      <c r="F944" s="85" t="str">
        <f>IF('Informe Kelly'!H937=$A$2,'Informe Kelly'!F937,"")</f>
        <v/>
      </c>
      <c r="G944" s="85">
        <f>IF('Informe Kelly'!H937=$A$3,'Informe Kelly'!F937,"")</f>
        <v>0.32762731481481483</v>
      </c>
      <c r="H944" s="85" t="e">
        <f>IF(C944=C942,0,IF(D944=D943,0,(HLOOKUP(C944,Ingreso!$AN$10:$AU$260,VLOOKUP(A944,Ingreso!$AL$11:$AM$260,2,FALSE)))/24))</f>
        <v>#N/A</v>
      </c>
      <c r="I944" s="77" t="e">
        <f t="shared" si="29"/>
        <v>#N/A</v>
      </c>
    </row>
    <row r="945" spans="1:9">
      <c r="A945" s="85" t="str">
        <f>VLOOKUP('Informe Kelly'!A938,Base!A:B,2,FALSE)</f>
        <v>16149604-</v>
      </c>
      <c r="B945" s="85" t="str">
        <f>VLOOKUP('Informe Kelly'!A938,Base!A:G,7,FALSE)</f>
        <v xml:space="preserve">POBLETE SANDOVAL RODRIGO </v>
      </c>
      <c r="C945" s="91">
        <f>'Informe Kelly'!E938</f>
        <v>40646</v>
      </c>
      <c r="D945" s="96">
        <f t="shared" si="28"/>
        <v>489</v>
      </c>
      <c r="E945" s="85" t="e">
        <f>VLOOKUP(A945,Ingreso!K:P,6,FALSE)</f>
        <v>#N/A</v>
      </c>
      <c r="F945" s="85">
        <f>IF('Informe Kelly'!H938=$A$2,'Informe Kelly'!F938,"")</f>
        <v>0.92138888888888892</v>
      </c>
      <c r="G945" s="85" t="str">
        <f>IF('Informe Kelly'!H938=$A$3,'Informe Kelly'!F938,"")</f>
        <v/>
      </c>
      <c r="H945" s="85">
        <f>IF(C945=C943,0,IF(D945=D944,0,(HLOOKUP(C945,Ingreso!$AN$10:$AU$260,VLOOKUP(A945,Ingreso!$AL$11:$AM$260,2,FALSE)))/24))</f>
        <v>0</v>
      </c>
      <c r="I945" s="77">
        <f t="shared" si="29"/>
        <v>0</v>
      </c>
    </row>
    <row r="946" spans="1:9">
      <c r="A946" s="85" t="str">
        <f>VLOOKUP('Informe Kelly'!A939,Base!A:B,2,FALSE)</f>
        <v>16149604-</v>
      </c>
      <c r="B946" s="85" t="str">
        <f>VLOOKUP('Informe Kelly'!A939,Base!A:G,7,FALSE)</f>
        <v xml:space="preserve">POBLETE SANDOVAL RODRIGO </v>
      </c>
      <c r="C946" s="91">
        <f>'Informe Kelly'!E939</f>
        <v>40647</v>
      </c>
      <c r="D946" s="96">
        <f t="shared" si="28"/>
        <v>490</v>
      </c>
      <c r="E946" s="85" t="e">
        <f>VLOOKUP(A946,Ingreso!K:P,6,FALSE)</f>
        <v>#N/A</v>
      </c>
      <c r="F946" s="85" t="str">
        <f>IF('Informe Kelly'!H939=$A$2,'Informe Kelly'!F939,"")</f>
        <v/>
      </c>
      <c r="G946" s="85">
        <f>IF('Informe Kelly'!H939=$A$3,'Informe Kelly'!F939,"")</f>
        <v>0.32859953703703704</v>
      </c>
      <c r="H946" s="85" t="e">
        <f>IF(C946=C944,0,IF(D946=D945,0,(HLOOKUP(C946,Ingreso!$AN$10:$AU$260,VLOOKUP(A946,Ingreso!$AL$11:$AM$260,2,FALSE)))/24))</f>
        <v>#N/A</v>
      </c>
      <c r="I946" s="77" t="e">
        <f t="shared" si="29"/>
        <v>#N/A</v>
      </c>
    </row>
    <row r="947" spans="1:9">
      <c r="A947" s="85" t="str">
        <f>VLOOKUP('Informe Kelly'!A940,Base!A:B,2,FALSE)</f>
        <v>16149604-</v>
      </c>
      <c r="B947" s="85" t="str">
        <f>VLOOKUP('Informe Kelly'!A940,Base!A:G,7,FALSE)</f>
        <v xml:space="preserve">POBLETE SANDOVAL RODRIGO </v>
      </c>
      <c r="C947" s="91">
        <f>'Informe Kelly'!E940</f>
        <v>40647</v>
      </c>
      <c r="D947" s="96">
        <f t="shared" si="28"/>
        <v>490</v>
      </c>
      <c r="E947" s="85" t="e">
        <f>VLOOKUP(A947,Ingreso!K:P,6,FALSE)</f>
        <v>#N/A</v>
      </c>
      <c r="F947" s="85">
        <f>IF('Informe Kelly'!H940=$A$2,'Informe Kelly'!F940,"")</f>
        <v>0.92082175925925924</v>
      </c>
      <c r="G947" s="85" t="str">
        <f>IF('Informe Kelly'!H940=$A$3,'Informe Kelly'!F940,"")</f>
        <v/>
      </c>
      <c r="H947" s="85">
        <f>IF(C947=C945,0,IF(D947=D946,0,(HLOOKUP(C947,Ingreso!$AN$10:$AU$260,VLOOKUP(A947,Ingreso!$AL$11:$AM$260,2,FALSE)))/24))</f>
        <v>0</v>
      </c>
      <c r="I947" s="77">
        <f t="shared" si="29"/>
        <v>0</v>
      </c>
    </row>
    <row r="948" spans="1:9">
      <c r="A948" s="85" t="str">
        <f>VLOOKUP('Informe Kelly'!A941,Base!A:B,2,FALSE)</f>
        <v>16149604-</v>
      </c>
      <c r="B948" s="85" t="str">
        <f>VLOOKUP('Informe Kelly'!A941,Base!A:G,7,FALSE)</f>
        <v xml:space="preserve">POBLETE SANDOVAL RODRIGO </v>
      </c>
      <c r="C948" s="91">
        <f>'Informe Kelly'!E941</f>
        <v>40648</v>
      </c>
      <c r="D948" s="96">
        <f t="shared" si="28"/>
        <v>491</v>
      </c>
      <c r="E948" s="85" t="e">
        <f>VLOOKUP(A948,Ingreso!K:P,6,FALSE)</f>
        <v>#N/A</v>
      </c>
      <c r="F948" s="85">
        <f>IF('Informe Kelly'!H941=$A$2,'Informe Kelly'!F941,"")</f>
        <v>0.92087962962962966</v>
      </c>
      <c r="G948" s="85" t="str">
        <f>IF('Informe Kelly'!H941=$A$3,'Informe Kelly'!F941,"")</f>
        <v/>
      </c>
      <c r="H948" s="85" t="e">
        <f>IF(C948=C946,0,IF(D948=D947,0,(HLOOKUP(C948,Ingreso!$AN$10:$AU$260,VLOOKUP(A948,Ingreso!$AL$11:$AM$260,2,FALSE)))/24))</f>
        <v>#N/A</v>
      </c>
      <c r="I948" s="77" t="e">
        <f t="shared" si="29"/>
        <v>#N/A</v>
      </c>
    </row>
    <row r="949" spans="1:9">
      <c r="A949" s="85" t="str">
        <f>VLOOKUP('Informe Kelly'!A942,Base!A:B,2,FALSE)</f>
        <v>16149604-</v>
      </c>
      <c r="B949" s="85" t="str">
        <f>VLOOKUP('Informe Kelly'!A942,Base!A:G,7,FALSE)</f>
        <v xml:space="preserve">POBLETE SANDOVAL RODRIGO </v>
      </c>
      <c r="C949" s="91">
        <f>'Informe Kelly'!E942</f>
        <v>40648</v>
      </c>
      <c r="D949" s="96">
        <f t="shared" si="28"/>
        <v>491</v>
      </c>
      <c r="E949" s="85" t="e">
        <f>VLOOKUP(A949,Ingreso!K:P,6,FALSE)</f>
        <v>#N/A</v>
      </c>
      <c r="F949" s="85" t="str">
        <f>IF('Informe Kelly'!H942=$A$2,'Informe Kelly'!F942,"")</f>
        <v/>
      </c>
      <c r="G949" s="85">
        <f>IF('Informe Kelly'!H942=$A$3,'Informe Kelly'!F942,"")</f>
        <v>0.32841435185185186</v>
      </c>
      <c r="H949" s="85">
        <f>IF(C949=C947,0,IF(D949=D948,0,(HLOOKUP(C949,Ingreso!$AN$10:$AU$260,VLOOKUP(A949,Ingreso!$AL$11:$AM$260,2,FALSE)))/24))</f>
        <v>0</v>
      </c>
      <c r="I949" s="77">
        <f t="shared" si="29"/>
        <v>0</v>
      </c>
    </row>
    <row r="950" spans="1:9">
      <c r="A950" s="85" t="str">
        <f>VLOOKUP('Informe Kelly'!A943,Base!A:B,2,FALSE)</f>
        <v>16149604-</v>
      </c>
      <c r="B950" s="85" t="str">
        <f>VLOOKUP('Informe Kelly'!A943,Base!A:G,7,FALSE)</f>
        <v xml:space="preserve">POBLETE SANDOVAL RODRIGO </v>
      </c>
      <c r="C950" s="91">
        <f>'Informe Kelly'!E943</f>
        <v>40649</v>
      </c>
      <c r="D950" s="96">
        <f t="shared" si="28"/>
        <v>492</v>
      </c>
      <c r="E950" s="85" t="e">
        <f>VLOOKUP(A950,Ingreso!K:P,6,FALSE)</f>
        <v>#N/A</v>
      </c>
      <c r="F950" s="85" t="str">
        <f>IF('Informe Kelly'!H943=$A$2,'Informe Kelly'!F943,"")</f>
        <v/>
      </c>
      <c r="G950" s="85">
        <f>IF('Informe Kelly'!H943=$A$3,'Informe Kelly'!F943,"")</f>
        <v>0.32782407407407405</v>
      </c>
      <c r="H950" s="85" t="e">
        <f>IF(C950=C948,0,IF(D950=D949,0,(HLOOKUP(C950,Ingreso!$AN$10:$AU$260,VLOOKUP(A950,Ingreso!$AL$11:$AM$260,2,FALSE)))/24))</f>
        <v>#N/A</v>
      </c>
      <c r="I950" s="77" t="e">
        <f t="shared" si="29"/>
        <v>#N/A</v>
      </c>
    </row>
    <row r="951" spans="1:9">
      <c r="A951" s="85" t="str">
        <f>VLOOKUP('Informe Kelly'!A944,Base!A:B,2,FALSE)</f>
        <v>16.169.301-4</v>
      </c>
      <c r="B951" s="85" t="str">
        <f>VLOOKUP('Informe Kelly'!A944,Base!A:G,7,FALSE)</f>
        <v>ÑANCUCHEO MARIQUEO JOSE MAURICIO</v>
      </c>
      <c r="C951" s="91">
        <f>'Informe Kelly'!E944</f>
        <v>40644</v>
      </c>
      <c r="D951" s="96">
        <f t="shared" si="28"/>
        <v>493</v>
      </c>
      <c r="E951" s="85" t="e">
        <f>VLOOKUP(A951,Ingreso!K:P,6,FALSE)</f>
        <v>#N/A</v>
      </c>
      <c r="F951" s="85">
        <f>IF('Informe Kelly'!H944=$A$2,'Informe Kelly'!F944,"")</f>
        <v>0.2950578703703704</v>
      </c>
      <c r="G951" s="85" t="str">
        <f>IF('Informe Kelly'!H944=$A$3,'Informe Kelly'!F944,"")</f>
        <v/>
      </c>
      <c r="H951" s="85" t="e">
        <f>IF(C951=C949,0,IF(D951=D950,0,(HLOOKUP(C951,Ingreso!$AN$10:$AU$260,VLOOKUP(A951,Ingreso!$AL$11:$AM$260,2,FALSE)))/24))</f>
        <v>#N/A</v>
      </c>
      <c r="I951" s="77" t="e">
        <f t="shared" si="29"/>
        <v>#N/A</v>
      </c>
    </row>
    <row r="952" spans="1:9">
      <c r="A952" s="85" t="str">
        <f>VLOOKUP('Informe Kelly'!A945,Base!A:B,2,FALSE)</f>
        <v>16.169.301-4</v>
      </c>
      <c r="B952" s="85" t="str">
        <f>VLOOKUP('Informe Kelly'!A945,Base!A:G,7,FALSE)</f>
        <v>ÑANCUCHEO MARIQUEO JOSE MAURICIO</v>
      </c>
      <c r="C952" s="91">
        <f>'Informe Kelly'!E945</f>
        <v>40644</v>
      </c>
      <c r="D952" s="96">
        <f t="shared" si="28"/>
        <v>493</v>
      </c>
      <c r="E952" s="85" t="e">
        <f>VLOOKUP(A952,Ingreso!K:P,6,FALSE)</f>
        <v>#N/A</v>
      </c>
      <c r="F952" s="85" t="str">
        <f>IF('Informe Kelly'!H945=$A$2,'Informe Kelly'!F945,"")</f>
        <v/>
      </c>
      <c r="G952" s="85">
        <f>IF('Informe Kelly'!H945=$A$3,'Informe Kelly'!F945,"")</f>
        <v>0.63453703703703701</v>
      </c>
      <c r="H952" s="85">
        <f>IF(C952=C950,0,IF(D952=D951,0,(HLOOKUP(C952,Ingreso!$AN$10:$AU$260,VLOOKUP(A952,Ingreso!$AL$11:$AM$260,2,FALSE)))/24))</f>
        <v>0</v>
      </c>
      <c r="I952" s="77">
        <f t="shared" si="29"/>
        <v>0</v>
      </c>
    </row>
    <row r="953" spans="1:9">
      <c r="A953" s="85" t="str">
        <f>VLOOKUP('Informe Kelly'!A946,Base!A:B,2,FALSE)</f>
        <v>16.169.301-4</v>
      </c>
      <c r="B953" s="85" t="str">
        <f>VLOOKUP('Informe Kelly'!A946,Base!A:G,7,FALSE)</f>
        <v>ÑANCUCHEO MARIQUEO JOSE MAURICIO</v>
      </c>
      <c r="C953" s="91">
        <f>'Informe Kelly'!E946</f>
        <v>40645</v>
      </c>
      <c r="D953" s="96">
        <f t="shared" si="28"/>
        <v>494</v>
      </c>
      <c r="E953" s="85" t="e">
        <f>VLOOKUP(A953,Ingreso!K:P,6,FALSE)</f>
        <v>#N/A</v>
      </c>
      <c r="F953" s="85">
        <f>IF('Informe Kelly'!H946=$A$2,'Informe Kelly'!F946,"")</f>
        <v>0.29450231481481481</v>
      </c>
      <c r="G953" s="85" t="str">
        <f>IF('Informe Kelly'!H946=$A$3,'Informe Kelly'!F946,"")</f>
        <v/>
      </c>
      <c r="H953" s="85" t="e">
        <f>IF(C953=C951,0,IF(D953=D952,0,(HLOOKUP(C953,Ingreso!$AN$10:$AU$260,VLOOKUP(A953,Ingreso!$AL$11:$AM$260,2,FALSE)))/24))</f>
        <v>#N/A</v>
      </c>
      <c r="I953" s="77" t="e">
        <f t="shared" si="29"/>
        <v>#N/A</v>
      </c>
    </row>
    <row r="954" spans="1:9">
      <c r="A954" s="85" t="str">
        <f>VLOOKUP('Informe Kelly'!A947,Base!A:B,2,FALSE)</f>
        <v>16.169.301-4</v>
      </c>
      <c r="B954" s="85" t="str">
        <f>VLOOKUP('Informe Kelly'!A947,Base!A:G,7,FALSE)</f>
        <v>ÑANCUCHEO MARIQUEO JOSE MAURICIO</v>
      </c>
      <c r="C954" s="91">
        <f>'Informe Kelly'!E947</f>
        <v>40645</v>
      </c>
      <c r="D954" s="96">
        <f t="shared" si="28"/>
        <v>494</v>
      </c>
      <c r="E954" s="85" t="e">
        <f>VLOOKUP(A954,Ingreso!K:P,6,FALSE)</f>
        <v>#N/A</v>
      </c>
      <c r="F954" s="85" t="str">
        <f>IF('Informe Kelly'!H947=$A$2,'Informe Kelly'!F947,"")</f>
        <v/>
      </c>
      <c r="G954" s="85">
        <f>IF('Informe Kelly'!H947=$A$3,'Informe Kelly'!F947,"")</f>
        <v>0.63302083333333337</v>
      </c>
      <c r="H954" s="85">
        <f>IF(C954=C952,0,IF(D954=D953,0,(HLOOKUP(C954,Ingreso!$AN$10:$AU$260,VLOOKUP(A954,Ingreso!$AL$11:$AM$260,2,FALSE)))/24))</f>
        <v>0</v>
      </c>
      <c r="I954" s="77">
        <f t="shared" si="29"/>
        <v>0</v>
      </c>
    </row>
    <row r="955" spans="1:9">
      <c r="A955" s="85" t="str">
        <f>VLOOKUP('Informe Kelly'!A948,Base!A:B,2,FALSE)</f>
        <v>16.169.301-4</v>
      </c>
      <c r="B955" s="85" t="str">
        <f>VLOOKUP('Informe Kelly'!A948,Base!A:G,7,FALSE)</f>
        <v>ÑANCUCHEO MARIQUEO JOSE MAURICIO</v>
      </c>
      <c r="C955" s="91">
        <f>'Informe Kelly'!E948</f>
        <v>40646</v>
      </c>
      <c r="D955" s="96">
        <f t="shared" si="28"/>
        <v>495</v>
      </c>
      <c r="E955" s="85" t="e">
        <f>VLOOKUP(A955,Ingreso!K:P,6,FALSE)</f>
        <v>#N/A</v>
      </c>
      <c r="F955" s="85">
        <f>IF('Informe Kelly'!H948=$A$2,'Informe Kelly'!F948,"")</f>
        <v>0.29496527777777776</v>
      </c>
      <c r="G955" s="85" t="str">
        <f>IF('Informe Kelly'!H948=$A$3,'Informe Kelly'!F948,"")</f>
        <v/>
      </c>
      <c r="H955" s="85" t="e">
        <f>IF(C955=C953,0,IF(D955=D954,0,(HLOOKUP(C955,Ingreso!$AN$10:$AU$260,VLOOKUP(A955,Ingreso!$AL$11:$AM$260,2,FALSE)))/24))</f>
        <v>#N/A</v>
      </c>
      <c r="I955" s="77" t="e">
        <f t="shared" si="29"/>
        <v>#N/A</v>
      </c>
    </row>
    <row r="956" spans="1:9">
      <c r="A956" s="85" t="str">
        <f>VLOOKUP('Informe Kelly'!A949,Base!A:B,2,FALSE)</f>
        <v>16.169.301-4</v>
      </c>
      <c r="B956" s="85" t="str">
        <f>VLOOKUP('Informe Kelly'!A949,Base!A:G,7,FALSE)</f>
        <v>ÑANCUCHEO MARIQUEO JOSE MAURICIO</v>
      </c>
      <c r="C956" s="91">
        <f>'Informe Kelly'!E949</f>
        <v>40646</v>
      </c>
      <c r="D956" s="96">
        <f t="shared" si="28"/>
        <v>495</v>
      </c>
      <c r="E956" s="85" t="e">
        <f>VLOOKUP(A956,Ingreso!K:P,6,FALSE)</f>
        <v>#N/A</v>
      </c>
      <c r="F956" s="85" t="str">
        <f>IF('Informe Kelly'!H949=$A$2,'Informe Kelly'!F949,"")</f>
        <v/>
      </c>
      <c r="G956" s="85">
        <f>IF('Informe Kelly'!H949=$A$3,'Informe Kelly'!F949,"")</f>
        <v>0.63156250000000003</v>
      </c>
      <c r="H956" s="85">
        <f>IF(C956=C954,0,IF(D956=D955,0,(HLOOKUP(C956,Ingreso!$AN$10:$AU$260,VLOOKUP(A956,Ingreso!$AL$11:$AM$260,2,FALSE)))/24))</f>
        <v>0</v>
      </c>
      <c r="I956" s="77">
        <f t="shared" si="29"/>
        <v>0</v>
      </c>
    </row>
    <row r="957" spans="1:9">
      <c r="A957" s="85" t="str">
        <f>VLOOKUP('Informe Kelly'!A950,Base!A:B,2,FALSE)</f>
        <v>16.169.301-4</v>
      </c>
      <c r="B957" s="85" t="str">
        <f>VLOOKUP('Informe Kelly'!A950,Base!A:G,7,FALSE)</f>
        <v>ÑANCUCHEO MARIQUEO JOSE MAURICIO</v>
      </c>
      <c r="C957" s="91">
        <f>'Informe Kelly'!E950</f>
        <v>40647</v>
      </c>
      <c r="D957" s="96">
        <f t="shared" si="28"/>
        <v>496</v>
      </c>
      <c r="E957" s="85" t="e">
        <f>VLOOKUP(A957,Ingreso!K:P,6,FALSE)</f>
        <v>#N/A</v>
      </c>
      <c r="F957" s="85">
        <f>IF('Informe Kelly'!H950=$A$2,'Informe Kelly'!F950,"")</f>
        <v>0.29394675925925923</v>
      </c>
      <c r="G957" s="85" t="str">
        <f>IF('Informe Kelly'!H950=$A$3,'Informe Kelly'!F950,"")</f>
        <v/>
      </c>
      <c r="H957" s="85" t="e">
        <f>IF(C957=C955,0,IF(D957=D956,0,(HLOOKUP(C957,Ingreso!$AN$10:$AU$260,VLOOKUP(A957,Ingreso!$AL$11:$AM$260,2,FALSE)))/24))</f>
        <v>#N/A</v>
      </c>
      <c r="I957" s="77" t="e">
        <f t="shared" si="29"/>
        <v>#N/A</v>
      </c>
    </row>
    <row r="958" spans="1:9">
      <c r="A958" s="85" t="str">
        <f>VLOOKUP('Informe Kelly'!A951,Base!A:B,2,FALSE)</f>
        <v>16.169.301-4</v>
      </c>
      <c r="B958" s="85" t="str">
        <f>VLOOKUP('Informe Kelly'!A951,Base!A:G,7,FALSE)</f>
        <v>ÑANCUCHEO MARIQUEO JOSE MAURICIO</v>
      </c>
      <c r="C958" s="91">
        <f>'Informe Kelly'!E951</f>
        <v>40647</v>
      </c>
      <c r="D958" s="96">
        <f t="shared" si="28"/>
        <v>496</v>
      </c>
      <c r="E958" s="85" t="e">
        <f>VLOOKUP(A958,Ingreso!K:P,6,FALSE)</f>
        <v>#N/A</v>
      </c>
      <c r="F958" s="85" t="str">
        <f>IF('Informe Kelly'!H951=$A$2,'Informe Kelly'!F951,"")</f>
        <v/>
      </c>
      <c r="G958" s="85">
        <f>IF('Informe Kelly'!H951=$A$3,'Informe Kelly'!F951,"")</f>
        <v>0.63133101851851847</v>
      </c>
      <c r="H958" s="85">
        <f>IF(C958=C956,0,IF(D958=D957,0,(HLOOKUP(C958,Ingreso!$AN$10:$AU$260,VLOOKUP(A958,Ingreso!$AL$11:$AM$260,2,FALSE)))/24))</f>
        <v>0</v>
      </c>
      <c r="I958" s="77">
        <f t="shared" si="29"/>
        <v>0</v>
      </c>
    </row>
    <row r="959" spans="1:9">
      <c r="A959" s="85" t="str">
        <f>VLOOKUP('Informe Kelly'!A952,Base!A:B,2,FALSE)</f>
        <v>16.169.301-4</v>
      </c>
      <c r="B959" s="85" t="str">
        <f>VLOOKUP('Informe Kelly'!A952,Base!A:G,7,FALSE)</f>
        <v>ÑANCUCHEO MARIQUEO JOSE MAURICIO</v>
      </c>
      <c r="C959" s="91">
        <f>'Informe Kelly'!E952</f>
        <v>40648</v>
      </c>
      <c r="D959" s="96">
        <f t="shared" si="28"/>
        <v>497</v>
      </c>
      <c r="E959" s="85" t="e">
        <f>VLOOKUP(A959,Ingreso!K:P,6,FALSE)</f>
        <v>#N/A</v>
      </c>
      <c r="F959" s="85" t="str">
        <f>IF('Informe Kelly'!H952=$A$2,'Informe Kelly'!F952,"")</f>
        <v/>
      </c>
      <c r="G959" s="85">
        <f>IF('Informe Kelly'!H952=$A$3,'Informe Kelly'!F952,"")</f>
        <v>0.63201388888888888</v>
      </c>
      <c r="H959" s="85" t="e">
        <f>IF(C959=C957,0,IF(D959=D958,0,(HLOOKUP(C959,Ingreso!$AN$10:$AU$260,VLOOKUP(A959,Ingreso!$AL$11:$AM$260,2,FALSE)))/24))</f>
        <v>#N/A</v>
      </c>
      <c r="I959" s="77" t="e">
        <f t="shared" si="29"/>
        <v>#N/A</v>
      </c>
    </row>
    <row r="960" spans="1:9">
      <c r="A960" s="85" t="str">
        <f>VLOOKUP('Informe Kelly'!A953,Base!A:B,2,FALSE)</f>
        <v>16.169.301-4</v>
      </c>
      <c r="B960" s="85" t="str">
        <f>VLOOKUP('Informe Kelly'!A953,Base!A:G,7,FALSE)</f>
        <v>ÑANCUCHEO MARIQUEO JOSE MAURICIO</v>
      </c>
      <c r="C960" s="91">
        <f>'Informe Kelly'!E953</f>
        <v>40648</v>
      </c>
      <c r="D960" s="96">
        <f t="shared" si="28"/>
        <v>497</v>
      </c>
      <c r="E960" s="85" t="e">
        <f>VLOOKUP(A960,Ingreso!K:P,6,FALSE)</f>
        <v>#N/A</v>
      </c>
      <c r="F960" s="85">
        <f>IF('Informe Kelly'!H953=$A$2,'Informe Kelly'!F953,"")</f>
        <v>0.29518518518518516</v>
      </c>
      <c r="G960" s="85" t="str">
        <f>IF('Informe Kelly'!H953=$A$3,'Informe Kelly'!F953,"")</f>
        <v/>
      </c>
      <c r="H960" s="85">
        <f>IF(C960=C958,0,IF(D960=D959,0,(HLOOKUP(C960,Ingreso!$AN$10:$AU$260,VLOOKUP(A960,Ingreso!$AL$11:$AM$260,2,FALSE)))/24))</f>
        <v>0</v>
      </c>
      <c r="I960" s="77">
        <f t="shared" si="29"/>
        <v>0</v>
      </c>
    </row>
    <row r="961" spans="1:9">
      <c r="A961" s="85" t="str">
        <f>VLOOKUP('Informe Kelly'!A954,Base!A:B,2,FALSE)</f>
        <v>16.169.301-4</v>
      </c>
      <c r="B961" s="85" t="str">
        <f>VLOOKUP('Informe Kelly'!A954,Base!A:G,7,FALSE)</f>
        <v>ÑANCUCHEO MARIQUEO JOSE MAURICIO</v>
      </c>
      <c r="C961" s="91">
        <f>'Informe Kelly'!E954</f>
        <v>40649</v>
      </c>
      <c r="D961" s="96">
        <f t="shared" si="28"/>
        <v>498</v>
      </c>
      <c r="E961" s="85" t="e">
        <f>VLOOKUP(A961,Ingreso!K:P,6,FALSE)</f>
        <v>#N/A</v>
      </c>
      <c r="F961" s="85">
        <f>IF('Informe Kelly'!H954=$A$2,'Informe Kelly'!F954,"")</f>
        <v>0.29386574074074073</v>
      </c>
      <c r="G961" s="85" t="str">
        <f>IF('Informe Kelly'!H954=$A$3,'Informe Kelly'!F954,"")</f>
        <v/>
      </c>
      <c r="H961" s="85" t="e">
        <f>IF(C961=C959,0,IF(D961=D960,0,(HLOOKUP(C961,Ingreso!$AN$10:$AU$260,VLOOKUP(A961,Ingreso!$AL$11:$AM$260,2,FALSE)))/24))</f>
        <v>#N/A</v>
      </c>
      <c r="I961" s="77" t="e">
        <f t="shared" si="29"/>
        <v>#N/A</v>
      </c>
    </row>
    <row r="962" spans="1:9">
      <c r="A962" s="85" t="str">
        <f>VLOOKUP('Informe Kelly'!A955,Base!A:B,2,FALSE)</f>
        <v>16.169.301-4</v>
      </c>
      <c r="B962" s="85" t="str">
        <f>VLOOKUP('Informe Kelly'!A955,Base!A:G,7,FALSE)</f>
        <v>ÑANCUCHEO MARIQUEO JOSE MAURICIO</v>
      </c>
      <c r="C962" s="91">
        <f>'Informe Kelly'!E955</f>
        <v>40649</v>
      </c>
      <c r="D962" s="96">
        <f t="shared" si="28"/>
        <v>498</v>
      </c>
      <c r="E962" s="85" t="e">
        <f>VLOOKUP(A962,Ingreso!K:P,6,FALSE)</f>
        <v>#N/A</v>
      </c>
      <c r="F962" s="85" t="str">
        <f>IF('Informe Kelly'!H955=$A$2,'Informe Kelly'!F955,"")</f>
        <v/>
      </c>
      <c r="G962" s="85">
        <f>IF('Informe Kelly'!H955=$A$3,'Informe Kelly'!F955,"")</f>
        <v>0.63329861111111108</v>
      </c>
      <c r="H962" s="85">
        <f>IF(C962=C960,0,IF(D962=D961,0,(HLOOKUP(C962,Ingreso!$AN$10:$AU$260,VLOOKUP(A962,Ingreso!$AL$11:$AM$260,2,FALSE)))/24))</f>
        <v>0</v>
      </c>
      <c r="I962" s="77">
        <f t="shared" si="29"/>
        <v>0</v>
      </c>
    </row>
    <row r="963" spans="1:9">
      <c r="A963" s="85" t="str">
        <f>VLOOKUP('Informe Kelly'!A956,Base!A:B,2,FALSE)</f>
        <v>16.266.817-K</v>
      </c>
      <c r="B963" s="85" t="str">
        <f>VLOOKUP('Informe Kelly'!A956,Base!A:G,7,FALSE)</f>
        <v>PEREZ PADILLA RODRIGO ALEJANDRO</v>
      </c>
      <c r="C963" s="91">
        <f>'Informe Kelly'!E956</f>
        <v>40644</v>
      </c>
      <c r="D963" s="96">
        <f t="shared" si="28"/>
        <v>499</v>
      </c>
      <c r="E963" s="85" t="str">
        <f>VLOOKUP(A963,Ingreso!K:P,6,FALSE)</f>
        <v>Turno A</v>
      </c>
      <c r="F963" s="85">
        <f>IF('Informe Kelly'!H956=$A$2,'Informe Kelly'!F956,"")</f>
        <v>0.30194444444444446</v>
      </c>
      <c r="G963" s="85" t="str">
        <f>IF('Informe Kelly'!H956=$A$3,'Informe Kelly'!F956,"")</f>
        <v/>
      </c>
      <c r="H963" s="85">
        <f>IF(C963=C961,0,IF(D963=D962,0,(HLOOKUP(C963,Ingreso!$AN$10:$AU$260,VLOOKUP(A963,Ingreso!$AL$11:$AM$260,2,FALSE)))/24))</f>
        <v>8.3333333333333329E-2</v>
      </c>
      <c r="I963" s="77">
        <f t="shared" si="29"/>
        <v>0.3125</v>
      </c>
    </row>
    <row r="964" spans="1:9">
      <c r="A964" s="85" t="str">
        <f>VLOOKUP('Informe Kelly'!A957,Base!A:B,2,FALSE)</f>
        <v>16.266.817-K</v>
      </c>
      <c r="B964" s="85" t="str">
        <f>VLOOKUP('Informe Kelly'!A957,Base!A:G,7,FALSE)</f>
        <v>PEREZ PADILLA RODRIGO ALEJANDRO</v>
      </c>
      <c r="C964" s="91">
        <f>'Informe Kelly'!E957</f>
        <v>40644</v>
      </c>
      <c r="D964" s="96">
        <f t="shared" si="28"/>
        <v>499</v>
      </c>
      <c r="E964" s="85" t="str">
        <f>VLOOKUP(A964,Ingreso!K:P,6,FALSE)</f>
        <v>Turno A</v>
      </c>
      <c r="F964" s="85" t="str">
        <f>IF('Informe Kelly'!H957=$A$2,'Informe Kelly'!F957,"")</f>
        <v/>
      </c>
      <c r="G964" s="85">
        <f>IF('Informe Kelly'!H957=$A$3,'Informe Kelly'!F957,"")</f>
        <v>0.72682870370370367</v>
      </c>
      <c r="H964" s="85">
        <f>IF(C964=C962,0,IF(D964=D963,0,(HLOOKUP(C964,Ingreso!$AN$10:$AU$260,VLOOKUP(A964,Ingreso!$AL$11:$AM$260,2,FALSE)))/24))</f>
        <v>0</v>
      </c>
      <c r="I964" s="77">
        <f t="shared" si="29"/>
        <v>0</v>
      </c>
    </row>
    <row r="965" spans="1:9">
      <c r="A965" s="85" t="str">
        <f>VLOOKUP('Informe Kelly'!A958,Base!A:B,2,FALSE)</f>
        <v>16.266.817-K</v>
      </c>
      <c r="B965" s="85" t="str">
        <f>VLOOKUP('Informe Kelly'!A958,Base!A:G,7,FALSE)</f>
        <v>PEREZ PADILLA RODRIGO ALEJANDRO</v>
      </c>
      <c r="C965" s="91">
        <f>'Informe Kelly'!E958</f>
        <v>40645</v>
      </c>
      <c r="D965" s="96">
        <f t="shared" si="28"/>
        <v>500</v>
      </c>
      <c r="E965" s="85" t="str">
        <f>VLOOKUP(A965,Ingreso!K:P,6,FALSE)</f>
        <v>Turno A</v>
      </c>
      <c r="F965" s="85">
        <f>IF('Informe Kelly'!H958=$A$2,'Informe Kelly'!F958,"")</f>
        <v>0.30587962962962961</v>
      </c>
      <c r="G965" s="85" t="str">
        <f>IF('Informe Kelly'!H958=$A$3,'Informe Kelly'!F958,"")</f>
        <v/>
      </c>
      <c r="H965" s="85">
        <f>IF(C965=C963,0,IF(D965=D964,0,(HLOOKUP(C965,Ingreso!$AN$10:$AU$260,VLOOKUP(A965,Ingreso!$AL$11:$AM$260,2,FALSE)))/24))</f>
        <v>8.3333333333333329E-2</v>
      </c>
      <c r="I965" s="77">
        <f t="shared" si="29"/>
        <v>0.3125</v>
      </c>
    </row>
    <row r="966" spans="1:9">
      <c r="A966" s="85" t="str">
        <f>VLOOKUP('Informe Kelly'!A959,Base!A:B,2,FALSE)</f>
        <v>16.266.817-K</v>
      </c>
      <c r="B966" s="85" t="str">
        <f>VLOOKUP('Informe Kelly'!A959,Base!A:G,7,FALSE)</f>
        <v>PEREZ PADILLA RODRIGO ALEJANDRO</v>
      </c>
      <c r="C966" s="91">
        <f>'Informe Kelly'!E959</f>
        <v>40645</v>
      </c>
      <c r="D966" s="96">
        <f t="shared" si="28"/>
        <v>500</v>
      </c>
      <c r="E966" s="85" t="str">
        <f>VLOOKUP(A966,Ingreso!K:P,6,FALSE)</f>
        <v>Turno A</v>
      </c>
      <c r="F966" s="85" t="str">
        <f>IF('Informe Kelly'!H959=$A$2,'Informe Kelly'!F959,"")</f>
        <v/>
      </c>
      <c r="G966" s="85">
        <f>IF('Informe Kelly'!H959=$A$3,'Informe Kelly'!F959,"")</f>
        <v>0.71965277777777781</v>
      </c>
      <c r="H966" s="85">
        <f>IF(C966=C964,0,IF(D966=D965,0,(HLOOKUP(C966,Ingreso!$AN$10:$AU$260,VLOOKUP(A966,Ingreso!$AL$11:$AM$260,2,FALSE)))/24))</f>
        <v>0</v>
      </c>
      <c r="I966" s="77">
        <f t="shared" si="29"/>
        <v>0</v>
      </c>
    </row>
    <row r="967" spans="1:9">
      <c r="A967" s="85" t="str">
        <f>VLOOKUP('Informe Kelly'!A960,Base!A:B,2,FALSE)</f>
        <v>16.266.817-K</v>
      </c>
      <c r="B967" s="85" t="str">
        <f>VLOOKUP('Informe Kelly'!A960,Base!A:G,7,FALSE)</f>
        <v>PEREZ PADILLA RODRIGO ALEJANDRO</v>
      </c>
      <c r="C967" s="91">
        <f>'Informe Kelly'!E960</f>
        <v>40646</v>
      </c>
      <c r="D967" s="96">
        <f t="shared" si="28"/>
        <v>501</v>
      </c>
      <c r="E967" s="85" t="str">
        <f>VLOOKUP(A967,Ingreso!K:P,6,FALSE)</f>
        <v>Turno A</v>
      </c>
      <c r="F967" s="85">
        <f>IF('Informe Kelly'!H960=$A$2,'Informe Kelly'!F960,"")</f>
        <v>0.30599537037037033</v>
      </c>
      <c r="G967" s="85" t="str">
        <f>IF('Informe Kelly'!H960=$A$3,'Informe Kelly'!F960,"")</f>
        <v/>
      </c>
      <c r="H967" s="85">
        <f>IF(C967=C965,0,IF(D967=D966,0,(HLOOKUP(C967,Ingreso!$AN$10:$AU$260,VLOOKUP(A967,Ingreso!$AL$11:$AM$260,2,FALSE)))/24))</f>
        <v>0</v>
      </c>
      <c r="I967" s="77">
        <f t="shared" si="29"/>
        <v>0.3125</v>
      </c>
    </row>
    <row r="968" spans="1:9">
      <c r="A968" s="85" t="str">
        <f>VLOOKUP('Informe Kelly'!A961,Base!A:B,2,FALSE)</f>
        <v>16.266.817-K</v>
      </c>
      <c r="B968" s="85" t="str">
        <f>VLOOKUP('Informe Kelly'!A961,Base!A:G,7,FALSE)</f>
        <v>PEREZ PADILLA RODRIGO ALEJANDRO</v>
      </c>
      <c r="C968" s="91">
        <f>'Informe Kelly'!E961</f>
        <v>40646</v>
      </c>
      <c r="D968" s="96">
        <f t="shared" si="28"/>
        <v>501</v>
      </c>
      <c r="E968" s="85" t="str">
        <f>VLOOKUP(A968,Ingreso!K:P,6,FALSE)</f>
        <v>Turno A</v>
      </c>
      <c r="F968" s="85" t="str">
        <f>IF('Informe Kelly'!H961=$A$2,'Informe Kelly'!F961,"")</f>
        <v/>
      </c>
      <c r="G968" s="85">
        <f>IF('Informe Kelly'!H961=$A$3,'Informe Kelly'!F961,"")</f>
        <v>0.65881944444444451</v>
      </c>
      <c r="H968" s="85">
        <f>IF(C968=C966,0,IF(D968=D967,0,(HLOOKUP(C968,Ingreso!$AN$10:$AU$260,VLOOKUP(A968,Ingreso!$AL$11:$AM$260,2,FALSE)))/24))</f>
        <v>0</v>
      </c>
      <c r="I968" s="77">
        <f t="shared" si="29"/>
        <v>0</v>
      </c>
    </row>
    <row r="969" spans="1:9">
      <c r="A969" s="85" t="str">
        <f>VLOOKUP('Informe Kelly'!A962,Base!A:B,2,FALSE)</f>
        <v>16.266.817-K</v>
      </c>
      <c r="B969" s="85" t="str">
        <f>VLOOKUP('Informe Kelly'!A962,Base!A:G,7,FALSE)</f>
        <v>PEREZ PADILLA RODRIGO ALEJANDRO</v>
      </c>
      <c r="C969" s="91">
        <f>'Informe Kelly'!E962</f>
        <v>40647</v>
      </c>
      <c r="D969" s="96">
        <f t="shared" ref="D969:D1032" si="30">IF(C968=C969,IF(C969=C966,D968,IF(C969=C967,D968+1,D968)),D968+1)</f>
        <v>502</v>
      </c>
      <c r="E969" s="85" t="str">
        <f>VLOOKUP(A969,Ingreso!K:P,6,FALSE)</f>
        <v>Turno A</v>
      </c>
      <c r="F969" s="85">
        <f>IF('Informe Kelly'!H962=$A$2,'Informe Kelly'!F962,"")</f>
        <v>0.30092592592592593</v>
      </c>
      <c r="G969" s="85" t="str">
        <f>IF('Informe Kelly'!H962=$A$3,'Informe Kelly'!F962,"")</f>
        <v/>
      </c>
      <c r="H969" s="85">
        <f>IF(C969=C967,0,IF(D969=D968,0,(HLOOKUP(C969,Ingreso!$AN$10:$AU$260,VLOOKUP(A969,Ingreso!$AL$11:$AM$260,2,FALSE)))/24))</f>
        <v>8.3333333333333329E-2</v>
      </c>
      <c r="I969" s="77">
        <f t="shared" si="29"/>
        <v>0.3125</v>
      </c>
    </row>
    <row r="970" spans="1:9">
      <c r="A970" s="85" t="str">
        <f>VLOOKUP('Informe Kelly'!A963,Base!A:B,2,FALSE)</f>
        <v>16.266.817-K</v>
      </c>
      <c r="B970" s="85" t="str">
        <f>VLOOKUP('Informe Kelly'!A963,Base!A:G,7,FALSE)</f>
        <v>PEREZ PADILLA RODRIGO ALEJANDRO</v>
      </c>
      <c r="C970" s="91">
        <f>'Informe Kelly'!E963</f>
        <v>40647</v>
      </c>
      <c r="D970" s="96">
        <f t="shared" si="30"/>
        <v>502</v>
      </c>
      <c r="E970" s="85" t="str">
        <f>VLOOKUP(A970,Ingreso!K:P,6,FALSE)</f>
        <v>Turno A</v>
      </c>
      <c r="F970" s="85" t="str">
        <f>IF('Informe Kelly'!H963=$A$2,'Informe Kelly'!F963,"")</f>
        <v/>
      </c>
      <c r="G970" s="85">
        <f>IF('Informe Kelly'!H963=$A$3,'Informe Kelly'!F963,"")</f>
        <v>0.72461805555555558</v>
      </c>
      <c r="H970" s="85">
        <f>IF(C970=C968,0,IF(D970=D969,0,(HLOOKUP(C970,Ingreso!$AN$10:$AU$260,VLOOKUP(A970,Ingreso!$AL$11:$AM$260,2,FALSE)))/24))</f>
        <v>0</v>
      </c>
      <c r="I970" s="77">
        <f t="shared" ref="I970:I1033" si="31">IF(C970=C968,0,IF(D970=D969,0,(VLOOKUP(E970,$C$2:$D$5,2,FALSE))))</f>
        <v>0</v>
      </c>
    </row>
    <row r="971" spans="1:9">
      <c r="A971" s="85" t="str">
        <f>VLOOKUP('Informe Kelly'!A964,Base!A:B,2,FALSE)</f>
        <v>16.266.817-K</v>
      </c>
      <c r="B971" s="85" t="str">
        <f>VLOOKUP('Informe Kelly'!A964,Base!A:G,7,FALSE)</f>
        <v>PEREZ PADILLA RODRIGO ALEJANDRO</v>
      </c>
      <c r="C971" s="91">
        <f>'Informe Kelly'!E964</f>
        <v>40648</v>
      </c>
      <c r="D971" s="96">
        <f t="shared" si="30"/>
        <v>503</v>
      </c>
      <c r="E971" s="85" t="str">
        <f>VLOOKUP(A971,Ingreso!K:P,6,FALSE)</f>
        <v>Turno A</v>
      </c>
      <c r="F971" s="85">
        <f>IF('Informe Kelly'!H964=$A$2,'Informe Kelly'!F964,"")</f>
        <v>0.31216435185185182</v>
      </c>
      <c r="G971" s="85" t="str">
        <f>IF('Informe Kelly'!H964=$A$3,'Informe Kelly'!F964,"")</f>
        <v/>
      </c>
      <c r="H971" s="85">
        <f>IF(C971=C969,0,IF(D971=D970,0,(HLOOKUP(C971,Ingreso!$AN$10:$AU$260,VLOOKUP(A971,Ingreso!$AL$11:$AM$260,2,FALSE)))/24))</f>
        <v>8.3333333333333329E-2</v>
      </c>
      <c r="I971" s="77">
        <f t="shared" si="31"/>
        <v>0.3125</v>
      </c>
    </row>
    <row r="972" spans="1:9">
      <c r="A972" s="85" t="str">
        <f>VLOOKUP('Informe Kelly'!A965,Base!A:B,2,FALSE)</f>
        <v>16.266.817-K</v>
      </c>
      <c r="B972" s="85" t="str">
        <f>VLOOKUP('Informe Kelly'!A965,Base!A:G,7,FALSE)</f>
        <v>PEREZ PADILLA RODRIGO ALEJANDRO</v>
      </c>
      <c r="C972" s="91">
        <f>'Informe Kelly'!E965</f>
        <v>40648</v>
      </c>
      <c r="D972" s="96">
        <f t="shared" si="30"/>
        <v>503</v>
      </c>
      <c r="E972" s="85" t="str">
        <f>VLOOKUP(A972,Ingreso!K:P,6,FALSE)</f>
        <v>Turno A</v>
      </c>
      <c r="F972" s="85" t="str">
        <f>IF('Informe Kelly'!H965=$A$2,'Informe Kelly'!F965,"")</f>
        <v/>
      </c>
      <c r="G972" s="85">
        <f>IF('Informe Kelly'!H965=$A$3,'Informe Kelly'!F965,"")</f>
        <v>0.71805555555555556</v>
      </c>
      <c r="H972" s="85">
        <f>IF(C972=C970,0,IF(D972=D971,0,(HLOOKUP(C972,Ingreso!$AN$10:$AU$260,VLOOKUP(A972,Ingreso!$AL$11:$AM$260,2,FALSE)))/24))</f>
        <v>0</v>
      </c>
      <c r="I972" s="77">
        <f t="shared" si="31"/>
        <v>0</v>
      </c>
    </row>
    <row r="973" spans="1:9">
      <c r="A973" s="85" t="str">
        <f>VLOOKUP('Informe Kelly'!A966,Base!A:B,2,FALSE)</f>
        <v>16.266.817-K</v>
      </c>
      <c r="B973" s="85" t="str">
        <f>VLOOKUP('Informe Kelly'!A966,Base!A:G,7,FALSE)</f>
        <v>PEREZ PADILLA RODRIGO ALEJANDRO</v>
      </c>
      <c r="C973" s="91">
        <f>'Informe Kelly'!E966</f>
        <v>40649</v>
      </c>
      <c r="D973" s="96">
        <f t="shared" si="30"/>
        <v>504</v>
      </c>
      <c r="E973" s="85" t="str">
        <f>VLOOKUP(A973,Ingreso!K:P,6,FALSE)</f>
        <v>Turno A</v>
      </c>
      <c r="F973" s="85" t="str">
        <f>IF('Informe Kelly'!H966=$A$2,'Informe Kelly'!F966,"")</f>
        <v/>
      </c>
      <c r="G973" s="85">
        <f>IF('Informe Kelly'!H966=$A$3,'Informe Kelly'!F966,"")</f>
        <v>0.63164351851851852</v>
      </c>
      <c r="H973" s="85">
        <f>IF(C973=C971,0,IF(D973=D972,0,(HLOOKUP(C973,Ingreso!$AN$10:$AU$260,VLOOKUP(A973,Ingreso!$AL$11:$AM$260,2,FALSE)))/24))</f>
        <v>0</v>
      </c>
      <c r="I973" s="77">
        <f t="shared" si="31"/>
        <v>0.3125</v>
      </c>
    </row>
    <row r="974" spans="1:9">
      <c r="A974" s="85" t="str">
        <f>VLOOKUP('Informe Kelly'!A967,Base!A:B,2,FALSE)</f>
        <v>16.266.817-K</v>
      </c>
      <c r="B974" s="85" t="str">
        <f>VLOOKUP('Informe Kelly'!A967,Base!A:G,7,FALSE)</f>
        <v>PEREZ PADILLA RODRIGO ALEJANDRO</v>
      </c>
      <c r="C974" s="91">
        <f>'Informe Kelly'!E967</f>
        <v>40649</v>
      </c>
      <c r="D974" s="96">
        <f t="shared" si="30"/>
        <v>504</v>
      </c>
      <c r="E974" s="85" t="str">
        <f>VLOOKUP(A974,Ingreso!K:P,6,FALSE)</f>
        <v>Turno A</v>
      </c>
      <c r="F974" s="85">
        <f>IF('Informe Kelly'!H967=$A$2,'Informe Kelly'!F967,"")</f>
        <v>0.31350694444444444</v>
      </c>
      <c r="G974" s="85" t="str">
        <f>IF('Informe Kelly'!H967=$A$3,'Informe Kelly'!F967,"")</f>
        <v/>
      </c>
      <c r="H974" s="85">
        <f>IF(C974=C972,0,IF(D974=D973,0,(HLOOKUP(C974,Ingreso!$AN$10:$AU$260,VLOOKUP(A974,Ingreso!$AL$11:$AM$260,2,FALSE)))/24))</f>
        <v>0</v>
      </c>
      <c r="I974" s="77">
        <f t="shared" si="31"/>
        <v>0</v>
      </c>
    </row>
    <row r="975" spans="1:9">
      <c r="A975" s="85" t="str">
        <f>VLOOKUP('Informe Kelly'!A968,Base!A:B,2,FALSE)</f>
        <v>16.268.829-4</v>
      </c>
      <c r="B975" s="85" t="str">
        <f>VLOOKUP('Informe Kelly'!A968,Base!A:G,7,FALSE)</f>
        <v>MORALES DIAZ SLBERTO</v>
      </c>
      <c r="C975" s="91">
        <f>'Informe Kelly'!E968</f>
        <v>40644</v>
      </c>
      <c r="D975" s="96">
        <f t="shared" si="30"/>
        <v>505</v>
      </c>
      <c r="E975" s="85" t="e">
        <f>VLOOKUP(A975,Ingreso!K:P,6,FALSE)</f>
        <v>#N/A</v>
      </c>
      <c r="F975" s="85">
        <f>IF('Informe Kelly'!H968=$A$2,'Informe Kelly'!F968,"")</f>
        <v>0.59244212962962961</v>
      </c>
      <c r="G975" s="85" t="str">
        <f>IF('Informe Kelly'!H968=$A$3,'Informe Kelly'!F968,"")</f>
        <v/>
      </c>
      <c r="H975" s="85" t="e">
        <f>IF(C975=C973,0,IF(D975=D974,0,(HLOOKUP(C975,Ingreso!$AN$10:$AU$260,VLOOKUP(A975,Ingreso!$AL$11:$AM$260,2,FALSE)))/24))</f>
        <v>#N/A</v>
      </c>
      <c r="I975" s="77" t="e">
        <f t="shared" si="31"/>
        <v>#N/A</v>
      </c>
    </row>
    <row r="976" spans="1:9">
      <c r="A976" s="85" t="str">
        <f>VLOOKUP('Informe Kelly'!A969,Base!A:B,2,FALSE)</f>
        <v>16.268.829-4</v>
      </c>
      <c r="B976" s="85" t="str">
        <f>VLOOKUP('Informe Kelly'!A969,Base!A:G,7,FALSE)</f>
        <v>MORALES DIAZ SLBERTO</v>
      </c>
      <c r="C976" s="91">
        <f>'Informe Kelly'!E969</f>
        <v>40644</v>
      </c>
      <c r="D976" s="96">
        <f t="shared" si="30"/>
        <v>505</v>
      </c>
      <c r="E976" s="85" t="e">
        <f>VLOOKUP(A976,Ingreso!K:P,6,FALSE)</f>
        <v>#N/A</v>
      </c>
      <c r="F976" s="85" t="str">
        <f>IF('Informe Kelly'!H969=$A$2,'Informe Kelly'!F969,"")</f>
        <v/>
      </c>
      <c r="G976" s="85">
        <f>IF('Informe Kelly'!H969=$A$3,'Informe Kelly'!F969,"")</f>
        <v>0.95020833333333332</v>
      </c>
      <c r="H976" s="85">
        <f>IF(C976=C974,0,IF(D976=D975,0,(HLOOKUP(C976,Ingreso!$AN$10:$AU$260,VLOOKUP(A976,Ingreso!$AL$11:$AM$260,2,FALSE)))/24))</f>
        <v>0</v>
      </c>
      <c r="I976" s="77">
        <f t="shared" si="31"/>
        <v>0</v>
      </c>
    </row>
    <row r="977" spans="1:9">
      <c r="A977" s="85" t="str">
        <f>VLOOKUP('Informe Kelly'!A970,Base!A:B,2,FALSE)</f>
        <v>16.268.829-4</v>
      </c>
      <c r="B977" s="85" t="str">
        <f>VLOOKUP('Informe Kelly'!A970,Base!A:G,7,FALSE)</f>
        <v>MORALES DIAZ SLBERTO</v>
      </c>
      <c r="C977" s="91">
        <f>'Informe Kelly'!E970</f>
        <v>40645</v>
      </c>
      <c r="D977" s="96">
        <f t="shared" si="30"/>
        <v>506</v>
      </c>
      <c r="E977" s="85" t="e">
        <f>VLOOKUP(A977,Ingreso!K:P,6,FALSE)</f>
        <v>#N/A</v>
      </c>
      <c r="F977" s="85">
        <f>IF('Informe Kelly'!H970=$A$2,'Informe Kelly'!F970,"")</f>
        <v>0.60572916666666665</v>
      </c>
      <c r="G977" s="85" t="str">
        <f>IF('Informe Kelly'!H970=$A$3,'Informe Kelly'!F970,"")</f>
        <v/>
      </c>
      <c r="H977" s="85" t="e">
        <f>IF(C977=C975,0,IF(D977=D976,0,(HLOOKUP(C977,Ingreso!$AN$10:$AU$260,VLOOKUP(A977,Ingreso!$AL$11:$AM$260,2,FALSE)))/24))</f>
        <v>#N/A</v>
      </c>
      <c r="I977" s="77" t="e">
        <f t="shared" si="31"/>
        <v>#N/A</v>
      </c>
    </row>
    <row r="978" spans="1:9">
      <c r="A978" s="85" t="str">
        <f>VLOOKUP('Informe Kelly'!A971,Base!A:B,2,FALSE)</f>
        <v>16.268.829-4</v>
      </c>
      <c r="B978" s="85" t="str">
        <f>VLOOKUP('Informe Kelly'!A971,Base!A:G,7,FALSE)</f>
        <v>MORALES DIAZ SLBERTO</v>
      </c>
      <c r="C978" s="91">
        <f>'Informe Kelly'!E971</f>
        <v>40645</v>
      </c>
      <c r="D978" s="96">
        <f t="shared" si="30"/>
        <v>506</v>
      </c>
      <c r="E978" s="85" t="e">
        <f>VLOOKUP(A978,Ingreso!K:P,6,FALSE)</f>
        <v>#N/A</v>
      </c>
      <c r="F978" s="85" t="str">
        <f>IF('Informe Kelly'!H971=$A$2,'Informe Kelly'!F971,"")</f>
        <v/>
      </c>
      <c r="G978" s="85">
        <f>IF('Informe Kelly'!H971=$A$3,'Informe Kelly'!F971,"")</f>
        <v>0.94534722222222223</v>
      </c>
      <c r="H978" s="85">
        <f>IF(C978=C976,0,IF(D978=D977,0,(HLOOKUP(C978,Ingreso!$AN$10:$AU$260,VLOOKUP(A978,Ingreso!$AL$11:$AM$260,2,FALSE)))/24))</f>
        <v>0</v>
      </c>
      <c r="I978" s="77">
        <f t="shared" si="31"/>
        <v>0</v>
      </c>
    </row>
    <row r="979" spans="1:9">
      <c r="A979" s="85" t="str">
        <f>VLOOKUP('Informe Kelly'!A972,Base!A:B,2,FALSE)</f>
        <v>16.268.829-4</v>
      </c>
      <c r="B979" s="85" t="str">
        <f>VLOOKUP('Informe Kelly'!A972,Base!A:G,7,FALSE)</f>
        <v>MORALES DIAZ SLBERTO</v>
      </c>
      <c r="C979" s="91">
        <f>'Informe Kelly'!E972</f>
        <v>40646</v>
      </c>
      <c r="D979" s="96">
        <f t="shared" si="30"/>
        <v>507</v>
      </c>
      <c r="E979" s="85" t="e">
        <f>VLOOKUP(A979,Ingreso!K:P,6,FALSE)</f>
        <v>#N/A</v>
      </c>
      <c r="F979" s="85">
        <f>IF('Informe Kelly'!H972=$A$2,'Informe Kelly'!F972,"")</f>
        <v>0.61223379629629626</v>
      </c>
      <c r="G979" s="85" t="str">
        <f>IF('Informe Kelly'!H972=$A$3,'Informe Kelly'!F972,"")</f>
        <v/>
      </c>
      <c r="H979" s="85" t="e">
        <f>IF(C979=C977,0,IF(D979=D978,0,(HLOOKUP(C979,Ingreso!$AN$10:$AU$260,VLOOKUP(A979,Ingreso!$AL$11:$AM$260,2,FALSE)))/24))</f>
        <v>#N/A</v>
      </c>
      <c r="I979" s="77" t="e">
        <f t="shared" si="31"/>
        <v>#N/A</v>
      </c>
    </row>
    <row r="980" spans="1:9">
      <c r="A980" s="85" t="str">
        <f>VLOOKUP('Informe Kelly'!A973,Base!A:B,2,FALSE)</f>
        <v>16.268.829-4</v>
      </c>
      <c r="B980" s="85" t="str">
        <f>VLOOKUP('Informe Kelly'!A973,Base!A:G,7,FALSE)</f>
        <v>MORALES DIAZ SLBERTO</v>
      </c>
      <c r="C980" s="91">
        <f>'Informe Kelly'!E973</f>
        <v>40646</v>
      </c>
      <c r="D980" s="96">
        <f t="shared" si="30"/>
        <v>507</v>
      </c>
      <c r="E980" s="85" t="e">
        <f>VLOOKUP(A980,Ingreso!K:P,6,FALSE)</f>
        <v>#N/A</v>
      </c>
      <c r="F980" s="85" t="str">
        <f>IF('Informe Kelly'!H973=$A$2,'Informe Kelly'!F973,"")</f>
        <v/>
      </c>
      <c r="G980" s="85">
        <f>IF('Informe Kelly'!H973=$A$3,'Informe Kelly'!F973,"")</f>
        <v>0.94710648148148147</v>
      </c>
      <c r="H980" s="85">
        <f>IF(C980=C978,0,IF(D980=D979,0,(HLOOKUP(C980,Ingreso!$AN$10:$AU$260,VLOOKUP(A980,Ingreso!$AL$11:$AM$260,2,FALSE)))/24))</f>
        <v>0</v>
      </c>
      <c r="I980" s="77">
        <f t="shared" si="31"/>
        <v>0</v>
      </c>
    </row>
    <row r="981" spans="1:9">
      <c r="A981" s="85" t="str">
        <f>VLOOKUP('Informe Kelly'!A974,Base!A:B,2,FALSE)</f>
        <v>16.268.829-4</v>
      </c>
      <c r="B981" s="85" t="str">
        <f>VLOOKUP('Informe Kelly'!A974,Base!A:G,7,FALSE)</f>
        <v>MORALES DIAZ SLBERTO</v>
      </c>
      <c r="C981" s="91">
        <f>'Informe Kelly'!E974</f>
        <v>40647</v>
      </c>
      <c r="D981" s="96">
        <f t="shared" si="30"/>
        <v>508</v>
      </c>
      <c r="E981" s="85" t="e">
        <f>VLOOKUP(A981,Ingreso!K:P,6,FALSE)</f>
        <v>#N/A</v>
      </c>
      <c r="F981" s="85">
        <f>IF('Informe Kelly'!H974=$A$2,'Informe Kelly'!F974,"")</f>
        <v>0.60526620370370365</v>
      </c>
      <c r="G981" s="85" t="str">
        <f>IF('Informe Kelly'!H974=$A$3,'Informe Kelly'!F974,"")</f>
        <v/>
      </c>
      <c r="H981" s="85" t="e">
        <f>IF(C981=C979,0,IF(D981=D980,0,(HLOOKUP(C981,Ingreso!$AN$10:$AU$260,VLOOKUP(A981,Ingreso!$AL$11:$AM$260,2,FALSE)))/24))</f>
        <v>#N/A</v>
      </c>
      <c r="I981" s="77" t="e">
        <f t="shared" si="31"/>
        <v>#N/A</v>
      </c>
    </row>
    <row r="982" spans="1:9">
      <c r="A982" s="85" t="str">
        <f>VLOOKUP('Informe Kelly'!A975,Base!A:B,2,FALSE)</f>
        <v>16.268.829-4</v>
      </c>
      <c r="B982" s="85" t="str">
        <f>VLOOKUP('Informe Kelly'!A975,Base!A:G,7,FALSE)</f>
        <v>MORALES DIAZ SLBERTO</v>
      </c>
      <c r="C982" s="91">
        <f>'Informe Kelly'!E975</f>
        <v>40647</v>
      </c>
      <c r="D982" s="96">
        <f t="shared" si="30"/>
        <v>508</v>
      </c>
      <c r="E982" s="85" t="e">
        <f>VLOOKUP(A982,Ingreso!K:P,6,FALSE)</f>
        <v>#N/A</v>
      </c>
      <c r="F982" s="85" t="str">
        <f>IF('Informe Kelly'!H975=$A$2,'Informe Kelly'!F975,"")</f>
        <v/>
      </c>
      <c r="G982" s="85">
        <f>IF('Informe Kelly'!H975=$A$3,'Informe Kelly'!F975,"")</f>
        <v>0.94826388888888891</v>
      </c>
      <c r="H982" s="85">
        <f>IF(C982=C980,0,IF(D982=D981,0,(HLOOKUP(C982,Ingreso!$AN$10:$AU$260,VLOOKUP(A982,Ingreso!$AL$11:$AM$260,2,FALSE)))/24))</f>
        <v>0</v>
      </c>
      <c r="I982" s="77">
        <f t="shared" si="31"/>
        <v>0</v>
      </c>
    </row>
    <row r="983" spans="1:9">
      <c r="A983" s="85" t="str">
        <f>VLOOKUP('Informe Kelly'!A976,Base!A:B,2,FALSE)</f>
        <v>16.268.829-4</v>
      </c>
      <c r="B983" s="85" t="str">
        <f>VLOOKUP('Informe Kelly'!A976,Base!A:G,7,FALSE)</f>
        <v>MORALES DIAZ SLBERTO</v>
      </c>
      <c r="C983" s="91">
        <f>'Informe Kelly'!E976</f>
        <v>40648</v>
      </c>
      <c r="D983" s="96">
        <f t="shared" si="30"/>
        <v>509</v>
      </c>
      <c r="E983" s="85" t="e">
        <f>VLOOKUP(A983,Ingreso!K:P,6,FALSE)</f>
        <v>#N/A</v>
      </c>
      <c r="F983" s="85">
        <f>IF('Informe Kelly'!H976=$A$2,'Informe Kelly'!F976,"")</f>
        <v>0.64315972222222217</v>
      </c>
      <c r="G983" s="85" t="str">
        <f>IF('Informe Kelly'!H976=$A$3,'Informe Kelly'!F976,"")</f>
        <v/>
      </c>
      <c r="H983" s="85" t="e">
        <f>IF(C983=C981,0,IF(D983=D982,0,(HLOOKUP(C983,Ingreso!$AN$10:$AU$260,VLOOKUP(A983,Ingreso!$AL$11:$AM$260,2,FALSE)))/24))</f>
        <v>#N/A</v>
      </c>
      <c r="I983" s="77" t="e">
        <f t="shared" si="31"/>
        <v>#N/A</v>
      </c>
    </row>
    <row r="984" spans="1:9">
      <c r="A984" s="85" t="str">
        <f>VLOOKUP('Informe Kelly'!A977,Base!A:B,2,FALSE)</f>
        <v>16.268.829-4</v>
      </c>
      <c r="B984" s="85" t="str">
        <f>VLOOKUP('Informe Kelly'!A977,Base!A:G,7,FALSE)</f>
        <v>MORALES DIAZ SLBERTO</v>
      </c>
      <c r="C984" s="91">
        <f>'Informe Kelly'!E977</f>
        <v>40648</v>
      </c>
      <c r="D984" s="96">
        <f t="shared" si="30"/>
        <v>509</v>
      </c>
      <c r="E984" s="85" t="e">
        <f>VLOOKUP(A984,Ingreso!K:P,6,FALSE)</f>
        <v>#N/A</v>
      </c>
      <c r="F984" s="85" t="str">
        <f>IF('Informe Kelly'!H977=$A$2,'Informe Kelly'!F977,"")</f>
        <v/>
      </c>
      <c r="G984" s="85">
        <f>IF('Informe Kelly'!H977=$A$3,'Informe Kelly'!F977,"")</f>
        <v>0.95136574074074076</v>
      </c>
      <c r="H984" s="85">
        <f>IF(C984=C982,0,IF(D984=D983,0,(HLOOKUP(C984,Ingreso!$AN$10:$AU$260,VLOOKUP(A984,Ingreso!$AL$11:$AM$260,2,FALSE)))/24))</f>
        <v>0</v>
      </c>
      <c r="I984" s="77">
        <f t="shared" si="31"/>
        <v>0</v>
      </c>
    </row>
    <row r="985" spans="1:9">
      <c r="A985" s="85" t="str">
        <f>VLOOKUP('Informe Kelly'!A978,Base!A:B,2,FALSE)</f>
        <v>16.268.829-4</v>
      </c>
      <c r="B985" s="85" t="str">
        <f>VLOOKUP('Informe Kelly'!A978,Base!A:G,7,FALSE)</f>
        <v>MORALES DIAZ SLBERTO</v>
      </c>
      <c r="C985" s="91">
        <f>'Informe Kelly'!E978</f>
        <v>40649</v>
      </c>
      <c r="D985" s="96">
        <f t="shared" si="30"/>
        <v>510</v>
      </c>
      <c r="E985" s="85" t="e">
        <f>VLOOKUP(A985,Ingreso!K:P,6,FALSE)</f>
        <v>#N/A</v>
      </c>
      <c r="F985" s="85" t="str">
        <f>IF('Informe Kelly'!H978=$A$2,'Informe Kelly'!F978,"")</f>
        <v/>
      </c>
      <c r="G985" s="85">
        <f>IF('Informe Kelly'!H978=$A$3,'Informe Kelly'!F978,"")</f>
        <v>0.94298611111111119</v>
      </c>
      <c r="H985" s="85" t="e">
        <f>IF(C985=C983,0,IF(D985=D984,0,(HLOOKUP(C985,Ingreso!$AN$10:$AU$260,VLOOKUP(A985,Ingreso!$AL$11:$AM$260,2,FALSE)))/24))</f>
        <v>#N/A</v>
      </c>
      <c r="I985" s="77" t="e">
        <f t="shared" si="31"/>
        <v>#N/A</v>
      </c>
    </row>
    <row r="986" spans="1:9">
      <c r="A986" s="85" t="str">
        <f>VLOOKUP('Informe Kelly'!A979,Base!A:B,2,FALSE)</f>
        <v>16.268.829-4</v>
      </c>
      <c r="B986" s="85" t="str">
        <f>VLOOKUP('Informe Kelly'!A979,Base!A:G,7,FALSE)</f>
        <v>MORALES DIAZ SLBERTO</v>
      </c>
      <c r="C986" s="91">
        <f>'Informe Kelly'!E979</f>
        <v>40649</v>
      </c>
      <c r="D986" s="96">
        <f t="shared" si="30"/>
        <v>510</v>
      </c>
      <c r="E986" s="85" t="e">
        <f>VLOOKUP(A986,Ingreso!K:P,6,FALSE)</f>
        <v>#N/A</v>
      </c>
      <c r="F986" s="85">
        <f>IF('Informe Kelly'!H979=$A$2,'Informe Kelly'!F979,"")</f>
        <v>0.60403935185185187</v>
      </c>
      <c r="G986" s="85" t="str">
        <f>IF('Informe Kelly'!H979=$A$3,'Informe Kelly'!F979,"")</f>
        <v/>
      </c>
      <c r="H986" s="85">
        <f>IF(C986=C984,0,IF(D986=D985,0,(HLOOKUP(C986,Ingreso!$AN$10:$AU$260,VLOOKUP(A986,Ingreso!$AL$11:$AM$260,2,FALSE)))/24))</f>
        <v>0</v>
      </c>
      <c r="I986" s="77">
        <f t="shared" si="31"/>
        <v>0</v>
      </c>
    </row>
    <row r="987" spans="1:9">
      <c r="A987" s="85" t="str">
        <f>VLOOKUP('Informe Kelly'!A980,Base!A:B,2,FALSE)</f>
        <v>16.380.050-0</v>
      </c>
      <c r="B987" s="85" t="str">
        <f>VLOOKUP('Informe Kelly'!A980,Base!A:G,7,FALSE)</f>
        <v>FLORES ARANDA MARCELO</v>
      </c>
      <c r="C987" s="91">
        <f>'Informe Kelly'!E980</f>
        <v>40644</v>
      </c>
      <c r="D987" s="96">
        <f t="shared" si="30"/>
        <v>511</v>
      </c>
      <c r="E987" s="85" t="str">
        <f>VLOOKUP(A987,Ingreso!K:P,6,FALSE)</f>
        <v>Turno B</v>
      </c>
      <c r="F987" s="85">
        <f>IF('Informe Kelly'!H980=$A$2,'Informe Kelly'!F980,"")</f>
        <v>0.61869212962962961</v>
      </c>
      <c r="G987" s="85" t="str">
        <f>IF('Informe Kelly'!H980=$A$3,'Informe Kelly'!F980,"")</f>
        <v/>
      </c>
      <c r="H987" s="85">
        <f>IF(C987=C985,0,IF(D987=D986,0,(HLOOKUP(C987,Ingreso!$AN$10:$AU$260,VLOOKUP(A987,Ingreso!$AL$11:$AM$260,2,FALSE)))/24))</f>
        <v>0</v>
      </c>
      <c r="I987" s="77">
        <f t="shared" si="31"/>
        <v>0.3125</v>
      </c>
    </row>
    <row r="988" spans="1:9">
      <c r="A988" s="85" t="str">
        <f>VLOOKUP('Informe Kelly'!A981,Base!A:B,2,FALSE)</f>
        <v>16.380.050-0</v>
      </c>
      <c r="B988" s="85" t="str">
        <f>VLOOKUP('Informe Kelly'!A981,Base!A:G,7,FALSE)</f>
        <v>FLORES ARANDA MARCELO</v>
      </c>
      <c r="C988" s="91">
        <f>'Informe Kelly'!E981</f>
        <v>40644</v>
      </c>
      <c r="D988" s="96">
        <f t="shared" si="30"/>
        <v>511</v>
      </c>
      <c r="E988" s="85" t="str">
        <f>VLOOKUP(A988,Ingreso!K:P,6,FALSE)</f>
        <v>Turno B</v>
      </c>
      <c r="F988" s="85" t="str">
        <f>IF('Informe Kelly'!H981=$A$2,'Informe Kelly'!F981,"")</f>
        <v/>
      </c>
      <c r="G988" s="85">
        <f>IF('Informe Kelly'!H981=$A$3,'Informe Kelly'!F981,"")</f>
        <v>0.94054398148148144</v>
      </c>
      <c r="H988" s="85">
        <f>IF(C988=C986,0,IF(D988=D987,0,(HLOOKUP(C988,Ingreso!$AN$10:$AU$260,VLOOKUP(A988,Ingreso!$AL$11:$AM$260,2,FALSE)))/24))</f>
        <v>0</v>
      </c>
      <c r="I988" s="77">
        <f t="shared" si="31"/>
        <v>0</v>
      </c>
    </row>
    <row r="989" spans="1:9">
      <c r="A989" s="85" t="str">
        <f>VLOOKUP('Informe Kelly'!A982,Base!A:B,2,FALSE)</f>
        <v>16.380.050-0</v>
      </c>
      <c r="B989" s="85" t="str">
        <f>VLOOKUP('Informe Kelly'!A982,Base!A:G,7,FALSE)</f>
        <v>FLORES ARANDA MARCELO</v>
      </c>
      <c r="C989" s="91">
        <f>'Informe Kelly'!E982</f>
        <v>40645</v>
      </c>
      <c r="D989" s="96">
        <f t="shared" si="30"/>
        <v>512</v>
      </c>
      <c r="E989" s="85" t="str">
        <f>VLOOKUP(A989,Ingreso!K:P,6,FALSE)</f>
        <v>Turno B</v>
      </c>
      <c r="F989" s="85">
        <f>IF('Informe Kelly'!H982=$A$2,'Informe Kelly'!F982,"")</f>
        <v>0.6144560185185185</v>
      </c>
      <c r="G989" s="85" t="str">
        <f>IF('Informe Kelly'!H982=$A$3,'Informe Kelly'!F982,"")</f>
        <v/>
      </c>
      <c r="H989" s="85">
        <f>IF(C989=C987,0,IF(D989=D988,0,(HLOOKUP(C989,Ingreso!$AN$10:$AU$260,VLOOKUP(A989,Ingreso!$AL$11:$AM$260,2,FALSE)))/24))</f>
        <v>0</v>
      </c>
      <c r="I989" s="77">
        <f t="shared" si="31"/>
        <v>0.3125</v>
      </c>
    </row>
    <row r="990" spans="1:9">
      <c r="A990" s="85" t="str">
        <f>VLOOKUP('Informe Kelly'!A983,Base!A:B,2,FALSE)</f>
        <v>16.380.050-0</v>
      </c>
      <c r="B990" s="85" t="str">
        <f>VLOOKUP('Informe Kelly'!A983,Base!A:G,7,FALSE)</f>
        <v>FLORES ARANDA MARCELO</v>
      </c>
      <c r="C990" s="91">
        <f>'Informe Kelly'!E983</f>
        <v>40645</v>
      </c>
      <c r="D990" s="96">
        <f t="shared" si="30"/>
        <v>512</v>
      </c>
      <c r="E990" s="85" t="str">
        <f>VLOOKUP(A990,Ingreso!K:P,6,FALSE)</f>
        <v>Turno B</v>
      </c>
      <c r="F990" s="85" t="str">
        <f>IF('Informe Kelly'!H983=$A$2,'Informe Kelly'!F983,"")</f>
        <v/>
      </c>
      <c r="G990" s="85">
        <f>IF('Informe Kelly'!H983=$A$3,'Informe Kelly'!F983,"")</f>
        <v>0.94627314814814811</v>
      </c>
      <c r="H990" s="85">
        <f>IF(C990=C988,0,IF(D990=D989,0,(HLOOKUP(C990,Ingreso!$AN$10:$AU$260,VLOOKUP(A990,Ingreso!$AL$11:$AM$260,2,FALSE)))/24))</f>
        <v>0</v>
      </c>
      <c r="I990" s="77">
        <f t="shared" si="31"/>
        <v>0</v>
      </c>
    </row>
    <row r="991" spans="1:9">
      <c r="A991" s="85" t="str">
        <f>VLOOKUP('Informe Kelly'!A984,Base!A:B,2,FALSE)</f>
        <v>16.380.050-0</v>
      </c>
      <c r="B991" s="85" t="str">
        <f>VLOOKUP('Informe Kelly'!A984,Base!A:G,7,FALSE)</f>
        <v>FLORES ARANDA MARCELO</v>
      </c>
      <c r="C991" s="91">
        <f>'Informe Kelly'!E984</f>
        <v>40646</v>
      </c>
      <c r="D991" s="96">
        <f t="shared" si="30"/>
        <v>513</v>
      </c>
      <c r="E991" s="85" t="str">
        <f>VLOOKUP(A991,Ingreso!K:P,6,FALSE)</f>
        <v>Turno B</v>
      </c>
      <c r="F991" s="85">
        <f>IF('Informe Kelly'!H984=$A$2,'Informe Kelly'!F984,"")</f>
        <v>0.61228009259259253</v>
      </c>
      <c r="G991" s="85" t="str">
        <f>IF('Informe Kelly'!H984=$A$3,'Informe Kelly'!F984,"")</f>
        <v/>
      </c>
      <c r="H991" s="85">
        <f>IF(C991=C989,0,IF(D991=D990,0,(HLOOKUP(C991,Ingreso!$AN$10:$AU$260,VLOOKUP(A991,Ingreso!$AL$11:$AM$260,2,FALSE)))/24))</f>
        <v>0</v>
      </c>
      <c r="I991" s="77">
        <f t="shared" si="31"/>
        <v>0.3125</v>
      </c>
    </row>
    <row r="992" spans="1:9">
      <c r="A992" s="85" t="str">
        <f>VLOOKUP('Informe Kelly'!A985,Base!A:B,2,FALSE)</f>
        <v>16.380.050-0</v>
      </c>
      <c r="B992" s="85" t="str">
        <f>VLOOKUP('Informe Kelly'!A985,Base!A:G,7,FALSE)</f>
        <v>FLORES ARANDA MARCELO</v>
      </c>
      <c r="C992" s="91">
        <f>'Informe Kelly'!E985</f>
        <v>40646</v>
      </c>
      <c r="D992" s="96">
        <f t="shared" si="30"/>
        <v>513</v>
      </c>
      <c r="E992" s="85" t="str">
        <f>VLOOKUP(A992,Ingreso!K:P,6,FALSE)</f>
        <v>Turno B</v>
      </c>
      <c r="F992" s="85" t="str">
        <f>IF('Informe Kelly'!H985=$A$2,'Informe Kelly'!F985,"")</f>
        <v/>
      </c>
      <c r="G992" s="85">
        <f>IF('Informe Kelly'!H985=$A$3,'Informe Kelly'!F985,"")</f>
        <v>0.94113425925925931</v>
      </c>
      <c r="H992" s="85">
        <f>IF(C992=C990,0,IF(D992=D991,0,(HLOOKUP(C992,Ingreso!$AN$10:$AU$260,VLOOKUP(A992,Ingreso!$AL$11:$AM$260,2,FALSE)))/24))</f>
        <v>0</v>
      </c>
      <c r="I992" s="77">
        <f t="shared" si="31"/>
        <v>0</v>
      </c>
    </row>
    <row r="993" spans="1:9">
      <c r="A993" s="85" t="str">
        <f>VLOOKUP('Informe Kelly'!A986,Base!A:B,2,FALSE)</f>
        <v>16.380.050-0</v>
      </c>
      <c r="B993" s="85" t="str">
        <f>VLOOKUP('Informe Kelly'!A986,Base!A:G,7,FALSE)</f>
        <v>FLORES ARANDA MARCELO</v>
      </c>
      <c r="C993" s="91">
        <f>'Informe Kelly'!E986</f>
        <v>40647</v>
      </c>
      <c r="D993" s="96">
        <f t="shared" si="30"/>
        <v>514</v>
      </c>
      <c r="E993" s="85" t="str">
        <f>VLOOKUP(A993,Ingreso!K:P,6,FALSE)</f>
        <v>Turno B</v>
      </c>
      <c r="F993" s="85">
        <f>IF('Informe Kelly'!H986=$A$2,'Informe Kelly'!F986,"")</f>
        <v>0.61744212962962963</v>
      </c>
      <c r="G993" s="85" t="str">
        <f>IF('Informe Kelly'!H986=$A$3,'Informe Kelly'!F986,"")</f>
        <v/>
      </c>
      <c r="H993" s="85">
        <f>IF(C993=C991,0,IF(D993=D992,0,(HLOOKUP(C993,Ingreso!$AN$10:$AU$260,VLOOKUP(A993,Ingreso!$AL$11:$AM$260,2,FALSE)))/24))</f>
        <v>0</v>
      </c>
      <c r="I993" s="77">
        <f t="shared" si="31"/>
        <v>0.3125</v>
      </c>
    </row>
    <row r="994" spans="1:9">
      <c r="A994" s="85" t="str">
        <f>VLOOKUP('Informe Kelly'!A987,Base!A:B,2,FALSE)</f>
        <v>16.380.050-0</v>
      </c>
      <c r="B994" s="85" t="str">
        <f>VLOOKUP('Informe Kelly'!A987,Base!A:G,7,FALSE)</f>
        <v>FLORES ARANDA MARCELO</v>
      </c>
      <c r="C994" s="91">
        <f>'Informe Kelly'!E987</f>
        <v>40647</v>
      </c>
      <c r="D994" s="96">
        <f t="shared" si="30"/>
        <v>514</v>
      </c>
      <c r="E994" s="85" t="str">
        <f>VLOOKUP(A994,Ingreso!K:P,6,FALSE)</f>
        <v>Turno B</v>
      </c>
      <c r="F994" s="85" t="str">
        <f>IF('Informe Kelly'!H987=$A$2,'Informe Kelly'!F987,"")</f>
        <v/>
      </c>
      <c r="G994" s="85">
        <f>IF('Informe Kelly'!H987=$A$3,'Informe Kelly'!F987,"")</f>
        <v>0.94459490740740737</v>
      </c>
      <c r="H994" s="85">
        <f>IF(C994=C992,0,IF(D994=D993,0,(HLOOKUP(C994,Ingreso!$AN$10:$AU$260,VLOOKUP(A994,Ingreso!$AL$11:$AM$260,2,FALSE)))/24))</f>
        <v>0</v>
      </c>
      <c r="I994" s="77">
        <f t="shared" si="31"/>
        <v>0</v>
      </c>
    </row>
    <row r="995" spans="1:9">
      <c r="A995" s="85" t="str">
        <f>VLOOKUP('Informe Kelly'!A988,Base!A:B,2,FALSE)</f>
        <v>16.380.050-0</v>
      </c>
      <c r="B995" s="85" t="str">
        <f>VLOOKUP('Informe Kelly'!A988,Base!A:G,7,FALSE)</f>
        <v>FLORES ARANDA MARCELO</v>
      </c>
      <c r="C995" s="91">
        <f>'Informe Kelly'!E988</f>
        <v>40648</v>
      </c>
      <c r="D995" s="96">
        <f t="shared" si="30"/>
        <v>515</v>
      </c>
      <c r="E995" s="85" t="str">
        <f>VLOOKUP(A995,Ingreso!K:P,6,FALSE)</f>
        <v>Turno B</v>
      </c>
      <c r="F995" s="85">
        <f>IF('Informe Kelly'!H988=$A$2,'Informe Kelly'!F988,"")</f>
        <v>0.61966435185185187</v>
      </c>
      <c r="G995" s="85" t="str">
        <f>IF('Informe Kelly'!H988=$A$3,'Informe Kelly'!F988,"")</f>
        <v/>
      </c>
      <c r="H995" s="85">
        <f>IF(C995=C993,0,IF(D995=D994,0,(HLOOKUP(C995,Ingreso!$AN$10:$AU$260,VLOOKUP(A995,Ingreso!$AL$11:$AM$260,2,FALSE)))/24))</f>
        <v>0</v>
      </c>
      <c r="I995" s="77">
        <f t="shared" si="31"/>
        <v>0.3125</v>
      </c>
    </row>
    <row r="996" spans="1:9">
      <c r="A996" s="85" t="str">
        <f>VLOOKUP('Informe Kelly'!A989,Base!A:B,2,FALSE)</f>
        <v>16.380.050-0</v>
      </c>
      <c r="B996" s="85" t="str">
        <f>VLOOKUP('Informe Kelly'!A989,Base!A:G,7,FALSE)</f>
        <v>FLORES ARANDA MARCELO</v>
      </c>
      <c r="C996" s="91">
        <f>'Informe Kelly'!E989</f>
        <v>40648</v>
      </c>
      <c r="D996" s="96">
        <f t="shared" si="30"/>
        <v>515</v>
      </c>
      <c r="E996" s="85" t="str">
        <f>VLOOKUP(A996,Ingreso!K:P,6,FALSE)</f>
        <v>Turno B</v>
      </c>
      <c r="F996" s="85" t="str">
        <f>IF('Informe Kelly'!H989=$A$2,'Informe Kelly'!F989,"")</f>
        <v/>
      </c>
      <c r="G996" s="85">
        <f>IF('Informe Kelly'!H989=$A$3,'Informe Kelly'!F989,"")</f>
        <v>0.94481481481481477</v>
      </c>
      <c r="H996" s="85">
        <f>IF(C996=C994,0,IF(D996=D995,0,(HLOOKUP(C996,Ingreso!$AN$10:$AU$260,VLOOKUP(A996,Ingreso!$AL$11:$AM$260,2,FALSE)))/24))</f>
        <v>0</v>
      </c>
      <c r="I996" s="77">
        <f t="shared" si="31"/>
        <v>0</v>
      </c>
    </row>
    <row r="997" spans="1:9">
      <c r="A997" s="85" t="str">
        <f>VLOOKUP('Informe Kelly'!A990,Base!A:B,2,FALSE)</f>
        <v>16.380.050-0</v>
      </c>
      <c r="B997" s="85" t="str">
        <f>VLOOKUP('Informe Kelly'!A990,Base!A:G,7,FALSE)</f>
        <v>FLORES ARANDA MARCELO</v>
      </c>
      <c r="C997" s="91">
        <f>'Informe Kelly'!E990</f>
        <v>40649</v>
      </c>
      <c r="D997" s="96">
        <f t="shared" si="30"/>
        <v>516</v>
      </c>
      <c r="E997" s="85" t="str">
        <f>VLOOKUP(A997,Ingreso!K:P,6,FALSE)</f>
        <v>Turno B</v>
      </c>
      <c r="F997" s="85" t="str">
        <f>IF('Informe Kelly'!H990=$A$2,'Informe Kelly'!F990,"")</f>
        <v/>
      </c>
      <c r="G997" s="85">
        <f>IF('Informe Kelly'!H990=$A$3,'Informe Kelly'!F990,"")</f>
        <v>0.82162037037037028</v>
      </c>
      <c r="H997" s="85">
        <f>IF(C997=C995,0,IF(D997=D996,0,(HLOOKUP(C997,Ingreso!$AN$10:$AU$260,VLOOKUP(A997,Ingreso!$AL$11:$AM$260,2,FALSE)))/24))</f>
        <v>0</v>
      </c>
      <c r="I997" s="77">
        <f t="shared" si="31"/>
        <v>0.3125</v>
      </c>
    </row>
    <row r="998" spans="1:9">
      <c r="A998" s="85" t="str">
        <f>VLOOKUP('Informe Kelly'!A991,Base!A:B,2,FALSE)</f>
        <v>16.380.050-0</v>
      </c>
      <c r="B998" s="85" t="str">
        <f>VLOOKUP('Informe Kelly'!A991,Base!A:G,7,FALSE)</f>
        <v>FLORES ARANDA MARCELO</v>
      </c>
      <c r="C998" s="91">
        <f>'Informe Kelly'!E991</f>
        <v>40649</v>
      </c>
      <c r="D998" s="96">
        <f t="shared" si="30"/>
        <v>516</v>
      </c>
      <c r="E998" s="85" t="str">
        <f>VLOOKUP(A998,Ingreso!K:P,6,FALSE)</f>
        <v>Turno B</v>
      </c>
      <c r="F998" s="85">
        <f>IF('Informe Kelly'!H991=$A$2,'Informe Kelly'!F991,"")</f>
        <v>0.49791666666666662</v>
      </c>
      <c r="G998" s="85" t="str">
        <f>IF('Informe Kelly'!H991=$A$3,'Informe Kelly'!F991,"")</f>
        <v/>
      </c>
      <c r="H998" s="85">
        <f>IF(C998=C996,0,IF(D998=D997,0,(HLOOKUP(C998,Ingreso!$AN$10:$AU$260,VLOOKUP(A998,Ingreso!$AL$11:$AM$260,2,FALSE)))/24))</f>
        <v>0</v>
      </c>
      <c r="I998" s="77">
        <f t="shared" si="31"/>
        <v>0</v>
      </c>
    </row>
    <row r="999" spans="1:9">
      <c r="A999" s="85" t="str">
        <f>VLOOKUP('Informe Kelly'!A992,Base!A:B,2,FALSE)</f>
        <v>16.413.939-5</v>
      </c>
      <c r="B999" s="85" t="str">
        <f>VLOOKUP('Informe Kelly'!A992,Base!A:G,7,FALSE)</f>
        <v>ESPINOZA MATURANA FABIAN</v>
      </c>
      <c r="C999" s="91">
        <f>'Informe Kelly'!E992</f>
        <v>40644</v>
      </c>
      <c r="D999" s="96">
        <f t="shared" si="30"/>
        <v>517</v>
      </c>
      <c r="E999" s="85" t="e">
        <f>VLOOKUP(A999,Ingreso!K:P,6,FALSE)</f>
        <v>#N/A</v>
      </c>
      <c r="F999" s="85">
        <f>IF('Informe Kelly'!H992=$A$2,'Informe Kelly'!F992,"")</f>
        <v>0.29605324074074074</v>
      </c>
      <c r="G999" s="85" t="str">
        <f>IF('Informe Kelly'!H992=$A$3,'Informe Kelly'!F992,"")</f>
        <v/>
      </c>
      <c r="H999" s="85" t="e">
        <f>IF(C999=C997,0,IF(D999=D998,0,(HLOOKUP(C999,Ingreso!$AN$10:$AU$260,VLOOKUP(A999,Ingreso!$AL$11:$AM$260,2,FALSE)))/24))</f>
        <v>#N/A</v>
      </c>
      <c r="I999" s="77" t="e">
        <f t="shared" si="31"/>
        <v>#N/A</v>
      </c>
    </row>
    <row r="1000" spans="1:9">
      <c r="A1000" s="85" t="str">
        <f>VLOOKUP('Informe Kelly'!A993,Base!A:B,2,FALSE)</f>
        <v>16.413.939-5</v>
      </c>
      <c r="B1000" s="85" t="str">
        <f>VLOOKUP('Informe Kelly'!A993,Base!A:G,7,FALSE)</f>
        <v>ESPINOZA MATURANA FABIAN</v>
      </c>
      <c r="C1000" s="91">
        <f>'Informe Kelly'!E993</f>
        <v>40644</v>
      </c>
      <c r="D1000" s="96">
        <f t="shared" si="30"/>
        <v>517</v>
      </c>
      <c r="E1000" s="85" t="e">
        <f>VLOOKUP(A1000,Ingreso!K:P,6,FALSE)</f>
        <v>#N/A</v>
      </c>
      <c r="F1000" s="85" t="str">
        <f>IF('Informe Kelly'!H993=$A$2,'Informe Kelly'!F993,"")</f>
        <v/>
      </c>
      <c r="G1000" s="85">
        <f>IF('Informe Kelly'!H993=$A$3,'Informe Kelly'!F993,"")</f>
        <v>0.64082175925925922</v>
      </c>
      <c r="H1000" s="85">
        <f>IF(C1000=C998,0,IF(D1000=D999,0,(HLOOKUP(C1000,Ingreso!$AN$10:$AU$260,VLOOKUP(A1000,Ingreso!$AL$11:$AM$260,2,FALSE)))/24))</f>
        <v>0</v>
      </c>
      <c r="I1000" s="77">
        <f t="shared" si="31"/>
        <v>0</v>
      </c>
    </row>
    <row r="1001" spans="1:9">
      <c r="A1001" s="85" t="str">
        <f>VLOOKUP('Informe Kelly'!A994,Base!A:B,2,FALSE)</f>
        <v>16.413.939-5</v>
      </c>
      <c r="B1001" s="85" t="str">
        <f>VLOOKUP('Informe Kelly'!A994,Base!A:G,7,FALSE)</f>
        <v>ESPINOZA MATURANA FABIAN</v>
      </c>
      <c r="C1001" s="91">
        <f>'Informe Kelly'!E994</f>
        <v>40645</v>
      </c>
      <c r="D1001" s="96">
        <f t="shared" si="30"/>
        <v>518</v>
      </c>
      <c r="E1001" s="85" t="e">
        <f>VLOOKUP(A1001,Ingreso!K:P,6,FALSE)</f>
        <v>#N/A</v>
      </c>
      <c r="F1001" s="85">
        <f>IF('Informe Kelly'!H994=$A$2,'Informe Kelly'!F994,"")</f>
        <v>0.29548611111111112</v>
      </c>
      <c r="G1001" s="85" t="str">
        <f>IF('Informe Kelly'!H994=$A$3,'Informe Kelly'!F994,"")</f>
        <v/>
      </c>
      <c r="H1001" s="85" t="e">
        <f>IF(C1001=C999,0,IF(D1001=D1000,0,(HLOOKUP(C1001,Ingreso!$AN$10:$AU$260,VLOOKUP(A1001,Ingreso!$AL$11:$AM$260,2,FALSE)))/24))</f>
        <v>#N/A</v>
      </c>
      <c r="I1001" s="77" t="e">
        <f t="shared" si="31"/>
        <v>#N/A</v>
      </c>
    </row>
    <row r="1002" spans="1:9">
      <c r="A1002" s="85" t="str">
        <f>VLOOKUP('Informe Kelly'!A995,Base!A:B,2,FALSE)</f>
        <v>16.413.939-5</v>
      </c>
      <c r="B1002" s="85" t="str">
        <f>VLOOKUP('Informe Kelly'!A995,Base!A:G,7,FALSE)</f>
        <v>ESPINOZA MATURANA FABIAN</v>
      </c>
      <c r="C1002" s="91">
        <f>'Informe Kelly'!E995</f>
        <v>40645</v>
      </c>
      <c r="D1002" s="96">
        <f t="shared" si="30"/>
        <v>518</v>
      </c>
      <c r="E1002" s="85" t="e">
        <f>VLOOKUP(A1002,Ingreso!K:P,6,FALSE)</f>
        <v>#N/A</v>
      </c>
      <c r="F1002" s="85" t="str">
        <f>IF('Informe Kelly'!H995=$A$2,'Informe Kelly'!F995,"")</f>
        <v/>
      </c>
      <c r="G1002" s="85">
        <f>IF('Informe Kelly'!H995=$A$3,'Informe Kelly'!F995,"")</f>
        <v>0.64013888888888892</v>
      </c>
      <c r="H1002" s="85">
        <f>IF(C1002=C1000,0,IF(D1002=D1001,0,(HLOOKUP(C1002,Ingreso!$AN$10:$AU$260,VLOOKUP(A1002,Ingreso!$AL$11:$AM$260,2,FALSE)))/24))</f>
        <v>0</v>
      </c>
      <c r="I1002" s="77">
        <f t="shared" si="31"/>
        <v>0</v>
      </c>
    </row>
    <row r="1003" spans="1:9">
      <c r="A1003" s="85" t="str">
        <f>VLOOKUP('Informe Kelly'!A996,Base!A:B,2,FALSE)</f>
        <v>16.413.939-5</v>
      </c>
      <c r="B1003" s="85" t="str">
        <f>VLOOKUP('Informe Kelly'!A996,Base!A:G,7,FALSE)</f>
        <v>ESPINOZA MATURANA FABIAN</v>
      </c>
      <c r="C1003" s="91">
        <f>'Informe Kelly'!E996</f>
        <v>40646</v>
      </c>
      <c r="D1003" s="96">
        <f t="shared" si="30"/>
        <v>519</v>
      </c>
      <c r="E1003" s="85" t="e">
        <f>VLOOKUP(A1003,Ingreso!K:P,6,FALSE)</f>
        <v>#N/A</v>
      </c>
      <c r="F1003" s="85">
        <f>IF('Informe Kelly'!H996=$A$2,'Informe Kelly'!F996,"")</f>
        <v>0.29228009259259258</v>
      </c>
      <c r="G1003" s="85" t="str">
        <f>IF('Informe Kelly'!H996=$A$3,'Informe Kelly'!F996,"")</f>
        <v/>
      </c>
      <c r="H1003" s="85" t="e">
        <f>IF(C1003=C1001,0,IF(D1003=D1002,0,(HLOOKUP(C1003,Ingreso!$AN$10:$AU$260,VLOOKUP(A1003,Ingreso!$AL$11:$AM$260,2,FALSE)))/24))</f>
        <v>#N/A</v>
      </c>
      <c r="I1003" s="77" t="e">
        <f t="shared" si="31"/>
        <v>#N/A</v>
      </c>
    </row>
    <row r="1004" spans="1:9">
      <c r="A1004" s="85" t="str">
        <f>VLOOKUP('Informe Kelly'!A997,Base!A:B,2,FALSE)</f>
        <v>16.413.939-5</v>
      </c>
      <c r="B1004" s="85" t="str">
        <f>VLOOKUP('Informe Kelly'!A997,Base!A:G,7,FALSE)</f>
        <v>ESPINOZA MATURANA FABIAN</v>
      </c>
      <c r="C1004" s="91">
        <f>'Informe Kelly'!E997</f>
        <v>40646</v>
      </c>
      <c r="D1004" s="96">
        <f t="shared" si="30"/>
        <v>519</v>
      </c>
      <c r="E1004" s="85" t="e">
        <f>VLOOKUP(A1004,Ingreso!K:P,6,FALSE)</f>
        <v>#N/A</v>
      </c>
      <c r="F1004" s="85" t="str">
        <f>IF('Informe Kelly'!H997=$A$2,'Informe Kelly'!F997,"")</f>
        <v/>
      </c>
      <c r="G1004" s="85">
        <f>IF('Informe Kelly'!H997=$A$3,'Informe Kelly'!F997,"")</f>
        <v>0.63980324074074069</v>
      </c>
      <c r="H1004" s="85">
        <f>IF(C1004=C1002,0,IF(D1004=D1003,0,(HLOOKUP(C1004,Ingreso!$AN$10:$AU$260,VLOOKUP(A1004,Ingreso!$AL$11:$AM$260,2,FALSE)))/24))</f>
        <v>0</v>
      </c>
      <c r="I1004" s="77">
        <f t="shared" si="31"/>
        <v>0</v>
      </c>
    </row>
    <row r="1005" spans="1:9">
      <c r="A1005" s="85" t="str">
        <f>VLOOKUP('Informe Kelly'!A998,Base!A:B,2,FALSE)</f>
        <v>16.413.939-5</v>
      </c>
      <c r="B1005" s="85" t="str">
        <f>VLOOKUP('Informe Kelly'!A998,Base!A:G,7,FALSE)</f>
        <v>ESPINOZA MATURANA FABIAN</v>
      </c>
      <c r="C1005" s="91">
        <f>'Informe Kelly'!E998</f>
        <v>40647</v>
      </c>
      <c r="D1005" s="96">
        <f t="shared" si="30"/>
        <v>520</v>
      </c>
      <c r="E1005" s="85" t="e">
        <f>VLOOKUP(A1005,Ingreso!K:P,6,FALSE)</f>
        <v>#N/A</v>
      </c>
      <c r="F1005" s="85">
        <f>IF('Informe Kelly'!H998=$A$2,'Informe Kelly'!F998,"")</f>
        <v>0.30819444444444444</v>
      </c>
      <c r="G1005" s="85" t="str">
        <f>IF('Informe Kelly'!H998=$A$3,'Informe Kelly'!F998,"")</f>
        <v/>
      </c>
      <c r="H1005" s="85" t="e">
        <f>IF(C1005=C1003,0,IF(D1005=D1004,0,(HLOOKUP(C1005,Ingreso!$AN$10:$AU$260,VLOOKUP(A1005,Ingreso!$AL$11:$AM$260,2,FALSE)))/24))</f>
        <v>#N/A</v>
      </c>
      <c r="I1005" s="77" t="e">
        <f t="shared" si="31"/>
        <v>#N/A</v>
      </c>
    </row>
    <row r="1006" spans="1:9">
      <c r="A1006" s="85" t="str">
        <f>VLOOKUP('Informe Kelly'!A999,Base!A:B,2,FALSE)</f>
        <v>16.413.939-5</v>
      </c>
      <c r="B1006" s="85" t="str">
        <f>VLOOKUP('Informe Kelly'!A999,Base!A:G,7,FALSE)</f>
        <v>ESPINOZA MATURANA FABIAN</v>
      </c>
      <c r="C1006" s="91">
        <f>'Informe Kelly'!E999</f>
        <v>40647</v>
      </c>
      <c r="D1006" s="96">
        <f t="shared" si="30"/>
        <v>520</v>
      </c>
      <c r="E1006" s="85" t="e">
        <f>VLOOKUP(A1006,Ingreso!K:P,6,FALSE)</f>
        <v>#N/A</v>
      </c>
      <c r="F1006" s="85" t="str">
        <f>IF('Informe Kelly'!H999=$A$2,'Informe Kelly'!F999,"")</f>
        <v/>
      </c>
      <c r="G1006" s="85">
        <f>IF('Informe Kelly'!H999=$A$3,'Informe Kelly'!F999,"")</f>
        <v>0.64706018518518515</v>
      </c>
      <c r="H1006" s="85">
        <f>IF(C1006=C1004,0,IF(D1006=D1005,0,(HLOOKUP(C1006,Ingreso!$AN$10:$AU$260,VLOOKUP(A1006,Ingreso!$AL$11:$AM$260,2,FALSE)))/24))</f>
        <v>0</v>
      </c>
      <c r="I1006" s="77">
        <f t="shared" si="31"/>
        <v>0</v>
      </c>
    </row>
    <row r="1007" spans="1:9">
      <c r="A1007" s="85" t="str">
        <f>VLOOKUP('Informe Kelly'!A1000,Base!A:B,2,FALSE)</f>
        <v>16.413.939-5</v>
      </c>
      <c r="B1007" s="85" t="str">
        <f>VLOOKUP('Informe Kelly'!A1000,Base!A:G,7,FALSE)</f>
        <v>ESPINOZA MATURANA FABIAN</v>
      </c>
      <c r="C1007" s="91">
        <f>'Informe Kelly'!E1000</f>
        <v>40648</v>
      </c>
      <c r="D1007" s="96">
        <f t="shared" si="30"/>
        <v>521</v>
      </c>
      <c r="E1007" s="85" t="e">
        <f>VLOOKUP(A1007,Ingreso!K:P,6,FALSE)</f>
        <v>#N/A</v>
      </c>
      <c r="F1007" s="85" t="str">
        <f>IF('Informe Kelly'!H1000=$A$2,'Informe Kelly'!F1000,"")</f>
        <v/>
      </c>
      <c r="G1007" s="85">
        <f>IF('Informe Kelly'!H1000=$A$3,'Informe Kelly'!F1000,"")</f>
        <v>0.65160879629629631</v>
      </c>
      <c r="H1007" s="85" t="e">
        <f>IF(C1007=C1005,0,IF(D1007=D1006,0,(HLOOKUP(C1007,Ingreso!$AN$10:$AU$260,VLOOKUP(A1007,Ingreso!$AL$11:$AM$260,2,FALSE)))/24))</f>
        <v>#N/A</v>
      </c>
      <c r="I1007" s="77" t="e">
        <f t="shared" si="31"/>
        <v>#N/A</v>
      </c>
    </row>
    <row r="1008" spans="1:9">
      <c r="A1008" s="85" t="str">
        <f>VLOOKUP('Informe Kelly'!A1001,Base!A:B,2,FALSE)</f>
        <v>16.413.939-5</v>
      </c>
      <c r="B1008" s="85" t="str">
        <f>VLOOKUP('Informe Kelly'!A1001,Base!A:G,7,FALSE)</f>
        <v>ESPINOZA MATURANA FABIAN</v>
      </c>
      <c r="C1008" s="91">
        <f>'Informe Kelly'!E1001</f>
        <v>40648</v>
      </c>
      <c r="D1008" s="96">
        <f t="shared" si="30"/>
        <v>521</v>
      </c>
      <c r="E1008" s="85" t="e">
        <f>VLOOKUP(A1008,Ingreso!K:P,6,FALSE)</f>
        <v>#N/A</v>
      </c>
      <c r="F1008" s="85">
        <f>IF('Informe Kelly'!H1001=$A$2,'Informe Kelly'!F1001,"")</f>
        <v>0.29006944444444444</v>
      </c>
      <c r="G1008" s="85" t="str">
        <f>IF('Informe Kelly'!H1001=$A$3,'Informe Kelly'!F1001,"")</f>
        <v/>
      </c>
      <c r="H1008" s="85">
        <f>IF(C1008=C1006,0,IF(D1008=D1007,0,(HLOOKUP(C1008,Ingreso!$AN$10:$AU$260,VLOOKUP(A1008,Ingreso!$AL$11:$AM$260,2,FALSE)))/24))</f>
        <v>0</v>
      </c>
      <c r="I1008" s="77">
        <f t="shared" si="31"/>
        <v>0</v>
      </c>
    </row>
    <row r="1009" spans="1:9">
      <c r="A1009" s="85" t="str">
        <f>VLOOKUP('Informe Kelly'!A1002,Base!A:B,2,FALSE)</f>
        <v>16.413.939-5</v>
      </c>
      <c r="B1009" s="85" t="str">
        <f>VLOOKUP('Informe Kelly'!A1002,Base!A:G,7,FALSE)</f>
        <v>ESPINOZA MATURANA FABIAN</v>
      </c>
      <c r="C1009" s="91">
        <f>'Informe Kelly'!E1002</f>
        <v>40649</v>
      </c>
      <c r="D1009" s="96">
        <f t="shared" si="30"/>
        <v>522</v>
      </c>
      <c r="E1009" s="85" t="e">
        <f>VLOOKUP(A1009,Ingreso!K:P,6,FALSE)</f>
        <v>#N/A</v>
      </c>
      <c r="F1009" s="85">
        <f>IF('Informe Kelly'!H1002=$A$2,'Informe Kelly'!F1002,"")</f>
        <v>0.35575231481481479</v>
      </c>
      <c r="G1009" s="85" t="str">
        <f>IF('Informe Kelly'!H1002=$A$3,'Informe Kelly'!F1002,"")</f>
        <v/>
      </c>
      <c r="H1009" s="85" t="e">
        <f>IF(C1009=C1007,0,IF(D1009=D1008,0,(HLOOKUP(C1009,Ingreso!$AN$10:$AU$260,VLOOKUP(A1009,Ingreso!$AL$11:$AM$260,2,FALSE)))/24))</f>
        <v>#N/A</v>
      </c>
      <c r="I1009" s="77" t="e">
        <f t="shared" si="31"/>
        <v>#N/A</v>
      </c>
    </row>
    <row r="1010" spans="1:9">
      <c r="A1010" s="85" t="str">
        <f>VLOOKUP('Informe Kelly'!A1003,Base!A:B,2,FALSE)</f>
        <v>16.413.939-5</v>
      </c>
      <c r="B1010" s="85" t="str">
        <f>VLOOKUP('Informe Kelly'!A1003,Base!A:G,7,FALSE)</f>
        <v>ESPINOZA MATURANA FABIAN</v>
      </c>
      <c r="C1010" s="91">
        <f>'Informe Kelly'!E1003</f>
        <v>40649</v>
      </c>
      <c r="D1010" s="96">
        <f t="shared" si="30"/>
        <v>522</v>
      </c>
      <c r="E1010" s="85" t="e">
        <f>VLOOKUP(A1010,Ingreso!K:P,6,FALSE)</f>
        <v>#N/A</v>
      </c>
      <c r="F1010" s="85" t="str">
        <f>IF('Informe Kelly'!H1003=$A$2,'Informe Kelly'!F1003,"")</f>
        <v/>
      </c>
      <c r="G1010" s="85">
        <f>IF('Informe Kelly'!H1003=$A$3,'Informe Kelly'!F1003,"")</f>
        <v>0.64021990740740742</v>
      </c>
      <c r="H1010" s="85">
        <f>IF(C1010=C1008,0,IF(D1010=D1009,0,(HLOOKUP(C1010,Ingreso!$AN$10:$AU$260,VLOOKUP(A1010,Ingreso!$AL$11:$AM$260,2,FALSE)))/24))</f>
        <v>0</v>
      </c>
      <c r="I1010" s="77">
        <f t="shared" si="31"/>
        <v>0</v>
      </c>
    </row>
    <row r="1011" spans="1:9">
      <c r="A1011" s="85" t="str">
        <f>VLOOKUP('Informe Kelly'!A1004,Base!A:B,2,FALSE)</f>
        <v>16.441.340-3</v>
      </c>
      <c r="B1011" s="85" t="str">
        <f>VLOOKUP('Informe Kelly'!A1004,Base!A:G,7,FALSE)</f>
        <v>ORMAZABAL CACERES LUIS HERNAN</v>
      </c>
      <c r="C1011" s="91">
        <f>'Informe Kelly'!E1004</f>
        <v>40644</v>
      </c>
      <c r="D1011" s="96">
        <f t="shared" si="30"/>
        <v>523</v>
      </c>
      <c r="E1011" s="85" t="str">
        <f>VLOOKUP(A1011,Ingreso!K:P,6,FALSE)</f>
        <v>Turno A</v>
      </c>
      <c r="F1011" s="85">
        <f>IF('Informe Kelly'!H1004=$A$2,'Informe Kelly'!F1004,"")</f>
        <v>0.31903935185185184</v>
      </c>
      <c r="G1011" s="85" t="str">
        <f>IF('Informe Kelly'!H1004=$A$3,'Informe Kelly'!F1004,"")</f>
        <v/>
      </c>
      <c r="H1011" s="85">
        <f>IF(C1011=C1009,0,IF(D1011=D1010,0,(HLOOKUP(C1011,Ingreso!$AN$10:$AU$260,VLOOKUP(A1011,Ingreso!$AL$11:$AM$260,2,FALSE)))/24))</f>
        <v>0</v>
      </c>
      <c r="I1011" s="77">
        <f t="shared" si="31"/>
        <v>0.3125</v>
      </c>
    </row>
    <row r="1012" spans="1:9">
      <c r="A1012" s="85" t="str">
        <f>VLOOKUP('Informe Kelly'!A1005,Base!A:B,2,FALSE)</f>
        <v>16.441.340-3</v>
      </c>
      <c r="B1012" s="85" t="str">
        <f>VLOOKUP('Informe Kelly'!A1005,Base!A:G,7,FALSE)</f>
        <v>ORMAZABAL CACERES LUIS HERNAN</v>
      </c>
      <c r="C1012" s="91">
        <f>'Informe Kelly'!E1005</f>
        <v>40644</v>
      </c>
      <c r="D1012" s="96">
        <f t="shared" si="30"/>
        <v>523</v>
      </c>
      <c r="E1012" s="85" t="str">
        <f>VLOOKUP(A1012,Ingreso!K:P,6,FALSE)</f>
        <v>Turno A</v>
      </c>
      <c r="F1012" s="85" t="str">
        <f>IF('Informe Kelly'!H1005=$A$2,'Informe Kelly'!F1005,"")</f>
        <v/>
      </c>
      <c r="G1012" s="85">
        <f>IF('Informe Kelly'!H1005=$A$3,'Informe Kelly'!F1005,"")</f>
        <v>0.62644675925925919</v>
      </c>
      <c r="H1012" s="85">
        <f>IF(C1012=C1010,0,IF(D1012=D1011,0,(HLOOKUP(C1012,Ingreso!$AN$10:$AU$260,VLOOKUP(A1012,Ingreso!$AL$11:$AM$260,2,FALSE)))/24))</f>
        <v>0</v>
      </c>
      <c r="I1012" s="77">
        <f t="shared" si="31"/>
        <v>0</v>
      </c>
    </row>
    <row r="1013" spans="1:9">
      <c r="A1013" s="85" t="str">
        <f>VLOOKUP('Informe Kelly'!A1006,Base!A:B,2,FALSE)</f>
        <v>16.441.340-3</v>
      </c>
      <c r="B1013" s="85" t="str">
        <f>VLOOKUP('Informe Kelly'!A1006,Base!A:G,7,FALSE)</f>
        <v>ORMAZABAL CACERES LUIS HERNAN</v>
      </c>
      <c r="C1013" s="91">
        <f>'Informe Kelly'!E1006</f>
        <v>40645</v>
      </c>
      <c r="D1013" s="96">
        <f t="shared" si="30"/>
        <v>524</v>
      </c>
      <c r="E1013" s="85" t="str">
        <f>VLOOKUP(A1013,Ingreso!K:P,6,FALSE)</f>
        <v>Turno A</v>
      </c>
      <c r="F1013" s="85">
        <f>IF('Informe Kelly'!H1006=$A$2,'Informe Kelly'!F1006,"")</f>
        <v>0.30959490740740742</v>
      </c>
      <c r="G1013" s="85" t="str">
        <f>IF('Informe Kelly'!H1006=$A$3,'Informe Kelly'!F1006,"")</f>
        <v/>
      </c>
      <c r="H1013" s="85">
        <f>IF(C1013=C1011,0,IF(D1013=D1012,0,(HLOOKUP(C1013,Ingreso!$AN$10:$AU$260,VLOOKUP(A1013,Ingreso!$AL$11:$AM$260,2,FALSE)))/24))</f>
        <v>0</v>
      </c>
      <c r="I1013" s="77">
        <f t="shared" si="31"/>
        <v>0.3125</v>
      </c>
    </row>
    <row r="1014" spans="1:9">
      <c r="A1014" s="85" t="str">
        <f>VLOOKUP('Informe Kelly'!A1007,Base!A:B,2,FALSE)</f>
        <v>16.441.340-3</v>
      </c>
      <c r="B1014" s="85" t="str">
        <f>VLOOKUP('Informe Kelly'!A1007,Base!A:G,7,FALSE)</f>
        <v>ORMAZABAL CACERES LUIS HERNAN</v>
      </c>
      <c r="C1014" s="91">
        <f>'Informe Kelly'!E1007</f>
        <v>40645</v>
      </c>
      <c r="D1014" s="96">
        <f t="shared" si="30"/>
        <v>524</v>
      </c>
      <c r="E1014" s="85" t="str">
        <f>VLOOKUP(A1014,Ingreso!K:P,6,FALSE)</f>
        <v>Turno A</v>
      </c>
      <c r="F1014" s="85" t="str">
        <f>IF('Informe Kelly'!H1007=$A$2,'Informe Kelly'!F1007,"")</f>
        <v/>
      </c>
      <c r="G1014" s="85">
        <f>IF('Informe Kelly'!H1007=$A$3,'Informe Kelly'!F1007,"")</f>
        <v>0.62511574074074072</v>
      </c>
      <c r="H1014" s="85">
        <f>IF(C1014=C1012,0,IF(D1014=D1013,0,(HLOOKUP(C1014,Ingreso!$AN$10:$AU$260,VLOOKUP(A1014,Ingreso!$AL$11:$AM$260,2,FALSE)))/24))</f>
        <v>0</v>
      </c>
      <c r="I1014" s="77">
        <f t="shared" si="31"/>
        <v>0</v>
      </c>
    </row>
    <row r="1015" spans="1:9">
      <c r="A1015" s="85" t="str">
        <f>VLOOKUP('Informe Kelly'!A1008,Base!A:B,2,FALSE)</f>
        <v>16.441.340-3</v>
      </c>
      <c r="B1015" s="85" t="str">
        <f>VLOOKUP('Informe Kelly'!A1008,Base!A:G,7,FALSE)</f>
        <v>ORMAZABAL CACERES LUIS HERNAN</v>
      </c>
      <c r="C1015" s="91">
        <f>'Informe Kelly'!E1008</f>
        <v>40646</v>
      </c>
      <c r="D1015" s="96">
        <f t="shared" si="30"/>
        <v>525</v>
      </c>
      <c r="E1015" s="85" t="str">
        <f>VLOOKUP(A1015,Ingreso!K:P,6,FALSE)</f>
        <v>Turno A</v>
      </c>
      <c r="F1015" s="85">
        <f>IF('Informe Kelly'!H1008=$A$2,'Informe Kelly'!F1008,"")</f>
        <v>0.31618055555555552</v>
      </c>
      <c r="G1015" s="85" t="str">
        <f>IF('Informe Kelly'!H1008=$A$3,'Informe Kelly'!F1008,"")</f>
        <v/>
      </c>
      <c r="H1015" s="85">
        <f>IF(C1015=C1013,0,IF(D1015=D1014,0,(HLOOKUP(C1015,Ingreso!$AN$10:$AU$260,VLOOKUP(A1015,Ingreso!$AL$11:$AM$260,2,FALSE)))/24))</f>
        <v>0</v>
      </c>
      <c r="I1015" s="77">
        <f t="shared" si="31"/>
        <v>0.3125</v>
      </c>
    </row>
    <row r="1016" spans="1:9">
      <c r="A1016" s="85" t="str">
        <f>VLOOKUP('Informe Kelly'!A1009,Base!A:B,2,FALSE)</f>
        <v>16.441.340-3</v>
      </c>
      <c r="B1016" s="85" t="str">
        <f>VLOOKUP('Informe Kelly'!A1009,Base!A:G,7,FALSE)</f>
        <v>ORMAZABAL CACERES LUIS HERNAN</v>
      </c>
      <c r="C1016" s="91">
        <f>'Informe Kelly'!E1009</f>
        <v>40646</v>
      </c>
      <c r="D1016" s="96">
        <f t="shared" si="30"/>
        <v>525</v>
      </c>
      <c r="E1016" s="85" t="str">
        <f>VLOOKUP(A1016,Ingreso!K:P,6,FALSE)</f>
        <v>Turno A</v>
      </c>
      <c r="F1016" s="85" t="str">
        <f>IF('Informe Kelly'!H1009=$A$2,'Informe Kelly'!F1009,"")</f>
        <v/>
      </c>
      <c r="G1016" s="85">
        <f>IF('Informe Kelly'!H1009=$A$3,'Informe Kelly'!F1009,"")</f>
        <v>0.63962962962962966</v>
      </c>
      <c r="H1016" s="85">
        <f>IF(C1016=C1014,0,IF(D1016=D1015,0,(HLOOKUP(C1016,Ingreso!$AN$10:$AU$260,VLOOKUP(A1016,Ingreso!$AL$11:$AM$260,2,FALSE)))/24))</f>
        <v>0</v>
      </c>
      <c r="I1016" s="77">
        <f t="shared" si="31"/>
        <v>0</v>
      </c>
    </row>
    <row r="1017" spans="1:9">
      <c r="A1017" s="85" t="str">
        <f>VLOOKUP('Informe Kelly'!A1010,Base!A:B,2,FALSE)</f>
        <v>16.441.340-3</v>
      </c>
      <c r="B1017" s="85" t="str">
        <f>VLOOKUP('Informe Kelly'!A1010,Base!A:G,7,FALSE)</f>
        <v>ORMAZABAL CACERES LUIS HERNAN</v>
      </c>
      <c r="C1017" s="91">
        <f>'Informe Kelly'!E1010</f>
        <v>40647</v>
      </c>
      <c r="D1017" s="96">
        <f t="shared" si="30"/>
        <v>526</v>
      </c>
      <c r="E1017" s="85" t="str">
        <f>VLOOKUP(A1017,Ingreso!K:P,6,FALSE)</f>
        <v>Turno A</v>
      </c>
      <c r="F1017" s="85">
        <f>IF('Informe Kelly'!H1010=$A$2,'Informe Kelly'!F1010,"")</f>
        <v>0.31724537037037037</v>
      </c>
      <c r="G1017" s="85" t="str">
        <f>IF('Informe Kelly'!H1010=$A$3,'Informe Kelly'!F1010,"")</f>
        <v/>
      </c>
      <c r="H1017" s="85">
        <f>IF(C1017=C1015,0,IF(D1017=D1016,0,(HLOOKUP(C1017,Ingreso!$AN$10:$AU$260,VLOOKUP(A1017,Ingreso!$AL$11:$AM$260,2,FALSE)))/24))</f>
        <v>0</v>
      </c>
      <c r="I1017" s="77">
        <f t="shared" si="31"/>
        <v>0.3125</v>
      </c>
    </row>
    <row r="1018" spans="1:9">
      <c r="A1018" s="85" t="str">
        <f>VLOOKUP('Informe Kelly'!A1011,Base!A:B,2,FALSE)</f>
        <v>16.441.340-3</v>
      </c>
      <c r="B1018" s="85" t="str">
        <f>VLOOKUP('Informe Kelly'!A1011,Base!A:G,7,FALSE)</f>
        <v>ORMAZABAL CACERES LUIS HERNAN</v>
      </c>
      <c r="C1018" s="91">
        <f>'Informe Kelly'!E1011</f>
        <v>40647</v>
      </c>
      <c r="D1018" s="96">
        <f t="shared" si="30"/>
        <v>526</v>
      </c>
      <c r="E1018" s="85" t="str">
        <f>VLOOKUP(A1018,Ingreso!K:P,6,FALSE)</f>
        <v>Turno A</v>
      </c>
      <c r="F1018" s="85" t="str">
        <f>IF('Informe Kelly'!H1011=$A$2,'Informe Kelly'!F1011,"")</f>
        <v/>
      </c>
      <c r="G1018" s="85">
        <f>IF('Informe Kelly'!H1011=$A$3,'Informe Kelly'!F1011,"")</f>
        <v>0.62822916666666673</v>
      </c>
      <c r="H1018" s="85">
        <f>IF(C1018=C1016,0,IF(D1018=D1017,0,(HLOOKUP(C1018,Ingreso!$AN$10:$AU$260,VLOOKUP(A1018,Ingreso!$AL$11:$AM$260,2,FALSE)))/24))</f>
        <v>0</v>
      </c>
      <c r="I1018" s="77">
        <f t="shared" si="31"/>
        <v>0</v>
      </c>
    </row>
    <row r="1019" spans="1:9">
      <c r="A1019" s="85" t="str">
        <f>VLOOKUP('Informe Kelly'!A1012,Base!A:B,2,FALSE)</f>
        <v>16.441.340-3</v>
      </c>
      <c r="B1019" s="85" t="str">
        <f>VLOOKUP('Informe Kelly'!A1012,Base!A:G,7,FALSE)</f>
        <v>ORMAZABAL CACERES LUIS HERNAN</v>
      </c>
      <c r="C1019" s="91">
        <f>'Informe Kelly'!E1012</f>
        <v>40648</v>
      </c>
      <c r="D1019" s="96">
        <f t="shared" si="30"/>
        <v>527</v>
      </c>
      <c r="E1019" s="85" t="str">
        <f>VLOOKUP(A1019,Ingreso!K:P,6,FALSE)</f>
        <v>Turno A</v>
      </c>
      <c r="F1019" s="85" t="str">
        <f>IF('Informe Kelly'!H1012=$A$2,'Informe Kelly'!F1012,"")</f>
        <v/>
      </c>
      <c r="G1019" s="85">
        <f>IF('Informe Kelly'!H1012=$A$3,'Informe Kelly'!F1012,"")</f>
        <v>0.62652777777777779</v>
      </c>
      <c r="H1019" s="85">
        <f>IF(C1019=C1017,0,IF(D1019=D1018,0,(HLOOKUP(C1019,Ingreso!$AN$10:$AU$260,VLOOKUP(A1019,Ingreso!$AL$11:$AM$260,2,FALSE)))/24))</f>
        <v>0</v>
      </c>
      <c r="I1019" s="77">
        <f t="shared" si="31"/>
        <v>0.3125</v>
      </c>
    </row>
    <row r="1020" spans="1:9">
      <c r="A1020" s="85" t="str">
        <f>VLOOKUP('Informe Kelly'!A1013,Base!A:B,2,FALSE)</f>
        <v>16.441.340-3</v>
      </c>
      <c r="B1020" s="85" t="str">
        <f>VLOOKUP('Informe Kelly'!A1013,Base!A:G,7,FALSE)</f>
        <v>ORMAZABAL CACERES LUIS HERNAN</v>
      </c>
      <c r="C1020" s="91">
        <f>'Informe Kelly'!E1013</f>
        <v>40648</v>
      </c>
      <c r="D1020" s="96">
        <f t="shared" si="30"/>
        <v>527</v>
      </c>
      <c r="E1020" s="85" t="str">
        <f>VLOOKUP(A1020,Ingreso!K:P,6,FALSE)</f>
        <v>Turno A</v>
      </c>
      <c r="F1020" s="85">
        <f>IF('Informe Kelly'!H1013=$A$2,'Informe Kelly'!F1013,"")</f>
        <v>0.31767361111111109</v>
      </c>
      <c r="G1020" s="85" t="str">
        <f>IF('Informe Kelly'!H1013=$A$3,'Informe Kelly'!F1013,"")</f>
        <v/>
      </c>
      <c r="H1020" s="85">
        <f>IF(C1020=C1018,0,IF(D1020=D1019,0,(HLOOKUP(C1020,Ingreso!$AN$10:$AU$260,VLOOKUP(A1020,Ingreso!$AL$11:$AM$260,2,FALSE)))/24))</f>
        <v>0</v>
      </c>
      <c r="I1020" s="77">
        <f t="shared" si="31"/>
        <v>0</v>
      </c>
    </row>
    <row r="1021" spans="1:9">
      <c r="A1021" s="85" t="str">
        <f>VLOOKUP('Informe Kelly'!A1014,Base!A:B,2,FALSE)</f>
        <v>16.441.340-3</v>
      </c>
      <c r="B1021" s="85" t="str">
        <f>VLOOKUP('Informe Kelly'!A1014,Base!A:G,7,FALSE)</f>
        <v>ORMAZABAL CACERES LUIS HERNAN</v>
      </c>
      <c r="C1021" s="91">
        <f>'Informe Kelly'!E1014</f>
        <v>40649</v>
      </c>
      <c r="D1021" s="96">
        <f t="shared" si="30"/>
        <v>528</v>
      </c>
      <c r="E1021" s="85" t="str">
        <f>VLOOKUP(A1021,Ingreso!K:P,6,FALSE)</f>
        <v>Turno A</v>
      </c>
      <c r="F1021" s="85">
        <f>IF('Informe Kelly'!H1014=$A$2,'Informe Kelly'!F1014,"")</f>
        <v>0.31440972222222224</v>
      </c>
      <c r="G1021" s="85" t="str">
        <f>IF('Informe Kelly'!H1014=$A$3,'Informe Kelly'!F1014,"")</f>
        <v/>
      </c>
      <c r="H1021" s="85">
        <f>IF(C1021=C1019,0,IF(D1021=D1020,0,(HLOOKUP(C1021,Ingreso!$AN$10:$AU$260,VLOOKUP(A1021,Ingreso!$AL$11:$AM$260,2,FALSE)))/24))</f>
        <v>0</v>
      </c>
      <c r="I1021" s="77">
        <f t="shared" si="31"/>
        <v>0.3125</v>
      </c>
    </row>
    <row r="1022" spans="1:9">
      <c r="A1022" s="85" t="str">
        <f>VLOOKUP('Informe Kelly'!A1015,Base!A:B,2,FALSE)</f>
        <v>16.441.340-3</v>
      </c>
      <c r="B1022" s="85" t="str">
        <f>VLOOKUP('Informe Kelly'!A1015,Base!A:G,7,FALSE)</f>
        <v>ORMAZABAL CACERES LUIS HERNAN</v>
      </c>
      <c r="C1022" s="91">
        <f>'Informe Kelly'!E1015</f>
        <v>40649</v>
      </c>
      <c r="D1022" s="96">
        <f t="shared" si="30"/>
        <v>528</v>
      </c>
      <c r="E1022" s="85" t="str">
        <f>VLOOKUP(A1022,Ingreso!K:P,6,FALSE)</f>
        <v>Turno A</v>
      </c>
      <c r="F1022" s="85" t="str">
        <f>IF('Informe Kelly'!H1015=$A$2,'Informe Kelly'!F1015,"")</f>
        <v/>
      </c>
      <c r="G1022" s="85">
        <f>IF('Informe Kelly'!H1015=$A$3,'Informe Kelly'!F1015,"")</f>
        <v>0.62703703703703706</v>
      </c>
      <c r="H1022" s="85">
        <f>IF(C1022=C1020,0,IF(D1022=D1021,0,(HLOOKUP(C1022,Ingreso!$AN$10:$AU$260,VLOOKUP(A1022,Ingreso!$AL$11:$AM$260,2,FALSE)))/24))</f>
        <v>0</v>
      </c>
      <c r="I1022" s="77">
        <f t="shared" si="31"/>
        <v>0</v>
      </c>
    </row>
    <row r="1023" spans="1:9">
      <c r="A1023" s="85" t="str">
        <f>VLOOKUP('Informe Kelly'!A1016,Base!A:B,2,FALSE)</f>
        <v>16.649.200-9</v>
      </c>
      <c r="B1023" s="85" t="str">
        <f>VLOOKUP('Informe Kelly'!A1016,Base!A:G,7,FALSE)</f>
        <v>MARTINEZ RIVERA VICTOR ALFONSO</v>
      </c>
      <c r="C1023" s="91">
        <f>'Informe Kelly'!E1016</f>
        <v>40644</v>
      </c>
      <c r="D1023" s="96">
        <f t="shared" si="30"/>
        <v>529</v>
      </c>
      <c r="E1023" s="85" t="e">
        <f>VLOOKUP(A1023,Ingreso!K:P,6,FALSE)</f>
        <v>#N/A</v>
      </c>
      <c r="F1023" s="85">
        <f>IF('Informe Kelly'!H1016=$A$2,'Informe Kelly'!F1016,"")</f>
        <v>0.29599537037037038</v>
      </c>
      <c r="G1023" s="85" t="str">
        <f>IF('Informe Kelly'!H1016=$A$3,'Informe Kelly'!F1016,"")</f>
        <v/>
      </c>
      <c r="H1023" s="85" t="e">
        <f>IF(C1023=C1021,0,IF(D1023=D1022,0,(HLOOKUP(C1023,Ingreso!$AN$10:$AU$260,VLOOKUP(A1023,Ingreso!$AL$11:$AM$260,2,FALSE)))/24))</f>
        <v>#N/A</v>
      </c>
      <c r="I1023" s="77" t="e">
        <f t="shared" si="31"/>
        <v>#N/A</v>
      </c>
    </row>
    <row r="1024" spans="1:9">
      <c r="A1024" s="85" t="str">
        <f>VLOOKUP('Informe Kelly'!A1017,Base!A:B,2,FALSE)</f>
        <v>16.649.200-9</v>
      </c>
      <c r="B1024" s="85" t="str">
        <f>VLOOKUP('Informe Kelly'!A1017,Base!A:G,7,FALSE)</f>
        <v>MARTINEZ RIVERA VICTOR ALFONSO</v>
      </c>
      <c r="C1024" s="91">
        <f>'Informe Kelly'!E1017</f>
        <v>40644</v>
      </c>
      <c r="D1024" s="96">
        <f t="shared" si="30"/>
        <v>529</v>
      </c>
      <c r="E1024" s="85" t="e">
        <f>VLOOKUP(A1024,Ingreso!K:P,6,FALSE)</f>
        <v>#N/A</v>
      </c>
      <c r="F1024" s="85" t="str">
        <f>IF('Informe Kelly'!H1017=$A$2,'Informe Kelly'!F1017,"")</f>
        <v/>
      </c>
      <c r="G1024" s="85">
        <f>IF('Informe Kelly'!H1017=$A$3,'Informe Kelly'!F1017,"")</f>
        <v>0.63539351851851855</v>
      </c>
      <c r="H1024" s="85">
        <f>IF(C1024=C1022,0,IF(D1024=D1023,0,(HLOOKUP(C1024,Ingreso!$AN$10:$AU$260,VLOOKUP(A1024,Ingreso!$AL$11:$AM$260,2,FALSE)))/24))</f>
        <v>0</v>
      </c>
      <c r="I1024" s="77">
        <f t="shared" si="31"/>
        <v>0</v>
      </c>
    </row>
    <row r="1025" spans="1:9">
      <c r="A1025" s="85" t="str">
        <f>VLOOKUP('Informe Kelly'!A1018,Base!A:B,2,FALSE)</f>
        <v>16.649.200-9</v>
      </c>
      <c r="B1025" s="85" t="str">
        <f>VLOOKUP('Informe Kelly'!A1018,Base!A:G,7,FALSE)</f>
        <v>MARTINEZ RIVERA VICTOR ALFONSO</v>
      </c>
      <c r="C1025" s="91">
        <f>'Informe Kelly'!E1018</f>
        <v>40645</v>
      </c>
      <c r="D1025" s="96">
        <f t="shared" si="30"/>
        <v>530</v>
      </c>
      <c r="E1025" s="85" t="e">
        <f>VLOOKUP(A1025,Ingreso!K:P,6,FALSE)</f>
        <v>#N/A</v>
      </c>
      <c r="F1025" s="85">
        <f>IF('Informe Kelly'!H1018=$A$2,'Informe Kelly'!F1018,"")</f>
        <v>0.3082523148148148</v>
      </c>
      <c r="G1025" s="85" t="str">
        <f>IF('Informe Kelly'!H1018=$A$3,'Informe Kelly'!F1018,"")</f>
        <v/>
      </c>
      <c r="H1025" s="85" t="e">
        <f>IF(C1025=C1023,0,IF(D1025=D1024,0,(HLOOKUP(C1025,Ingreso!$AN$10:$AU$260,VLOOKUP(A1025,Ingreso!$AL$11:$AM$260,2,FALSE)))/24))</f>
        <v>#N/A</v>
      </c>
      <c r="I1025" s="77" t="e">
        <f t="shared" si="31"/>
        <v>#N/A</v>
      </c>
    </row>
    <row r="1026" spans="1:9">
      <c r="A1026" s="85" t="str">
        <f>VLOOKUP('Informe Kelly'!A1019,Base!A:B,2,FALSE)</f>
        <v>16.649.200-9</v>
      </c>
      <c r="B1026" s="85" t="str">
        <f>VLOOKUP('Informe Kelly'!A1019,Base!A:G,7,FALSE)</f>
        <v>MARTINEZ RIVERA VICTOR ALFONSO</v>
      </c>
      <c r="C1026" s="91">
        <f>'Informe Kelly'!E1019</f>
        <v>40645</v>
      </c>
      <c r="D1026" s="96">
        <f t="shared" si="30"/>
        <v>530</v>
      </c>
      <c r="E1026" s="85" t="e">
        <f>VLOOKUP(A1026,Ingreso!K:P,6,FALSE)</f>
        <v>#N/A</v>
      </c>
      <c r="F1026" s="85" t="str">
        <f>IF('Informe Kelly'!H1019=$A$2,'Informe Kelly'!F1019,"")</f>
        <v/>
      </c>
      <c r="G1026" s="85">
        <f>IF('Informe Kelly'!H1019=$A$3,'Informe Kelly'!F1019,"")</f>
        <v>0.63694444444444442</v>
      </c>
      <c r="H1026" s="85">
        <f>IF(C1026=C1024,0,IF(D1026=D1025,0,(HLOOKUP(C1026,Ingreso!$AN$10:$AU$260,VLOOKUP(A1026,Ingreso!$AL$11:$AM$260,2,FALSE)))/24))</f>
        <v>0</v>
      </c>
      <c r="I1026" s="77">
        <f t="shared" si="31"/>
        <v>0</v>
      </c>
    </row>
    <row r="1027" spans="1:9">
      <c r="A1027" s="85" t="str">
        <f>VLOOKUP('Informe Kelly'!A1020,Base!A:B,2,FALSE)</f>
        <v>16.649.200-9</v>
      </c>
      <c r="B1027" s="85" t="str">
        <f>VLOOKUP('Informe Kelly'!A1020,Base!A:G,7,FALSE)</f>
        <v>MARTINEZ RIVERA VICTOR ALFONSO</v>
      </c>
      <c r="C1027" s="91">
        <f>'Informe Kelly'!E1020</f>
        <v>40646</v>
      </c>
      <c r="D1027" s="96">
        <f t="shared" si="30"/>
        <v>531</v>
      </c>
      <c r="E1027" s="85" t="e">
        <f>VLOOKUP(A1027,Ingreso!K:P,6,FALSE)</f>
        <v>#N/A</v>
      </c>
      <c r="F1027" s="85">
        <f>IF('Informe Kelly'!H1020=$A$2,'Informe Kelly'!F1020,"")</f>
        <v>0.29530092592592594</v>
      </c>
      <c r="G1027" s="85" t="str">
        <f>IF('Informe Kelly'!H1020=$A$3,'Informe Kelly'!F1020,"")</f>
        <v/>
      </c>
      <c r="H1027" s="85" t="e">
        <f>IF(C1027=C1025,0,IF(D1027=D1026,0,(HLOOKUP(C1027,Ingreso!$AN$10:$AU$260,VLOOKUP(A1027,Ingreso!$AL$11:$AM$260,2,FALSE)))/24))</f>
        <v>#N/A</v>
      </c>
      <c r="I1027" s="77" t="e">
        <f t="shared" si="31"/>
        <v>#N/A</v>
      </c>
    </row>
    <row r="1028" spans="1:9">
      <c r="A1028" s="85" t="str">
        <f>VLOOKUP('Informe Kelly'!A1021,Base!A:B,2,FALSE)</f>
        <v>16.649.200-9</v>
      </c>
      <c r="B1028" s="85" t="str">
        <f>VLOOKUP('Informe Kelly'!A1021,Base!A:G,7,FALSE)</f>
        <v>MARTINEZ RIVERA VICTOR ALFONSO</v>
      </c>
      <c r="C1028" s="91">
        <f>'Informe Kelly'!E1021</f>
        <v>40646</v>
      </c>
      <c r="D1028" s="96">
        <f t="shared" si="30"/>
        <v>531</v>
      </c>
      <c r="E1028" s="85" t="e">
        <f>VLOOKUP(A1028,Ingreso!K:P,6,FALSE)</f>
        <v>#N/A</v>
      </c>
      <c r="F1028" s="85" t="str">
        <f>IF('Informe Kelly'!H1021=$A$2,'Informe Kelly'!F1021,"")</f>
        <v/>
      </c>
      <c r="G1028" s="85">
        <f>IF('Informe Kelly'!H1021=$A$3,'Informe Kelly'!F1021,"")</f>
        <v>0.63708333333333333</v>
      </c>
      <c r="H1028" s="85">
        <f>IF(C1028=C1026,0,IF(D1028=D1027,0,(HLOOKUP(C1028,Ingreso!$AN$10:$AU$260,VLOOKUP(A1028,Ingreso!$AL$11:$AM$260,2,FALSE)))/24))</f>
        <v>0</v>
      </c>
      <c r="I1028" s="77">
        <f t="shared" si="31"/>
        <v>0</v>
      </c>
    </row>
    <row r="1029" spans="1:9">
      <c r="A1029" s="85" t="str">
        <f>VLOOKUP('Informe Kelly'!A1022,Base!A:B,2,FALSE)</f>
        <v>16.649.200-9</v>
      </c>
      <c r="B1029" s="85" t="str">
        <f>VLOOKUP('Informe Kelly'!A1022,Base!A:G,7,FALSE)</f>
        <v>MARTINEZ RIVERA VICTOR ALFONSO</v>
      </c>
      <c r="C1029" s="91">
        <f>'Informe Kelly'!E1022</f>
        <v>40647</v>
      </c>
      <c r="D1029" s="96">
        <f t="shared" si="30"/>
        <v>532</v>
      </c>
      <c r="E1029" s="85" t="e">
        <f>VLOOKUP(A1029,Ingreso!K:P,6,FALSE)</f>
        <v>#N/A</v>
      </c>
      <c r="F1029" s="85" t="str">
        <f>IF('Informe Kelly'!H1022=$A$2,'Informe Kelly'!F1022,"")</f>
        <v/>
      </c>
      <c r="G1029" s="85">
        <f>IF('Informe Kelly'!H1022=$A$3,'Informe Kelly'!F1022,"")</f>
        <v>0.63574074074074072</v>
      </c>
      <c r="H1029" s="85" t="e">
        <f>IF(C1029=C1027,0,IF(D1029=D1028,0,(HLOOKUP(C1029,Ingreso!$AN$10:$AU$260,VLOOKUP(A1029,Ingreso!$AL$11:$AM$260,2,FALSE)))/24))</f>
        <v>#N/A</v>
      </c>
      <c r="I1029" s="77" t="e">
        <f t="shared" si="31"/>
        <v>#N/A</v>
      </c>
    </row>
    <row r="1030" spans="1:9">
      <c r="A1030" s="85" t="str">
        <f>VLOOKUP('Informe Kelly'!A1023,Base!A:B,2,FALSE)</f>
        <v>16.649.200-9</v>
      </c>
      <c r="B1030" s="85" t="str">
        <f>VLOOKUP('Informe Kelly'!A1023,Base!A:G,7,FALSE)</f>
        <v>MARTINEZ RIVERA VICTOR ALFONSO</v>
      </c>
      <c r="C1030" s="91">
        <f>'Informe Kelly'!E1023</f>
        <v>40647</v>
      </c>
      <c r="D1030" s="96">
        <f t="shared" si="30"/>
        <v>532</v>
      </c>
      <c r="E1030" s="85" t="e">
        <f>VLOOKUP(A1030,Ingreso!K:P,6,FALSE)</f>
        <v>#N/A</v>
      </c>
      <c r="F1030" s="85">
        <f>IF('Informe Kelly'!H1023=$A$2,'Informe Kelly'!F1023,"")</f>
        <v>0.29317129629629629</v>
      </c>
      <c r="G1030" s="85" t="str">
        <f>IF('Informe Kelly'!H1023=$A$3,'Informe Kelly'!F1023,"")</f>
        <v/>
      </c>
      <c r="H1030" s="85">
        <f>IF(C1030=C1028,0,IF(D1030=D1029,0,(HLOOKUP(C1030,Ingreso!$AN$10:$AU$260,VLOOKUP(A1030,Ingreso!$AL$11:$AM$260,2,FALSE)))/24))</f>
        <v>0</v>
      </c>
      <c r="I1030" s="77">
        <f t="shared" si="31"/>
        <v>0</v>
      </c>
    </row>
    <row r="1031" spans="1:9">
      <c r="A1031" s="85" t="str">
        <f>VLOOKUP('Informe Kelly'!A1024,Base!A:B,2,FALSE)</f>
        <v>16.649.200-9</v>
      </c>
      <c r="B1031" s="85" t="str">
        <f>VLOOKUP('Informe Kelly'!A1024,Base!A:G,7,FALSE)</f>
        <v>MARTINEZ RIVERA VICTOR ALFONSO</v>
      </c>
      <c r="C1031" s="91">
        <f>'Informe Kelly'!E1024</f>
        <v>40648</v>
      </c>
      <c r="D1031" s="96">
        <f t="shared" si="30"/>
        <v>533</v>
      </c>
      <c r="E1031" s="85" t="e">
        <f>VLOOKUP(A1031,Ingreso!K:P,6,FALSE)</f>
        <v>#N/A</v>
      </c>
      <c r="F1031" s="85">
        <f>IF('Informe Kelly'!H1024=$A$2,'Informe Kelly'!F1024,"")</f>
        <v>0.29572916666666665</v>
      </c>
      <c r="G1031" s="85" t="str">
        <f>IF('Informe Kelly'!H1024=$A$3,'Informe Kelly'!F1024,"")</f>
        <v/>
      </c>
      <c r="H1031" s="85" t="e">
        <f>IF(C1031=C1029,0,IF(D1031=D1030,0,(HLOOKUP(C1031,Ingreso!$AN$10:$AU$260,VLOOKUP(A1031,Ingreso!$AL$11:$AM$260,2,FALSE)))/24))</f>
        <v>#N/A</v>
      </c>
      <c r="I1031" s="77" t="e">
        <f t="shared" si="31"/>
        <v>#N/A</v>
      </c>
    </row>
    <row r="1032" spans="1:9">
      <c r="A1032" s="85" t="str">
        <f>VLOOKUP('Informe Kelly'!A1025,Base!A:B,2,FALSE)</f>
        <v>16.649.200-9</v>
      </c>
      <c r="B1032" s="85" t="str">
        <f>VLOOKUP('Informe Kelly'!A1025,Base!A:G,7,FALSE)</f>
        <v>MARTINEZ RIVERA VICTOR ALFONSO</v>
      </c>
      <c r="C1032" s="91">
        <f>'Informe Kelly'!E1025</f>
        <v>40648</v>
      </c>
      <c r="D1032" s="96">
        <f t="shared" si="30"/>
        <v>533</v>
      </c>
      <c r="E1032" s="85" t="e">
        <f>VLOOKUP(A1032,Ingreso!K:P,6,FALSE)</f>
        <v>#N/A</v>
      </c>
      <c r="F1032" s="85" t="str">
        <f>IF('Informe Kelly'!H1025=$A$2,'Informe Kelly'!F1025,"")</f>
        <v/>
      </c>
      <c r="G1032" s="85">
        <f>IF('Informe Kelly'!H1025=$A$3,'Informe Kelly'!F1025,"")</f>
        <v>0.63304398148148155</v>
      </c>
      <c r="H1032" s="85">
        <f>IF(C1032=C1030,0,IF(D1032=D1031,0,(HLOOKUP(C1032,Ingreso!$AN$10:$AU$260,VLOOKUP(A1032,Ingreso!$AL$11:$AM$260,2,FALSE)))/24))</f>
        <v>0</v>
      </c>
      <c r="I1032" s="77">
        <f t="shared" si="31"/>
        <v>0</v>
      </c>
    </row>
    <row r="1033" spans="1:9">
      <c r="A1033" s="85" t="str">
        <f>VLOOKUP('Informe Kelly'!A1026,Base!A:B,2,FALSE)</f>
        <v>16.691.386-1</v>
      </c>
      <c r="B1033" s="85" t="str">
        <f>VLOOKUP('Informe Kelly'!A1026,Base!A:G,7,FALSE)</f>
        <v xml:space="preserve">SANDOVAL ALTAMIRANO LORENZO </v>
      </c>
      <c r="C1033" s="91">
        <f>'Informe Kelly'!E1026</f>
        <v>40644</v>
      </c>
      <c r="D1033" s="96">
        <f t="shared" ref="D1033:D1096" si="32">IF(C1032=C1033,IF(C1033=C1030,D1032,IF(C1033=C1031,D1032+1,D1032)),D1032+1)</f>
        <v>534</v>
      </c>
      <c r="E1033" s="85" t="str">
        <f>VLOOKUP(A1033,Ingreso!K:P,6,FALSE)</f>
        <v>Turno A</v>
      </c>
      <c r="F1033" s="85">
        <f>IF('Informe Kelly'!H1026=$A$2,'Informe Kelly'!F1026,"")</f>
        <v>0.29619212962962965</v>
      </c>
      <c r="G1033" s="85" t="str">
        <f>IF('Informe Kelly'!H1026=$A$3,'Informe Kelly'!F1026,"")</f>
        <v/>
      </c>
      <c r="H1033" s="85">
        <f>IF(C1033=C1031,0,IF(D1033=D1032,0,(HLOOKUP(C1033,Ingreso!$AN$10:$AU$260,VLOOKUP(A1033,Ingreso!$AL$11:$AM$260,2,FALSE)))/24))</f>
        <v>0</v>
      </c>
      <c r="I1033" s="77">
        <f t="shared" si="31"/>
        <v>0.3125</v>
      </c>
    </row>
    <row r="1034" spans="1:9">
      <c r="A1034" s="85" t="str">
        <f>VLOOKUP('Informe Kelly'!A1027,Base!A:B,2,FALSE)</f>
        <v>16.691.386-1</v>
      </c>
      <c r="B1034" s="85" t="str">
        <f>VLOOKUP('Informe Kelly'!A1027,Base!A:G,7,FALSE)</f>
        <v xml:space="preserve">SANDOVAL ALTAMIRANO LORENZO </v>
      </c>
      <c r="C1034" s="91">
        <f>'Informe Kelly'!E1027</f>
        <v>40644</v>
      </c>
      <c r="D1034" s="96">
        <f t="shared" si="32"/>
        <v>534</v>
      </c>
      <c r="E1034" s="85" t="str">
        <f>VLOOKUP(A1034,Ingreso!K:P,6,FALSE)</f>
        <v>Turno A</v>
      </c>
      <c r="F1034" s="85" t="str">
        <f>IF('Informe Kelly'!H1027=$A$2,'Informe Kelly'!F1027,"")</f>
        <v/>
      </c>
      <c r="G1034" s="85">
        <f>IF('Informe Kelly'!H1027=$A$3,'Informe Kelly'!F1027,"")</f>
        <v>0.63236111111111104</v>
      </c>
      <c r="H1034" s="85">
        <f>IF(C1034=C1032,0,IF(D1034=D1033,0,(HLOOKUP(C1034,Ingreso!$AN$10:$AU$260,VLOOKUP(A1034,Ingreso!$AL$11:$AM$260,2,FALSE)))/24))</f>
        <v>0</v>
      </c>
      <c r="I1034" s="77">
        <f t="shared" ref="I1034:I1097" si="33">IF(C1034=C1032,0,IF(D1034=D1033,0,(VLOOKUP(E1034,$C$2:$D$5,2,FALSE))))</f>
        <v>0</v>
      </c>
    </row>
    <row r="1035" spans="1:9">
      <c r="A1035" s="85" t="str">
        <f>VLOOKUP('Informe Kelly'!A1028,Base!A:B,2,FALSE)</f>
        <v>16.691.386-1</v>
      </c>
      <c r="B1035" s="85" t="str">
        <f>VLOOKUP('Informe Kelly'!A1028,Base!A:G,7,FALSE)</f>
        <v xml:space="preserve">SANDOVAL ALTAMIRANO LORENZO </v>
      </c>
      <c r="C1035" s="91">
        <f>'Informe Kelly'!E1028</f>
        <v>40645</v>
      </c>
      <c r="D1035" s="96">
        <f t="shared" si="32"/>
        <v>535</v>
      </c>
      <c r="E1035" s="85" t="str">
        <f>VLOOKUP(A1035,Ingreso!K:P,6,FALSE)</f>
        <v>Turno A</v>
      </c>
      <c r="F1035" s="85">
        <f>IF('Informe Kelly'!H1028=$A$2,'Informe Kelly'!F1028,"")</f>
        <v>0.29084490740740737</v>
      </c>
      <c r="G1035" s="85" t="str">
        <f>IF('Informe Kelly'!H1028=$A$3,'Informe Kelly'!F1028,"")</f>
        <v/>
      </c>
      <c r="H1035" s="85">
        <f>IF(C1035=C1033,0,IF(D1035=D1034,0,(HLOOKUP(C1035,Ingreso!$AN$10:$AU$260,VLOOKUP(A1035,Ingreso!$AL$11:$AM$260,2,FALSE)))/24))</f>
        <v>0</v>
      </c>
      <c r="I1035" s="77">
        <f t="shared" si="33"/>
        <v>0.3125</v>
      </c>
    </row>
    <row r="1036" spans="1:9">
      <c r="A1036" s="85" t="str">
        <f>VLOOKUP('Informe Kelly'!A1029,Base!A:B,2,FALSE)</f>
        <v>16.691.386-1</v>
      </c>
      <c r="B1036" s="85" t="str">
        <f>VLOOKUP('Informe Kelly'!A1029,Base!A:G,7,FALSE)</f>
        <v xml:space="preserve">SANDOVAL ALTAMIRANO LORENZO </v>
      </c>
      <c r="C1036" s="91">
        <f>'Informe Kelly'!E1029</f>
        <v>40645</v>
      </c>
      <c r="D1036" s="96">
        <f t="shared" si="32"/>
        <v>535</v>
      </c>
      <c r="E1036" s="85" t="str">
        <f>VLOOKUP(A1036,Ingreso!K:P,6,FALSE)</f>
        <v>Turno A</v>
      </c>
      <c r="F1036" s="85" t="str">
        <f>IF('Informe Kelly'!H1029=$A$2,'Informe Kelly'!F1029,"")</f>
        <v/>
      </c>
      <c r="G1036" s="85">
        <f>IF('Informe Kelly'!H1029=$A$3,'Informe Kelly'!F1029,"")</f>
        <v>0.63239583333333338</v>
      </c>
      <c r="H1036" s="85">
        <f>IF(C1036=C1034,0,IF(D1036=D1035,0,(HLOOKUP(C1036,Ingreso!$AN$10:$AU$260,VLOOKUP(A1036,Ingreso!$AL$11:$AM$260,2,FALSE)))/24))</f>
        <v>0</v>
      </c>
      <c r="I1036" s="77">
        <f t="shared" si="33"/>
        <v>0</v>
      </c>
    </row>
    <row r="1037" spans="1:9">
      <c r="A1037" s="85" t="str">
        <f>VLOOKUP('Informe Kelly'!A1030,Base!A:B,2,FALSE)</f>
        <v>16.691.386-1</v>
      </c>
      <c r="B1037" s="85" t="str">
        <f>VLOOKUP('Informe Kelly'!A1030,Base!A:G,7,FALSE)</f>
        <v xml:space="preserve">SANDOVAL ALTAMIRANO LORENZO </v>
      </c>
      <c r="C1037" s="91">
        <f>'Informe Kelly'!E1030</f>
        <v>40646</v>
      </c>
      <c r="D1037" s="96">
        <f t="shared" si="32"/>
        <v>536</v>
      </c>
      <c r="E1037" s="85" t="str">
        <f>VLOOKUP(A1037,Ingreso!K:P,6,FALSE)</f>
        <v>Turno A</v>
      </c>
      <c r="F1037" s="85">
        <f>IF('Informe Kelly'!H1030=$A$2,'Informe Kelly'!F1030,"")</f>
        <v>0.28917824074074078</v>
      </c>
      <c r="G1037" s="85" t="str">
        <f>IF('Informe Kelly'!H1030=$A$3,'Informe Kelly'!F1030,"")</f>
        <v/>
      </c>
      <c r="H1037" s="85">
        <f>IF(C1037=C1035,0,IF(D1037=D1036,0,(HLOOKUP(C1037,Ingreso!$AN$10:$AU$260,VLOOKUP(A1037,Ingreso!$AL$11:$AM$260,2,FALSE)))/24))</f>
        <v>0</v>
      </c>
      <c r="I1037" s="77">
        <f t="shared" si="33"/>
        <v>0.3125</v>
      </c>
    </row>
    <row r="1038" spans="1:9">
      <c r="A1038" s="85" t="str">
        <f>VLOOKUP('Informe Kelly'!A1031,Base!A:B,2,FALSE)</f>
        <v>16.691.386-1</v>
      </c>
      <c r="B1038" s="85" t="str">
        <f>VLOOKUP('Informe Kelly'!A1031,Base!A:G,7,FALSE)</f>
        <v xml:space="preserve">SANDOVAL ALTAMIRANO LORENZO </v>
      </c>
      <c r="C1038" s="91">
        <f>'Informe Kelly'!E1031</f>
        <v>40646</v>
      </c>
      <c r="D1038" s="96">
        <f t="shared" si="32"/>
        <v>536</v>
      </c>
      <c r="E1038" s="85" t="str">
        <f>VLOOKUP(A1038,Ingreso!K:P,6,FALSE)</f>
        <v>Turno A</v>
      </c>
      <c r="F1038" s="85" t="str">
        <f>IF('Informe Kelly'!H1031=$A$2,'Informe Kelly'!F1031,"")</f>
        <v/>
      </c>
      <c r="G1038" s="85">
        <f>IF('Informe Kelly'!H1031=$A$3,'Informe Kelly'!F1031,"")</f>
        <v>0.63270833333333332</v>
      </c>
      <c r="H1038" s="85">
        <f>IF(C1038=C1036,0,IF(D1038=D1037,0,(HLOOKUP(C1038,Ingreso!$AN$10:$AU$260,VLOOKUP(A1038,Ingreso!$AL$11:$AM$260,2,FALSE)))/24))</f>
        <v>0</v>
      </c>
      <c r="I1038" s="77">
        <f t="shared" si="33"/>
        <v>0</v>
      </c>
    </row>
    <row r="1039" spans="1:9">
      <c r="A1039" s="85" t="str">
        <f>VLOOKUP('Informe Kelly'!A1032,Base!A:B,2,FALSE)</f>
        <v>16.691.386-1</v>
      </c>
      <c r="B1039" s="85" t="str">
        <f>VLOOKUP('Informe Kelly'!A1032,Base!A:G,7,FALSE)</f>
        <v xml:space="preserve">SANDOVAL ALTAMIRANO LORENZO </v>
      </c>
      <c r="C1039" s="91">
        <f>'Informe Kelly'!E1032</f>
        <v>40647</v>
      </c>
      <c r="D1039" s="96">
        <f t="shared" si="32"/>
        <v>537</v>
      </c>
      <c r="E1039" s="85" t="str">
        <f>VLOOKUP(A1039,Ingreso!K:P,6,FALSE)</f>
        <v>Turno A</v>
      </c>
      <c r="F1039" s="85">
        <f>IF('Informe Kelly'!H1032=$A$2,'Informe Kelly'!F1032,"")</f>
        <v>0.299375</v>
      </c>
      <c r="G1039" s="85" t="str">
        <f>IF('Informe Kelly'!H1032=$A$3,'Informe Kelly'!F1032,"")</f>
        <v/>
      </c>
      <c r="H1039" s="85">
        <f>IF(C1039=C1037,0,IF(D1039=D1038,0,(HLOOKUP(C1039,Ingreso!$AN$10:$AU$260,VLOOKUP(A1039,Ingreso!$AL$11:$AM$260,2,FALSE)))/24))</f>
        <v>0</v>
      </c>
      <c r="I1039" s="77">
        <f t="shared" si="33"/>
        <v>0.3125</v>
      </c>
    </row>
    <row r="1040" spans="1:9">
      <c r="A1040" s="85" t="str">
        <f>VLOOKUP('Informe Kelly'!A1033,Base!A:B,2,FALSE)</f>
        <v>16.691.386-1</v>
      </c>
      <c r="B1040" s="85" t="str">
        <f>VLOOKUP('Informe Kelly'!A1033,Base!A:G,7,FALSE)</f>
        <v xml:space="preserve">SANDOVAL ALTAMIRANO LORENZO </v>
      </c>
      <c r="C1040" s="91">
        <f>'Informe Kelly'!E1033</f>
        <v>40647</v>
      </c>
      <c r="D1040" s="96">
        <f t="shared" si="32"/>
        <v>537</v>
      </c>
      <c r="E1040" s="85" t="str">
        <f>VLOOKUP(A1040,Ingreso!K:P,6,FALSE)</f>
        <v>Turno A</v>
      </c>
      <c r="F1040" s="85" t="str">
        <f>IF('Informe Kelly'!H1033=$A$2,'Informe Kelly'!F1033,"")</f>
        <v/>
      </c>
      <c r="G1040" s="85">
        <f>IF('Informe Kelly'!H1033=$A$3,'Informe Kelly'!F1033,"")</f>
        <v>0.63214120370370364</v>
      </c>
      <c r="H1040" s="85">
        <f>IF(C1040=C1038,0,IF(D1040=D1039,0,(HLOOKUP(C1040,Ingreso!$AN$10:$AU$260,VLOOKUP(A1040,Ingreso!$AL$11:$AM$260,2,FALSE)))/24))</f>
        <v>0</v>
      </c>
      <c r="I1040" s="77">
        <f t="shared" si="33"/>
        <v>0</v>
      </c>
    </row>
    <row r="1041" spans="1:9">
      <c r="A1041" s="85" t="str">
        <f>VLOOKUP('Informe Kelly'!A1034,Base!A:B,2,FALSE)</f>
        <v>16.691.386-1</v>
      </c>
      <c r="B1041" s="85" t="str">
        <f>VLOOKUP('Informe Kelly'!A1034,Base!A:G,7,FALSE)</f>
        <v xml:space="preserve">SANDOVAL ALTAMIRANO LORENZO </v>
      </c>
      <c r="C1041" s="91">
        <f>'Informe Kelly'!E1034</f>
        <v>40648</v>
      </c>
      <c r="D1041" s="96">
        <f t="shared" si="32"/>
        <v>538</v>
      </c>
      <c r="E1041" s="85" t="str">
        <f>VLOOKUP(A1041,Ingreso!K:P,6,FALSE)</f>
        <v>Turno A</v>
      </c>
      <c r="F1041" s="85" t="str">
        <f>IF('Informe Kelly'!H1034=$A$2,'Informe Kelly'!F1034,"")</f>
        <v/>
      </c>
      <c r="G1041" s="85">
        <f>IF('Informe Kelly'!H1034=$A$3,'Informe Kelly'!F1034,"")</f>
        <v>0.63254629629629633</v>
      </c>
      <c r="H1041" s="85">
        <f>IF(C1041=C1039,0,IF(D1041=D1040,0,(HLOOKUP(C1041,Ingreso!$AN$10:$AU$260,VLOOKUP(A1041,Ingreso!$AL$11:$AM$260,2,FALSE)))/24))</f>
        <v>0</v>
      </c>
      <c r="I1041" s="77">
        <f t="shared" si="33"/>
        <v>0.3125</v>
      </c>
    </row>
    <row r="1042" spans="1:9">
      <c r="A1042" s="85" t="str">
        <f>VLOOKUP('Informe Kelly'!A1035,Base!A:B,2,FALSE)</f>
        <v>16.691.386-1</v>
      </c>
      <c r="B1042" s="85" t="str">
        <f>VLOOKUP('Informe Kelly'!A1035,Base!A:G,7,FALSE)</f>
        <v xml:space="preserve">SANDOVAL ALTAMIRANO LORENZO </v>
      </c>
      <c r="C1042" s="91">
        <f>'Informe Kelly'!E1035</f>
        <v>40648</v>
      </c>
      <c r="D1042" s="96">
        <f t="shared" si="32"/>
        <v>538</v>
      </c>
      <c r="E1042" s="85" t="str">
        <f>VLOOKUP(A1042,Ingreso!K:P,6,FALSE)</f>
        <v>Turno A</v>
      </c>
      <c r="F1042" s="85">
        <f>IF('Informe Kelly'!H1035=$A$2,'Informe Kelly'!F1035,"")</f>
        <v>0.29365740740740742</v>
      </c>
      <c r="G1042" s="85" t="str">
        <f>IF('Informe Kelly'!H1035=$A$3,'Informe Kelly'!F1035,"")</f>
        <v/>
      </c>
      <c r="H1042" s="85">
        <f>IF(C1042=C1040,0,IF(D1042=D1041,0,(HLOOKUP(C1042,Ingreso!$AN$10:$AU$260,VLOOKUP(A1042,Ingreso!$AL$11:$AM$260,2,FALSE)))/24))</f>
        <v>0</v>
      </c>
      <c r="I1042" s="77">
        <f t="shared" si="33"/>
        <v>0</v>
      </c>
    </row>
    <row r="1043" spans="1:9">
      <c r="A1043" s="85" t="str">
        <f>VLOOKUP('Informe Kelly'!A1036,Base!A:B,2,FALSE)</f>
        <v>16.691.386-1</v>
      </c>
      <c r="B1043" s="85" t="str">
        <f>VLOOKUP('Informe Kelly'!A1036,Base!A:G,7,FALSE)</f>
        <v xml:space="preserve">SANDOVAL ALTAMIRANO LORENZO </v>
      </c>
      <c r="C1043" s="91">
        <f>'Informe Kelly'!E1036</f>
        <v>40650</v>
      </c>
      <c r="D1043" s="96">
        <f t="shared" si="32"/>
        <v>539</v>
      </c>
      <c r="E1043" s="85" t="str">
        <f>VLOOKUP(A1043,Ingreso!K:P,6,FALSE)</f>
        <v>Turno A</v>
      </c>
      <c r="F1043" s="85">
        <f>IF('Informe Kelly'!H1036=$A$2,'Informe Kelly'!F1036,"")</f>
        <v>0.99840277777777775</v>
      </c>
      <c r="G1043" s="85" t="str">
        <f>IF('Informe Kelly'!H1036=$A$3,'Informe Kelly'!F1036,"")</f>
        <v/>
      </c>
      <c r="H1043" s="85">
        <f>IF(C1043=C1041,0,IF(D1043=D1042,0,(HLOOKUP(C1043,Ingreso!$AN$10:$AU$260,VLOOKUP(A1043,Ingreso!$AL$11:$AM$260,2,FALSE)))/24))</f>
        <v>0</v>
      </c>
      <c r="I1043" s="77">
        <f t="shared" si="33"/>
        <v>0.3125</v>
      </c>
    </row>
    <row r="1044" spans="1:9">
      <c r="A1044" s="85" t="str">
        <f>VLOOKUP('Informe Kelly'!A1037,Base!A:B,2,FALSE)</f>
        <v>16.697.450-K</v>
      </c>
      <c r="B1044" s="85" t="str">
        <f>VLOOKUP('Informe Kelly'!A1037,Base!A:G,7,FALSE)</f>
        <v>REYES ESPINOZA NATALIA BELEN</v>
      </c>
      <c r="C1044" s="91">
        <f>'Informe Kelly'!E1037</f>
        <v>40644</v>
      </c>
      <c r="D1044" s="96">
        <f t="shared" si="32"/>
        <v>540</v>
      </c>
      <c r="E1044" s="85" t="str">
        <f>VLOOKUP(A1044,Ingreso!K:P,6,FALSE)</f>
        <v>Turno B</v>
      </c>
      <c r="F1044" s="85">
        <f>IF('Informe Kelly'!H1037=$A$2,'Informe Kelly'!F1037,"")</f>
        <v>0.62024305555555559</v>
      </c>
      <c r="G1044" s="85" t="str">
        <f>IF('Informe Kelly'!H1037=$A$3,'Informe Kelly'!F1037,"")</f>
        <v/>
      </c>
      <c r="H1044" s="85">
        <f>IF(C1044=C1042,0,IF(D1044=D1043,0,(HLOOKUP(C1044,Ingreso!$AN$10:$AU$260,VLOOKUP(A1044,Ingreso!$AL$11:$AM$260,2,FALSE)))/24))</f>
        <v>0</v>
      </c>
      <c r="I1044" s="77">
        <f t="shared" si="33"/>
        <v>0.3125</v>
      </c>
    </row>
    <row r="1045" spans="1:9">
      <c r="A1045" s="85" t="str">
        <f>VLOOKUP('Informe Kelly'!A1038,Base!A:B,2,FALSE)</f>
        <v>16.697.450-K</v>
      </c>
      <c r="B1045" s="85" t="str">
        <f>VLOOKUP('Informe Kelly'!A1038,Base!A:G,7,FALSE)</f>
        <v>REYES ESPINOZA NATALIA BELEN</v>
      </c>
      <c r="C1045" s="91">
        <f>'Informe Kelly'!E1038</f>
        <v>40644</v>
      </c>
      <c r="D1045" s="96">
        <f t="shared" si="32"/>
        <v>540</v>
      </c>
      <c r="E1045" s="85" t="str">
        <f>VLOOKUP(A1045,Ingreso!K:P,6,FALSE)</f>
        <v>Turno B</v>
      </c>
      <c r="F1045" s="85" t="str">
        <f>IF('Informe Kelly'!H1038=$A$2,'Informe Kelly'!F1038,"")</f>
        <v/>
      </c>
      <c r="G1045" s="85">
        <f>IF('Informe Kelly'!H1038=$A$3,'Informe Kelly'!F1038,"")</f>
        <v>0.94037037037037041</v>
      </c>
      <c r="H1045" s="85">
        <f>IF(C1045=C1043,0,IF(D1045=D1044,0,(HLOOKUP(C1045,Ingreso!$AN$10:$AU$260,VLOOKUP(A1045,Ingreso!$AL$11:$AM$260,2,FALSE)))/24))</f>
        <v>0</v>
      </c>
      <c r="I1045" s="77">
        <f t="shared" si="33"/>
        <v>0</v>
      </c>
    </row>
    <row r="1046" spans="1:9">
      <c r="A1046" s="85" t="str">
        <f>VLOOKUP('Informe Kelly'!A1039,Base!A:B,2,FALSE)</f>
        <v>16.697.450-K</v>
      </c>
      <c r="B1046" s="85" t="str">
        <f>VLOOKUP('Informe Kelly'!A1039,Base!A:G,7,FALSE)</f>
        <v>REYES ESPINOZA NATALIA BELEN</v>
      </c>
      <c r="C1046" s="91">
        <f>'Informe Kelly'!E1039</f>
        <v>40645</v>
      </c>
      <c r="D1046" s="96">
        <f t="shared" si="32"/>
        <v>541</v>
      </c>
      <c r="E1046" s="85" t="str">
        <f>VLOOKUP(A1046,Ingreso!K:P,6,FALSE)</f>
        <v>Turno B</v>
      </c>
      <c r="F1046" s="85">
        <f>IF('Informe Kelly'!H1039=$A$2,'Informe Kelly'!F1039,"")</f>
        <v>0.61870370370370364</v>
      </c>
      <c r="G1046" s="85" t="str">
        <f>IF('Informe Kelly'!H1039=$A$3,'Informe Kelly'!F1039,"")</f>
        <v/>
      </c>
      <c r="H1046" s="85">
        <f>IF(C1046=C1044,0,IF(D1046=D1045,0,(HLOOKUP(C1046,Ingreso!$AN$10:$AU$260,VLOOKUP(A1046,Ingreso!$AL$11:$AM$260,2,FALSE)))/24))</f>
        <v>0</v>
      </c>
      <c r="I1046" s="77">
        <f t="shared" si="33"/>
        <v>0.3125</v>
      </c>
    </row>
    <row r="1047" spans="1:9">
      <c r="A1047" s="85" t="str">
        <f>VLOOKUP('Informe Kelly'!A1040,Base!A:B,2,FALSE)</f>
        <v>16.697.450-K</v>
      </c>
      <c r="B1047" s="85" t="str">
        <f>VLOOKUP('Informe Kelly'!A1040,Base!A:G,7,FALSE)</f>
        <v>REYES ESPINOZA NATALIA BELEN</v>
      </c>
      <c r="C1047" s="91">
        <f>'Informe Kelly'!E1040</f>
        <v>40645</v>
      </c>
      <c r="D1047" s="96">
        <f t="shared" si="32"/>
        <v>541</v>
      </c>
      <c r="E1047" s="85" t="str">
        <f>VLOOKUP(A1047,Ingreso!K:P,6,FALSE)</f>
        <v>Turno B</v>
      </c>
      <c r="F1047" s="85" t="str">
        <f>IF('Informe Kelly'!H1040=$A$2,'Informe Kelly'!F1040,"")</f>
        <v/>
      </c>
      <c r="G1047" s="85">
        <f>IF('Informe Kelly'!H1040=$A$3,'Informe Kelly'!F1040,"")</f>
        <v>0.94675925925925919</v>
      </c>
      <c r="H1047" s="85">
        <f>IF(C1047=C1045,0,IF(D1047=D1046,0,(HLOOKUP(C1047,Ingreso!$AN$10:$AU$260,VLOOKUP(A1047,Ingreso!$AL$11:$AM$260,2,FALSE)))/24))</f>
        <v>0</v>
      </c>
      <c r="I1047" s="77">
        <f t="shared" si="33"/>
        <v>0</v>
      </c>
    </row>
    <row r="1048" spans="1:9">
      <c r="A1048" s="85" t="str">
        <f>VLOOKUP('Informe Kelly'!A1041,Base!A:B,2,FALSE)</f>
        <v>16.697.450-K</v>
      </c>
      <c r="B1048" s="85" t="str">
        <f>VLOOKUP('Informe Kelly'!A1041,Base!A:G,7,FALSE)</f>
        <v>REYES ESPINOZA NATALIA BELEN</v>
      </c>
      <c r="C1048" s="91">
        <f>'Informe Kelly'!E1041</f>
        <v>40646</v>
      </c>
      <c r="D1048" s="96">
        <f t="shared" si="32"/>
        <v>542</v>
      </c>
      <c r="E1048" s="85" t="str">
        <f>VLOOKUP(A1048,Ingreso!K:P,6,FALSE)</f>
        <v>Turno B</v>
      </c>
      <c r="F1048" s="85">
        <f>IF('Informe Kelly'!H1041=$A$2,'Informe Kelly'!F1041,"")</f>
        <v>0.6165046296296296</v>
      </c>
      <c r="G1048" s="85" t="str">
        <f>IF('Informe Kelly'!H1041=$A$3,'Informe Kelly'!F1041,"")</f>
        <v/>
      </c>
      <c r="H1048" s="85">
        <f>IF(C1048=C1046,0,IF(D1048=D1047,0,(HLOOKUP(C1048,Ingreso!$AN$10:$AU$260,VLOOKUP(A1048,Ingreso!$AL$11:$AM$260,2,FALSE)))/24))</f>
        <v>0</v>
      </c>
      <c r="I1048" s="77">
        <f t="shared" si="33"/>
        <v>0.3125</v>
      </c>
    </row>
    <row r="1049" spans="1:9">
      <c r="A1049" s="85" t="str">
        <f>VLOOKUP('Informe Kelly'!A1042,Base!A:B,2,FALSE)</f>
        <v>16.697.450-K</v>
      </c>
      <c r="B1049" s="85" t="str">
        <f>VLOOKUP('Informe Kelly'!A1042,Base!A:G,7,FALSE)</f>
        <v>REYES ESPINOZA NATALIA BELEN</v>
      </c>
      <c r="C1049" s="91">
        <f>'Informe Kelly'!E1042</f>
        <v>40646</v>
      </c>
      <c r="D1049" s="96">
        <f t="shared" si="32"/>
        <v>542</v>
      </c>
      <c r="E1049" s="85" t="str">
        <f>VLOOKUP(A1049,Ingreso!K:P,6,FALSE)</f>
        <v>Turno B</v>
      </c>
      <c r="F1049" s="85" t="str">
        <f>IF('Informe Kelly'!H1042=$A$2,'Informe Kelly'!F1042,"")</f>
        <v/>
      </c>
      <c r="G1049" s="85">
        <f>IF('Informe Kelly'!H1042=$A$3,'Informe Kelly'!F1042,"")</f>
        <v>0.94405092592592599</v>
      </c>
      <c r="H1049" s="85">
        <f>IF(C1049=C1047,0,IF(D1049=D1048,0,(HLOOKUP(C1049,Ingreso!$AN$10:$AU$260,VLOOKUP(A1049,Ingreso!$AL$11:$AM$260,2,FALSE)))/24))</f>
        <v>0</v>
      </c>
      <c r="I1049" s="77">
        <f t="shared" si="33"/>
        <v>0</v>
      </c>
    </row>
    <row r="1050" spans="1:9">
      <c r="A1050" s="85" t="str">
        <f>VLOOKUP('Informe Kelly'!A1043,Base!A:B,2,FALSE)</f>
        <v>16.697.450-K</v>
      </c>
      <c r="B1050" s="85" t="str">
        <f>VLOOKUP('Informe Kelly'!A1043,Base!A:G,7,FALSE)</f>
        <v>REYES ESPINOZA NATALIA BELEN</v>
      </c>
      <c r="C1050" s="91">
        <f>'Informe Kelly'!E1043</f>
        <v>40647</v>
      </c>
      <c r="D1050" s="96">
        <f t="shared" si="32"/>
        <v>543</v>
      </c>
      <c r="E1050" s="85" t="str">
        <f>VLOOKUP(A1050,Ingreso!K:P,6,FALSE)</f>
        <v>Turno B</v>
      </c>
      <c r="F1050" s="85">
        <f>IF('Informe Kelly'!H1043=$A$2,'Informe Kelly'!F1043,"")</f>
        <v>0.62523148148148155</v>
      </c>
      <c r="G1050" s="85" t="str">
        <f>IF('Informe Kelly'!H1043=$A$3,'Informe Kelly'!F1043,"")</f>
        <v/>
      </c>
      <c r="H1050" s="85">
        <f>IF(C1050=C1048,0,IF(D1050=D1049,0,(HLOOKUP(C1050,Ingreso!$AN$10:$AU$260,VLOOKUP(A1050,Ingreso!$AL$11:$AM$260,2,FALSE)))/24))</f>
        <v>0</v>
      </c>
      <c r="I1050" s="77">
        <f t="shared" si="33"/>
        <v>0.3125</v>
      </c>
    </row>
    <row r="1051" spans="1:9">
      <c r="A1051" s="85" t="str">
        <f>VLOOKUP('Informe Kelly'!A1044,Base!A:B,2,FALSE)</f>
        <v>16.697.450-K</v>
      </c>
      <c r="B1051" s="85" t="str">
        <f>VLOOKUP('Informe Kelly'!A1044,Base!A:G,7,FALSE)</f>
        <v>REYES ESPINOZA NATALIA BELEN</v>
      </c>
      <c r="C1051" s="91">
        <f>'Informe Kelly'!E1044</f>
        <v>40647</v>
      </c>
      <c r="D1051" s="96">
        <f t="shared" si="32"/>
        <v>543</v>
      </c>
      <c r="E1051" s="85" t="str">
        <f>VLOOKUP(A1051,Ingreso!K:P,6,FALSE)</f>
        <v>Turno B</v>
      </c>
      <c r="F1051" s="85" t="str">
        <f>IF('Informe Kelly'!H1044=$A$2,'Informe Kelly'!F1044,"")</f>
        <v/>
      </c>
      <c r="G1051" s="85">
        <f>IF('Informe Kelly'!H1044=$A$3,'Informe Kelly'!F1044,"")</f>
        <v>0.94763888888888881</v>
      </c>
      <c r="H1051" s="85">
        <f>IF(C1051=C1049,0,IF(D1051=D1050,0,(HLOOKUP(C1051,Ingreso!$AN$10:$AU$260,VLOOKUP(A1051,Ingreso!$AL$11:$AM$260,2,FALSE)))/24))</f>
        <v>0</v>
      </c>
      <c r="I1051" s="77">
        <f t="shared" si="33"/>
        <v>0</v>
      </c>
    </row>
    <row r="1052" spans="1:9">
      <c r="A1052" s="85" t="str">
        <f>VLOOKUP('Informe Kelly'!A1045,Base!A:B,2,FALSE)</f>
        <v>16.697.450-K</v>
      </c>
      <c r="B1052" s="85" t="str">
        <f>VLOOKUP('Informe Kelly'!A1045,Base!A:G,7,FALSE)</f>
        <v>REYES ESPINOZA NATALIA BELEN</v>
      </c>
      <c r="C1052" s="91">
        <f>'Informe Kelly'!E1045</f>
        <v>40648</v>
      </c>
      <c r="D1052" s="96">
        <f t="shared" si="32"/>
        <v>544</v>
      </c>
      <c r="E1052" s="85" t="str">
        <f>VLOOKUP(A1052,Ingreso!K:P,6,FALSE)</f>
        <v>Turno B</v>
      </c>
      <c r="F1052" s="85">
        <f>IF('Informe Kelly'!H1045=$A$2,'Informe Kelly'!F1045,"")</f>
        <v>0.62320601851851853</v>
      </c>
      <c r="G1052" s="85" t="str">
        <f>IF('Informe Kelly'!H1045=$A$3,'Informe Kelly'!F1045,"")</f>
        <v/>
      </c>
      <c r="H1052" s="85">
        <f>IF(C1052=C1050,0,IF(D1052=D1051,0,(HLOOKUP(C1052,Ingreso!$AN$10:$AU$260,VLOOKUP(A1052,Ingreso!$AL$11:$AM$260,2,FALSE)))/24))</f>
        <v>0</v>
      </c>
      <c r="I1052" s="77">
        <f t="shared" si="33"/>
        <v>0.3125</v>
      </c>
    </row>
    <row r="1053" spans="1:9">
      <c r="A1053" s="85" t="str">
        <f>VLOOKUP('Informe Kelly'!A1046,Base!A:B,2,FALSE)</f>
        <v>16.697.450-K</v>
      </c>
      <c r="B1053" s="85" t="str">
        <f>VLOOKUP('Informe Kelly'!A1046,Base!A:G,7,FALSE)</f>
        <v>REYES ESPINOZA NATALIA BELEN</v>
      </c>
      <c r="C1053" s="91">
        <f>'Informe Kelly'!E1046</f>
        <v>40648</v>
      </c>
      <c r="D1053" s="96">
        <f t="shared" si="32"/>
        <v>544</v>
      </c>
      <c r="E1053" s="85" t="str">
        <f>VLOOKUP(A1053,Ingreso!K:P,6,FALSE)</f>
        <v>Turno B</v>
      </c>
      <c r="F1053" s="85" t="str">
        <f>IF('Informe Kelly'!H1046=$A$2,'Informe Kelly'!F1046,"")</f>
        <v/>
      </c>
      <c r="G1053" s="85">
        <f>IF('Informe Kelly'!H1046=$A$3,'Informe Kelly'!F1046,"")</f>
        <v>0.94552083333333325</v>
      </c>
      <c r="H1053" s="85">
        <f>IF(C1053=C1051,0,IF(D1053=D1052,0,(HLOOKUP(C1053,Ingreso!$AN$10:$AU$260,VLOOKUP(A1053,Ingreso!$AL$11:$AM$260,2,FALSE)))/24))</f>
        <v>0</v>
      </c>
      <c r="I1053" s="77">
        <f t="shared" si="33"/>
        <v>0</v>
      </c>
    </row>
    <row r="1054" spans="1:9">
      <c r="A1054" s="85" t="str">
        <f>VLOOKUP('Informe Kelly'!A1047,Base!A:B,2,FALSE)</f>
        <v>16.697.450-K</v>
      </c>
      <c r="B1054" s="85" t="str">
        <f>VLOOKUP('Informe Kelly'!A1047,Base!A:G,7,FALSE)</f>
        <v>REYES ESPINOZA NATALIA BELEN</v>
      </c>
      <c r="C1054" s="91">
        <f>'Informe Kelly'!E1047</f>
        <v>40649</v>
      </c>
      <c r="D1054" s="96">
        <f t="shared" si="32"/>
        <v>545</v>
      </c>
      <c r="E1054" s="85" t="str">
        <f>VLOOKUP(A1054,Ingreso!K:P,6,FALSE)</f>
        <v>Turno B</v>
      </c>
      <c r="F1054" s="85" t="str">
        <f>IF('Informe Kelly'!H1047=$A$2,'Informe Kelly'!F1047,"")</f>
        <v/>
      </c>
      <c r="G1054" s="85">
        <f>IF('Informe Kelly'!H1047=$A$3,'Informe Kelly'!F1047,"")</f>
        <v>0.9223958333333333</v>
      </c>
      <c r="H1054" s="85">
        <f>IF(C1054=C1052,0,IF(D1054=D1053,0,(HLOOKUP(C1054,Ingreso!$AN$10:$AU$260,VLOOKUP(A1054,Ingreso!$AL$11:$AM$260,2,FALSE)))/24))</f>
        <v>0</v>
      </c>
      <c r="I1054" s="77">
        <f t="shared" si="33"/>
        <v>0.3125</v>
      </c>
    </row>
    <row r="1055" spans="1:9">
      <c r="A1055" s="85" t="str">
        <f>VLOOKUP('Informe Kelly'!A1048,Base!A:B,2,FALSE)</f>
        <v>16.697.450-K</v>
      </c>
      <c r="B1055" s="85" t="str">
        <f>VLOOKUP('Informe Kelly'!A1048,Base!A:G,7,FALSE)</f>
        <v>REYES ESPINOZA NATALIA BELEN</v>
      </c>
      <c r="C1055" s="91">
        <f>'Informe Kelly'!E1048</f>
        <v>40649</v>
      </c>
      <c r="D1055" s="96">
        <f t="shared" si="32"/>
        <v>545</v>
      </c>
      <c r="E1055" s="85" t="str">
        <f>VLOOKUP(A1055,Ingreso!K:P,6,FALSE)</f>
        <v>Turno B</v>
      </c>
      <c r="F1055" s="85">
        <f>IF('Informe Kelly'!H1048=$A$2,'Informe Kelly'!F1048,"")</f>
        <v>0.62219907407407404</v>
      </c>
      <c r="G1055" s="85" t="str">
        <f>IF('Informe Kelly'!H1048=$A$3,'Informe Kelly'!F1048,"")</f>
        <v/>
      </c>
      <c r="H1055" s="85">
        <f>IF(C1055=C1053,0,IF(D1055=D1054,0,(HLOOKUP(C1055,Ingreso!$AN$10:$AU$260,VLOOKUP(A1055,Ingreso!$AL$11:$AM$260,2,FALSE)))/24))</f>
        <v>0</v>
      </c>
      <c r="I1055" s="77">
        <f t="shared" si="33"/>
        <v>0</v>
      </c>
    </row>
    <row r="1056" spans="1:9">
      <c r="A1056" s="85" t="str">
        <f>VLOOKUP('Informe Kelly'!A1049,Base!A:B,2,FALSE)</f>
        <v>17.002.272-6</v>
      </c>
      <c r="B1056" s="85" t="str">
        <f>VLOOKUP('Informe Kelly'!A1049,Base!A:G,7,FALSE)</f>
        <v>GARCES MUÑOZ JUAN DIEGO ALEXIS</v>
      </c>
      <c r="C1056" s="91">
        <f>'Informe Kelly'!E1049</f>
        <v>40644</v>
      </c>
      <c r="D1056" s="96">
        <f t="shared" si="32"/>
        <v>546</v>
      </c>
      <c r="E1056" s="85" t="str">
        <f>VLOOKUP(A1056,Ingreso!K:P,6,FALSE)</f>
        <v>Turno C</v>
      </c>
      <c r="F1056" s="85">
        <f>IF('Informe Kelly'!H1049=$A$2,'Informe Kelly'!F1049,"")</f>
        <v>0.9387847222222222</v>
      </c>
      <c r="G1056" s="85" t="str">
        <f>IF('Informe Kelly'!H1049=$A$3,'Informe Kelly'!F1049,"")</f>
        <v/>
      </c>
      <c r="H1056" s="85">
        <f>IF(C1056=C1054,0,IF(D1056=D1055,0,(HLOOKUP(C1056,Ingreso!$AN$10:$AU$260,VLOOKUP(A1056,Ingreso!$AL$11:$AM$260,2,FALSE)))/24))</f>
        <v>0</v>
      </c>
      <c r="I1056" s="77">
        <f t="shared" si="33"/>
        <v>0.375</v>
      </c>
    </row>
    <row r="1057" spans="1:9">
      <c r="A1057" s="85" t="str">
        <f>VLOOKUP('Informe Kelly'!A1050,Base!A:B,2,FALSE)</f>
        <v>17.002.272-6</v>
      </c>
      <c r="B1057" s="85" t="str">
        <f>VLOOKUP('Informe Kelly'!A1050,Base!A:G,7,FALSE)</f>
        <v>GARCES MUÑOZ JUAN DIEGO ALEXIS</v>
      </c>
      <c r="C1057" s="91">
        <f>'Informe Kelly'!E1050</f>
        <v>40645</v>
      </c>
      <c r="D1057" s="96">
        <f t="shared" si="32"/>
        <v>547</v>
      </c>
      <c r="E1057" s="85" t="str">
        <f>VLOOKUP(A1057,Ingreso!K:P,6,FALSE)</f>
        <v>Turno C</v>
      </c>
      <c r="F1057" s="85" t="str">
        <f>IF('Informe Kelly'!H1050=$A$2,'Informe Kelly'!F1050,"")</f>
        <v/>
      </c>
      <c r="G1057" s="85">
        <f>IF('Informe Kelly'!H1050=$A$3,'Informe Kelly'!F1050,"")</f>
        <v>0.3208449074074074</v>
      </c>
      <c r="H1057" s="85">
        <f>IF(C1057=C1055,0,IF(D1057=D1056,0,(HLOOKUP(C1057,Ingreso!$AN$10:$AU$260,VLOOKUP(A1057,Ingreso!$AL$11:$AM$260,2,FALSE)))/24))</f>
        <v>0</v>
      </c>
      <c r="I1057" s="77">
        <f t="shared" si="33"/>
        <v>0.375</v>
      </c>
    </row>
    <row r="1058" spans="1:9">
      <c r="A1058" s="85" t="str">
        <f>VLOOKUP('Informe Kelly'!A1051,Base!A:B,2,FALSE)</f>
        <v>17.002.272-6</v>
      </c>
      <c r="B1058" s="85" t="str">
        <f>VLOOKUP('Informe Kelly'!A1051,Base!A:G,7,FALSE)</f>
        <v>GARCES MUÑOZ JUAN DIEGO ALEXIS</v>
      </c>
      <c r="C1058" s="91">
        <f>'Informe Kelly'!E1051</f>
        <v>40645</v>
      </c>
      <c r="D1058" s="96">
        <f t="shared" si="32"/>
        <v>547</v>
      </c>
      <c r="E1058" s="85" t="str">
        <f>VLOOKUP(A1058,Ingreso!K:P,6,FALSE)</f>
        <v>Turno C</v>
      </c>
      <c r="F1058" s="85">
        <f>IF('Informe Kelly'!H1051=$A$2,'Informe Kelly'!F1051,"")</f>
        <v>0.93059027777777781</v>
      </c>
      <c r="G1058" s="85" t="str">
        <f>IF('Informe Kelly'!H1051=$A$3,'Informe Kelly'!F1051,"")</f>
        <v/>
      </c>
      <c r="H1058" s="85">
        <f>IF(C1058=C1056,0,IF(D1058=D1057,0,(HLOOKUP(C1058,Ingreso!$AN$10:$AU$260,VLOOKUP(A1058,Ingreso!$AL$11:$AM$260,2,FALSE)))/24))</f>
        <v>0</v>
      </c>
      <c r="I1058" s="77">
        <f t="shared" si="33"/>
        <v>0</v>
      </c>
    </row>
    <row r="1059" spans="1:9">
      <c r="A1059" s="85" t="str">
        <f>VLOOKUP('Informe Kelly'!A1052,Base!A:B,2,FALSE)</f>
        <v>17.002.272-6</v>
      </c>
      <c r="B1059" s="85" t="str">
        <f>VLOOKUP('Informe Kelly'!A1052,Base!A:G,7,FALSE)</f>
        <v>GARCES MUÑOZ JUAN DIEGO ALEXIS</v>
      </c>
      <c r="C1059" s="91">
        <f>'Informe Kelly'!E1052</f>
        <v>40646</v>
      </c>
      <c r="D1059" s="96">
        <f t="shared" si="32"/>
        <v>548</v>
      </c>
      <c r="E1059" s="85" t="str">
        <f>VLOOKUP(A1059,Ingreso!K:P,6,FALSE)</f>
        <v>Turno C</v>
      </c>
      <c r="F1059" s="85" t="str">
        <f>IF('Informe Kelly'!H1052=$A$2,'Informe Kelly'!F1052,"")</f>
        <v/>
      </c>
      <c r="G1059" s="85">
        <f>IF('Informe Kelly'!H1052=$A$3,'Informe Kelly'!F1052,"")</f>
        <v>0.32973379629629629</v>
      </c>
      <c r="H1059" s="85">
        <f>IF(C1059=C1057,0,IF(D1059=D1058,0,(HLOOKUP(C1059,Ingreso!$AN$10:$AU$260,VLOOKUP(A1059,Ingreso!$AL$11:$AM$260,2,FALSE)))/24))</f>
        <v>0</v>
      </c>
      <c r="I1059" s="77">
        <f t="shared" si="33"/>
        <v>0.375</v>
      </c>
    </row>
    <row r="1060" spans="1:9">
      <c r="A1060" s="85" t="str">
        <f>VLOOKUP('Informe Kelly'!A1053,Base!A:B,2,FALSE)</f>
        <v>17.002.272-6</v>
      </c>
      <c r="B1060" s="85" t="str">
        <f>VLOOKUP('Informe Kelly'!A1053,Base!A:G,7,FALSE)</f>
        <v>GARCES MUÑOZ JUAN DIEGO ALEXIS</v>
      </c>
      <c r="C1060" s="91">
        <f>'Informe Kelly'!E1053</f>
        <v>40646</v>
      </c>
      <c r="D1060" s="96">
        <f t="shared" si="32"/>
        <v>548</v>
      </c>
      <c r="E1060" s="85" t="str">
        <f>VLOOKUP(A1060,Ingreso!K:P,6,FALSE)</f>
        <v>Turno C</v>
      </c>
      <c r="F1060" s="85">
        <f>IF('Informe Kelly'!H1053=$A$2,'Informe Kelly'!F1053,"")</f>
        <v>0.92776620370370377</v>
      </c>
      <c r="G1060" s="85" t="str">
        <f>IF('Informe Kelly'!H1053=$A$3,'Informe Kelly'!F1053,"")</f>
        <v/>
      </c>
      <c r="H1060" s="85">
        <f>IF(C1060=C1058,0,IF(D1060=D1059,0,(HLOOKUP(C1060,Ingreso!$AN$10:$AU$260,VLOOKUP(A1060,Ingreso!$AL$11:$AM$260,2,FALSE)))/24))</f>
        <v>0</v>
      </c>
      <c r="I1060" s="77">
        <f t="shared" si="33"/>
        <v>0</v>
      </c>
    </row>
    <row r="1061" spans="1:9">
      <c r="A1061" s="85" t="str">
        <f>VLOOKUP('Informe Kelly'!A1054,Base!A:B,2,FALSE)</f>
        <v>17.002.272-6</v>
      </c>
      <c r="B1061" s="85" t="str">
        <f>VLOOKUP('Informe Kelly'!A1054,Base!A:G,7,FALSE)</f>
        <v>GARCES MUÑOZ JUAN DIEGO ALEXIS</v>
      </c>
      <c r="C1061" s="91">
        <f>'Informe Kelly'!E1054</f>
        <v>40647</v>
      </c>
      <c r="D1061" s="96">
        <f t="shared" si="32"/>
        <v>549</v>
      </c>
      <c r="E1061" s="85" t="str">
        <f>VLOOKUP(A1061,Ingreso!K:P,6,FALSE)</f>
        <v>Turno C</v>
      </c>
      <c r="F1061" s="85" t="str">
        <f>IF('Informe Kelly'!H1054=$A$2,'Informe Kelly'!F1054,"")</f>
        <v/>
      </c>
      <c r="G1061" s="85">
        <f>IF('Informe Kelly'!H1054=$A$3,'Informe Kelly'!F1054,"")</f>
        <v>0.32793981481481482</v>
      </c>
      <c r="H1061" s="85">
        <f>IF(C1061=C1059,0,IF(D1061=D1060,0,(HLOOKUP(C1061,Ingreso!$AN$10:$AU$260,VLOOKUP(A1061,Ingreso!$AL$11:$AM$260,2,FALSE)))/24))</f>
        <v>0</v>
      </c>
      <c r="I1061" s="77">
        <f t="shared" si="33"/>
        <v>0.375</v>
      </c>
    </row>
    <row r="1062" spans="1:9">
      <c r="A1062" s="85" t="str">
        <f>VLOOKUP('Informe Kelly'!A1055,Base!A:B,2,FALSE)</f>
        <v>17.002.272-6</v>
      </c>
      <c r="B1062" s="85" t="str">
        <f>VLOOKUP('Informe Kelly'!A1055,Base!A:G,7,FALSE)</f>
        <v>GARCES MUÑOZ JUAN DIEGO ALEXIS</v>
      </c>
      <c r="C1062" s="91">
        <f>'Informe Kelly'!E1055</f>
        <v>40647</v>
      </c>
      <c r="D1062" s="96">
        <f t="shared" si="32"/>
        <v>549</v>
      </c>
      <c r="E1062" s="85" t="str">
        <f>VLOOKUP(A1062,Ingreso!K:P,6,FALSE)</f>
        <v>Turno C</v>
      </c>
      <c r="F1062" s="85">
        <f>IF('Informe Kelly'!H1055=$A$2,'Informe Kelly'!F1055,"")</f>
        <v>0.9293865740740741</v>
      </c>
      <c r="G1062" s="85" t="str">
        <f>IF('Informe Kelly'!H1055=$A$3,'Informe Kelly'!F1055,"")</f>
        <v/>
      </c>
      <c r="H1062" s="85">
        <f>IF(C1062=C1060,0,IF(D1062=D1061,0,(HLOOKUP(C1062,Ingreso!$AN$10:$AU$260,VLOOKUP(A1062,Ingreso!$AL$11:$AM$260,2,FALSE)))/24))</f>
        <v>0</v>
      </c>
      <c r="I1062" s="77">
        <f t="shared" si="33"/>
        <v>0</v>
      </c>
    </row>
    <row r="1063" spans="1:9">
      <c r="A1063" s="85" t="str">
        <f>VLOOKUP('Informe Kelly'!A1056,Base!A:B,2,FALSE)</f>
        <v>17.002.272-6</v>
      </c>
      <c r="B1063" s="85" t="str">
        <f>VLOOKUP('Informe Kelly'!A1056,Base!A:G,7,FALSE)</f>
        <v>GARCES MUÑOZ JUAN DIEGO ALEXIS</v>
      </c>
      <c r="C1063" s="91">
        <f>'Informe Kelly'!E1056</f>
        <v>40648</v>
      </c>
      <c r="D1063" s="96">
        <f t="shared" si="32"/>
        <v>550</v>
      </c>
      <c r="E1063" s="85" t="str">
        <f>VLOOKUP(A1063,Ingreso!K:P,6,FALSE)</f>
        <v>Turno C</v>
      </c>
      <c r="F1063" s="85">
        <f>IF('Informe Kelly'!H1056=$A$2,'Informe Kelly'!F1056,"")</f>
        <v>0.92643518518518519</v>
      </c>
      <c r="G1063" s="85" t="str">
        <f>IF('Informe Kelly'!H1056=$A$3,'Informe Kelly'!F1056,"")</f>
        <v/>
      </c>
      <c r="H1063" s="85">
        <f>IF(C1063=C1061,0,IF(D1063=D1062,0,(HLOOKUP(C1063,Ingreso!$AN$10:$AU$260,VLOOKUP(A1063,Ingreso!$AL$11:$AM$260,2,FALSE)))/24))</f>
        <v>0</v>
      </c>
      <c r="I1063" s="77">
        <f t="shared" si="33"/>
        <v>0.375</v>
      </c>
    </row>
    <row r="1064" spans="1:9">
      <c r="A1064" s="85" t="str">
        <f>VLOOKUP('Informe Kelly'!A1057,Base!A:B,2,FALSE)</f>
        <v>17.002.272-6</v>
      </c>
      <c r="B1064" s="85" t="str">
        <f>VLOOKUP('Informe Kelly'!A1057,Base!A:G,7,FALSE)</f>
        <v>GARCES MUÑOZ JUAN DIEGO ALEXIS</v>
      </c>
      <c r="C1064" s="91">
        <f>'Informe Kelly'!E1057</f>
        <v>40648</v>
      </c>
      <c r="D1064" s="96">
        <f t="shared" si="32"/>
        <v>550</v>
      </c>
      <c r="E1064" s="85" t="str">
        <f>VLOOKUP(A1064,Ingreso!K:P,6,FALSE)</f>
        <v>Turno C</v>
      </c>
      <c r="F1064" s="85" t="str">
        <f>IF('Informe Kelly'!H1057=$A$2,'Informe Kelly'!F1057,"")</f>
        <v/>
      </c>
      <c r="G1064" s="85">
        <f>IF('Informe Kelly'!H1057=$A$3,'Informe Kelly'!F1057,"")</f>
        <v>0.32817129629629632</v>
      </c>
      <c r="H1064" s="85">
        <f>IF(C1064=C1062,0,IF(D1064=D1063,0,(HLOOKUP(C1064,Ingreso!$AN$10:$AU$260,VLOOKUP(A1064,Ingreso!$AL$11:$AM$260,2,FALSE)))/24))</f>
        <v>0</v>
      </c>
      <c r="I1064" s="77">
        <f t="shared" si="33"/>
        <v>0</v>
      </c>
    </row>
    <row r="1065" spans="1:9">
      <c r="A1065" s="85" t="str">
        <f>VLOOKUP('Informe Kelly'!A1058,Base!A:B,2,FALSE)</f>
        <v>17.002.272-6</v>
      </c>
      <c r="B1065" s="85" t="str">
        <f>VLOOKUP('Informe Kelly'!A1058,Base!A:G,7,FALSE)</f>
        <v>GARCES MUÑOZ JUAN DIEGO ALEXIS</v>
      </c>
      <c r="C1065" s="91">
        <f>'Informe Kelly'!E1058</f>
        <v>40649</v>
      </c>
      <c r="D1065" s="96">
        <f t="shared" si="32"/>
        <v>551</v>
      </c>
      <c r="E1065" s="85" t="str">
        <f>VLOOKUP(A1065,Ingreso!K:P,6,FALSE)</f>
        <v>Turno C</v>
      </c>
      <c r="F1065" s="85" t="str">
        <f>IF('Informe Kelly'!H1058=$A$2,'Informe Kelly'!F1058,"")</f>
        <v/>
      </c>
      <c r="G1065" s="85">
        <f>IF('Informe Kelly'!H1058=$A$3,'Informe Kelly'!F1058,"")</f>
        <v>0.32981481481481484</v>
      </c>
      <c r="H1065" s="85">
        <f>IF(C1065=C1063,0,IF(D1065=D1064,0,(HLOOKUP(C1065,Ingreso!$AN$10:$AU$260,VLOOKUP(A1065,Ingreso!$AL$11:$AM$260,2,FALSE)))/24))</f>
        <v>0</v>
      </c>
      <c r="I1065" s="77">
        <f t="shared" si="33"/>
        <v>0.375</v>
      </c>
    </row>
    <row r="1066" spans="1:9">
      <c r="A1066" s="85" t="str">
        <f>VLOOKUP('Informe Kelly'!A1059,Base!A:B,2,FALSE)</f>
        <v>17.065.312-2</v>
      </c>
      <c r="B1066" s="85" t="str">
        <f>VLOOKUP('Informe Kelly'!A1059,Base!A:G,7,FALSE)</f>
        <v>GALVEZ CERNA ARIEL ALFREDO</v>
      </c>
      <c r="C1066" s="91">
        <f>'Informe Kelly'!E1059</f>
        <v>40644</v>
      </c>
      <c r="D1066" s="96">
        <f t="shared" si="32"/>
        <v>552</v>
      </c>
      <c r="E1066" s="85" t="str">
        <f>VLOOKUP(A1066,Ingreso!K:P,6,FALSE)</f>
        <v>Turno A</v>
      </c>
      <c r="F1066" s="85">
        <f>IF('Informe Kelly'!H1059=$A$2,'Informe Kelly'!F1059,"")</f>
        <v>0.32563657407407409</v>
      </c>
      <c r="G1066" s="85" t="str">
        <f>IF('Informe Kelly'!H1059=$A$3,'Informe Kelly'!F1059,"")</f>
        <v/>
      </c>
      <c r="H1066" s="85">
        <f>IF(C1066=C1064,0,IF(D1066=D1065,0,(HLOOKUP(C1066,Ingreso!$AN$10:$AU$260,VLOOKUP(A1066,Ingreso!$AL$11:$AM$260,2,FALSE)))/24))</f>
        <v>0</v>
      </c>
      <c r="I1066" s="77">
        <f t="shared" si="33"/>
        <v>0.3125</v>
      </c>
    </row>
    <row r="1067" spans="1:9">
      <c r="A1067" s="85" t="str">
        <f>VLOOKUP('Informe Kelly'!A1060,Base!A:B,2,FALSE)</f>
        <v>17.065.312-2</v>
      </c>
      <c r="B1067" s="85" t="str">
        <f>VLOOKUP('Informe Kelly'!A1060,Base!A:G,7,FALSE)</f>
        <v>GALVEZ CERNA ARIEL ALFREDO</v>
      </c>
      <c r="C1067" s="91">
        <f>'Informe Kelly'!E1060</f>
        <v>40644</v>
      </c>
      <c r="D1067" s="96">
        <f t="shared" si="32"/>
        <v>552</v>
      </c>
      <c r="E1067" s="85" t="str">
        <f>VLOOKUP(A1067,Ingreso!K:P,6,FALSE)</f>
        <v>Turno A</v>
      </c>
      <c r="F1067" s="85" t="str">
        <f>IF('Informe Kelly'!H1060=$A$2,'Informe Kelly'!F1060,"")</f>
        <v/>
      </c>
      <c r="G1067" s="85">
        <f>IF('Informe Kelly'!H1060=$A$3,'Informe Kelly'!F1060,"")</f>
        <v>0.62557870370370372</v>
      </c>
      <c r="H1067" s="85">
        <f>IF(C1067=C1065,0,IF(D1067=D1066,0,(HLOOKUP(C1067,Ingreso!$AN$10:$AU$260,VLOOKUP(A1067,Ingreso!$AL$11:$AM$260,2,FALSE)))/24))</f>
        <v>0</v>
      </c>
      <c r="I1067" s="77">
        <f t="shared" si="33"/>
        <v>0</v>
      </c>
    </row>
    <row r="1068" spans="1:9">
      <c r="A1068" s="85" t="str">
        <f>VLOOKUP('Informe Kelly'!A1061,Base!A:B,2,FALSE)</f>
        <v>17.065.312-2</v>
      </c>
      <c r="B1068" s="85" t="str">
        <f>VLOOKUP('Informe Kelly'!A1061,Base!A:G,7,FALSE)</f>
        <v>GALVEZ CERNA ARIEL ALFREDO</v>
      </c>
      <c r="C1068" s="91">
        <f>'Informe Kelly'!E1061</f>
        <v>40645</v>
      </c>
      <c r="D1068" s="96">
        <f t="shared" si="32"/>
        <v>553</v>
      </c>
      <c r="E1068" s="85" t="str">
        <f>VLOOKUP(A1068,Ingreso!K:P,6,FALSE)</f>
        <v>Turno A</v>
      </c>
      <c r="F1068" s="85">
        <f>IF('Informe Kelly'!H1061=$A$2,'Informe Kelly'!F1061,"")</f>
        <v>0.55927083333333327</v>
      </c>
      <c r="G1068" s="85" t="str">
        <f>IF('Informe Kelly'!H1061=$A$3,'Informe Kelly'!F1061,"")</f>
        <v/>
      </c>
      <c r="H1068" s="85">
        <f>IF(C1068=C1066,0,IF(D1068=D1067,0,(HLOOKUP(C1068,Ingreso!$AN$10:$AU$260,VLOOKUP(A1068,Ingreso!$AL$11:$AM$260,2,FALSE)))/24))</f>
        <v>0</v>
      </c>
      <c r="I1068" s="77">
        <f t="shared" si="33"/>
        <v>0.3125</v>
      </c>
    </row>
    <row r="1069" spans="1:9">
      <c r="A1069" s="85" t="str">
        <f>VLOOKUP('Informe Kelly'!A1062,Base!A:B,2,FALSE)</f>
        <v>17.065.312-2</v>
      </c>
      <c r="B1069" s="85" t="str">
        <f>VLOOKUP('Informe Kelly'!A1062,Base!A:G,7,FALSE)</f>
        <v>GALVEZ CERNA ARIEL ALFREDO</v>
      </c>
      <c r="C1069" s="91">
        <f>'Informe Kelly'!E1062</f>
        <v>40645</v>
      </c>
      <c r="D1069" s="96">
        <f t="shared" si="32"/>
        <v>553</v>
      </c>
      <c r="E1069" s="85" t="str">
        <f>VLOOKUP(A1069,Ingreso!K:P,6,FALSE)</f>
        <v>Turno A</v>
      </c>
      <c r="F1069" s="85" t="str">
        <f>IF('Informe Kelly'!H1062=$A$2,'Informe Kelly'!F1062,"")</f>
        <v/>
      </c>
      <c r="G1069" s="85">
        <f>IF('Informe Kelly'!H1062=$A$3,'Informe Kelly'!F1062,"")</f>
        <v>0.62969907407407411</v>
      </c>
      <c r="H1069" s="85">
        <f>IF(C1069=C1067,0,IF(D1069=D1068,0,(HLOOKUP(C1069,Ingreso!$AN$10:$AU$260,VLOOKUP(A1069,Ingreso!$AL$11:$AM$260,2,FALSE)))/24))</f>
        <v>0</v>
      </c>
      <c r="I1069" s="77">
        <f t="shared" si="33"/>
        <v>0</v>
      </c>
    </row>
    <row r="1070" spans="1:9">
      <c r="A1070" s="85" t="str">
        <f>VLOOKUP('Informe Kelly'!A1063,Base!A:B,2,FALSE)</f>
        <v>17.065.312-2</v>
      </c>
      <c r="B1070" s="85" t="str">
        <f>VLOOKUP('Informe Kelly'!A1063,Base!A:G,7,FALSE)</f>
        <v>GALVEZ CERNA ARIEL ALFREDO</v>
      </c>
      <c r="C1070" s="91">
        <f>'Informe Kelly'!E1063</f>
        <v>40646</v>
      </c>
      <c r="D1070" s="96">
        <f t="shared" si="32"/>
        <v>554</v>
      </c>
      <c r="E1070" s="85" t="str">
        <f>VLOOKUP(A1070,Ingreso!K:P,6,FALSE)</f>
        <v>Turno A</v>
      </c>
      <c r="F1070" s="85">
        <f>IF('Informe Kelly'!H1063=$A$2,'Informe Kelly'!F1063,"")</f>
        <v>0.33030092592592591</v>
      </c>
      <c r="G1070" s="85" t="str">
        <f>IF('Informe Kelly'!H1063=$A$3,'Informe Kelly'!F1063,"")</f>
        <v/>
      </c>
      <c r="H1070" s="85">
        <f>IF(C1070=C1068,0,IF(D1070=D1069,0,(HLOOKUP(C1070,Ingreso!$AN$10:$AU$260,VLOOKUP(A1070,Ingreso!$AL$11:$AM$260,2,FALSE)))/24))</f>
        <v>0</v>
      </c>
      <c r="I1070" s="77">
        <f t="shared" si="33"/>
        <v>0.3125</v>
      </c>
    </row>
    <row r="1071" spans="1:9">
      <c r="A1071" s="85" t="str">
        <f>VLOOKUP('Informe Kelly'!A1064,Base!A:B,2,FALSE)</f>
        <v>17.065.312-2</v>
      </c>
      <c r="B1071" s="85" t="str">
        <f>VLOOKUP('Informe Kelly'!A1064,Base!A:G,7,FALSE)</f>
        <v>GALVEZ CERNA ARIEL ALFREDO</v>
      </c>
      <c r="C1071" s="91">
        <f>'Informe Kelly'!E1064</f>
        <v>40646</v>
      </c>
      <c r="D1071" s="96">
        <f t="shared" si="32"/>
        <v>554</v>
      </c>
      <c r="E1071" s="85" t="str">
        <f>VLOOKUP(A1071,Ingreso!K:P,6,FALSE)</f>
        <v>Turno A</v>
      </c>
      <c r="F1071" s="85" t="str">
        <f>IF('Informe Kelly'!H1064=$A$2,'Informe Kelly'!F1064,"")</f>
        <v/>
      </c>
      <c r="G1071" s="85">
        <f>IF('Informe Kelly'!H1064=$A$3,'Informe Kelly'!F1064,"")</f>
        <v>0.64563657407407404</v>
      </c>
      <c r="H1071" s="85">
        <f>IF(C1071=C1069,0,IF(D1071=D1070,0,(HLOOKUP(C1071,Ingreso!$AN$10:$AU$260,VLOOKUP(A1071,Ingreso!$AL$11:$AM$260,2,FALSE)))/24))</f>
        <v>0</v>
      </c>
      <c r="I1071" s="77">
        <f t="shared" si="33"/>
        <v>0</v>
      </c>
    </row>
    <row r="1072" spans="1:9">
      <c r="A1072" s="85" t="str">
        <f>VLOOKUP('Informe Kelly'!A1065,Base!A:B,2,FALSE)</f>
        <v>17.065.312-2</v>
      </c>
      <c r="B1072" s="85" t="str">
        <f>VLOOKUP('Informe Kelly'!A1065,Base!A:G,7,FALSE)</f>
        <v>GALVEZ CERNA ARIEL ALFREDO</v>
      </c>
      <c r="C1072" s="91">
        <f>'Informe Kelly'!E1065</f>
        <v>40647</v>
      </c>
      <c r="D1072" s="96">
        <f t="shared" si="32"/>
        <v>555</v>
      </c>
      <c r="E1072" s="85" t="str">
        <f>VLOOKUP(A1072,Ingreso!K:P,6,FALSE)</f>
        <v>Turno A</v>
      </c>
      <c r="F1072" s="85">
        <f>IF('Informe Kelly'!H1065=$A$2,'Informe Kelly'!F1065,"")</f>
        <v>0.32474537037037038</v>
      </c>
      <c r="G1072" s="85" t="str">
        <f>IF('Informe Kelly'!H1065=$A$3,'Informe Kelly'!F1065,"")</f>
        <v/>
      </c>
      <c r="H1072" s="85">
        <f>IF(C1072=C1070,0,IF(D1072=D1071,0,(HLOOKUP(C1072,Ingreso!$AN$10:$AU$260,VLOOKUP(A1072,Ingreso!$AL$11:$AM$260,2,FALSE)))/24))</f>
        <v>0</v>
      </c>
      <c r="I1072" s="77">
        <f t="shared" si="33"/>
        <v>0.3125</v>
      </c>
    </row>
    <row r="1073" spans="1:9">
      <c r="A1073" s="85" t="str">
        <f>VLOOKUP('Informe Kelly'!A1066,Base!A:B,2,FALSE)</f>
        <v>17.065.312-2</v>
      </c>
      <c r="B1073" s="85" t="str">
        <f>VLOOKUP('Informe Kelly'!A1066,Base!A:G,7,FALSE)</f>
        <v>GALVEZ CERNA ARIEL ALFREDO</v>
      </c>
      <c r="C1073" s="91">
        <f>'Informe Kelly'!E1066</f>
        <v>40647</v>
      </c>
      <c r="D1073" s="96">
        <f t="shared" si="32"/>
        <v>555</v>
      </c>
      <c r="E1073" s="85" t="str">
        <f>VLOOKUP(A1073,Ingreso!K:P,6,FALSE)</f>
        <v>Turno A</v>
      </c>
      <c r="F1073" s="85" t="str">
        <f>IF('Informe Kelly'!H1066=$A$2,'Informe Kelly'!F1066,"")</f>
        <v/>
      </c>
      <c r="G1073" s="85">
        <f>IF('Informe Kelly'!H1066=$A$3,'Informe Kelly'!F1066,"")</f>
        <v>0.62827546296296299</v>
      </c>
      <c r="H1073" s="85">
        <f>IF(C1073=C1071,0,IF(D1073=D1072,0,(HLOOKUP(C1073,Ingreso!$AN$10:$AU$260,VLOOKUP(A1073,Ingreso!$AL$11:$AM$260,2,FALSE)))/24))</f>
        <v>0</v>
      </c>
      <c r="I1073" s="77">
        <f t="shared" si="33"/>
        <v>0</v>
      </c>
    </row>
    <row r="1074" spans="1:9">
      <c r="A1074" s="85" t="str">
        <f>VLOOKUP('Informe Kelly'!A1067,Base!A:B,2,FALSE)</f>
        <v>17.065.312-2</v>
      </c>
      <c r="B1074" s="85" t="str">
        <f>VLOOKUP('Informe Kelly'!A1067,Base!A:G,7,FALSE)</f>
        <v>GALVEZ CERNA ARIEL ALFREDO</v>
      </c>
      <c r="C1074" s="91">
        <f>'Informe Kelly'!E1067</f>
        <v>40648</v>
      </c>
      <c r="D1074" s="96">
        <f t="shared" si="32"/>
        <v>556</v>
      </c>
      <c r="E1074" s="85" t="str">
        <f>VLOOKUP(A1074,Ingreso!K:P,6,FALSE)</f>
        <v>Turno A</v>
      </c>
      <c r="F1074" s="85" t="str">
        <f>IF('Informe Kelly'!H1067=$A$2,'Informe Kelly'!F1067,"")</f>
        <v/>
      </c>
      <c r="G1074" s="85">
        <f>IF('Informe Kelly'!H1067=$A$3,'Informe Kelly'!F1067,"")</f>
        <v>0.6407870370370371</v>
      </c>
      <c r="H1074" s="85">
        <f>IF(C1074=C1072,0,IF(D1074=D1073,0,(HLOOKUP(C1074,Ingreso!$AN$10:$AU$260,VLOOKUP(A1074,Ingreso!$AL$11:$AM$260,2,FALSE)))/24))</f>
        <v>0</v>
      </c>
      <c r="I1074" s="77">
        <f t="shared" si="33"/>
        <v>0.3125</v>
      </c>
    </row>
    <row r="1075" spans="1:9">
      <c r="A1075" s="85" t="str">
        <f>VLOOKUP('Informe Kelly'!A1068,Base!A:B,2,FALSE)</f>
        <v>17.065.312-2</v>
      </c>
      <c r="B1075" s="85" t="str">
        <f>VLOOKUP('Informe Kelly'!A1068,Base!A:G,7,FALSE)</f>
        <v>GALVEZ CERNA ARIEL ALFREDO</v>
      </c>
      <c r="C1075" s="91">
        <f>'Informe Kelly'!E1068</f>
        <v>40648</v>
      </c>
      <c r="D1075" s="96">
        <f t="shared" si="32"/>
        <v>556</v>
      </c>
      <c r="E1075" s="85" t="str">
        <f>VLOOKUP(A1075,Ingreso!K:P,6,FALSE)</f>
        <v>Turno A</v>
      </c>
      <c r="F1075" s="85">
        <f>IF('Informe Kelly'!H1068=$A$2,'Informe Kelly'!F1068,"")</f>
        <v>0.33680555555555558</v>
      </c>
      <c r="G1075" s="85" t="str">
        <f>IF('Informe Kelly'!H1068=$A$3,'Informe Kelly'!F1068,"")</f>
        <v/>
      </c>
      <c r="H1075" s="85">
        <f>IF(C1075=C1073,0,IF(D1075=D1074,0,(HLOOKUP(C1075,Ingreso!$AN$10:$AU$260,VLOOKUP(A1075,Ingreso!$AL$11:$AM$260,2,FALSE)))/24))</f>
        <v>0</v>
      </c>
      <c r="I1075" s="77">
        <f t="shared" si="33"/>
        <v>0</v>
      </c>
    </row>
    <row r="1076" spans="1:9">
      <c r="A1076" s="85" t="str">
        <f>VLOOKUP('Informe Kelly'!A1069,Base!A:B,2,FALSE)</f>
        <v>17.065.312-2</v>
      </c>
      <c r="B1076" s="85" t="str">
        <f>VLOOKUP('Informe Kelly'!A1069,Base!A:G,7,FALSE)</f>
        <v>GALVEZ CERNA ARIEL ALFREDO</v>
      </c>
      <c r="C1076" s="91">
        <f>'Informe Kelly'!E1069</f>
        <v>40649</v>
      </c>
      <c r="D1076" s="96">
        <f t="shared" si="32"/>
        <v>557</v>
      </c>
      <c r="E1076" s="85" t="str">
        <f>VLOOKUP(A1076,Ingreso!K:P,6,FALSE)</f>
        <v>Turno A</v>
      </c>
      <c r="F1076" s="85">
        <f>IF('Informe Kelly'!H1069=$A$2,'Informe Kelly'!F1069,"")</f>
        <v>0.63384259259259257</v>
      </c>
      <c r="G1076" s="85" t="str">
        <f>IF('Informe Kelly'!H1069=$A$3,'Informe Kelly'!F1069,"")</f>
        <v/>
      </c>
      <c r="H1076" s="85">
        <f>IF(C1076=C1074,0,IF(D1076=D1075,0,(HLOOKUP(C1076,Ingreso!$AN$10:$AU$260,VLOOKUP(A1076,Ingreso!$AL$11:$AM$260,2,FALSE)))/24))</f>
        <v>0</v>
      </c>
      <c r="I1076" s="77">
        <f t="shared" si="33"/>
        <v>0.3125</v>
      </c>
    </row>
    <row r="1077" spans="1:9">
      <c r="A1077" s="85" t="str">
        <f>VLOOKUP('Informe Kelly'!A1070,Base!A:B,2,FALSE)</f>
        <v>17.065.312-2</v>
      </c>
      <c r="B1077" s="85" t="str">
        <f>VLOOKUP('Informe Kelly'!A1070,Base!A:G,7,FALSE)</f>
        <v>GALVEZ CERNA ARIEL ALFREDO</v>
      </c>
      <c r="C1077" s="91">
        <f>'Informe Kelly'!E1070</f>
        <v>40649</v>
      </c>
      <c r="D1077" s="96">
        <f t="shared" si="32"/>
        <v>557</v>
      </c>
      <c r="E1077" s="85" t="str">
        <f>VLOOKUP(A1077,Ingreso!K:P,6,FALSE)</f>
        <v>Turno A</v>
      </c>
      <c r="F1077" s="85" t="str">
        <f>IF('Informe Kelly'!H1070=$A$2,'Informe Kelly'!F1070,"")</f>
        <v/>
      </c>
      <c r="G1077" s="85">
        <f>IF('Informe Kelly'!H1070=$A$3,'Informe Kelly'!F1070,"")</f>
        <v>0.91767361111111112</v>
      </c>
      <c r="H1077" s="85">
        <f>IF(C1077=C1075,0,IF(D1077=D1076,0,(HLOOKUP(C1077,Ingreso!$AN$10:$AU$260,VLOOKUP(A1077,Ingreso!$AL$11:$AM$260,2,FALSE)))/24))</f>
        <v>0</v>
      </c>
      <c r="I1077" s="77">
        <f t="shared" si="33"/>
        <v>0</v>
      </c>
    </row>
    <row r="1078" spans="1:9">
      <c r="A1078" s="85" t="str">
        <f>VLOOKUP('Informe Kelly'!A1071,Base!A:B,2,FALSE)</f>
        <v>17.245.009-1</v>
      </c>
      <c r="B1078" s="85" t="str">
        <f>VLOOKUP('Informe Kelly'!A1071,Base!A:G,7,FALSE)</f>
        <v>ROJAS SALAMANCA RODRIGO ALEJANDRO</v>
      </c>
      <c r="C1078" s="91">
        <f>'Informe Kelly'!E1071</f>
        <v>40644</v>
      </c>
      <c r="D1078" s="96">
        <f t="shared" si="32"/>
        <v>558</v>
      </c>
      <c r="E1078" s="85" t="str">
        <f>VLOOKUP(A1078,Ingreso!K:P,6,FALSE)</f>
        <v>Admin</v>
      </c>
      <c r="F1078" s="85">
        <f>IF('Informe Kelly'!H1071=$A$2,'Informe Kelly'!F1071,"")</f>
        <v>0.32055555555555554</v>
      </c>
      <c r="G1078" s="85" t="str">
        <f>IF('Informe Kelly'!H1071=$A$3,'Informe Kelly'!F1071,"")</f>
        <v/>
      </c>
      <c r="H1078" s="85">
        <f>IF(C1078=C1076,0,IF(D1078=D1077,0,(HLOOKUP(C1078,Ingreso!$AN$10:$AU$260,VLOOKUP(A1078,Ingreso!$AL$11:$AM$260,2,FALSE)))/24))</f>
        <v>0</v>
      </c>
      <c r="I1078" s="77">
        <f t="shared" si="33"/>
        <v>0.41666666666666669</v>
      </c>
    </row>
    <row r="1079" spans="1:9">
      <c r="A1079" s="85" t="str">
        <f>VLOOKUP('Informe Kelly'!A1072,Base!A:B,2,FALSE)</f>
        <v>17.245.009-1</v>
      </c>
      <c r="B1079" s="85" t="str">
        <f>VLOOKUP('Informe Kelly'!A1072,Base!A:G,7,FALSE)</f>
        <v>ROJAS SALAMANCA RODRIGO ALEJANDRO</v>
      </c>
      <c r="C1079" s="91">
        <f>'Informe Kelly'!E1072</f>
        <v>40644</v>
      </c>
      <c r="D1079" s="96">
        <f t="shared" si="32"/>
        <v>558</v>
      </c>
      <c r="E1079" s="85" t="str">
        <f>VLOOKUP(A1079,Ingreso!K:P,6,FALSE)</f>
        <v>Admin</v>
      </c>
      <c r="F1079" s="85" t="str">
        <f>IF('Informe Kelly'!H1072=$A$2,'Informe Kelly'!F1072,"")</f>
        <v/>
      </c>
      <c r="G1079" s="85">
        <f>IF('Informe Kelly'!H1072=$A$3,'Informe Kelly'!F1072,"")</f>
        <v>0.73329861111111105</v>
      </c>
      <c r="H1079" s="85">
        <f>IF(C1079=C1077,0,IF(D1079=D1078,0,(HLOOKUP(C1079,Ingreso!$AN$10:$AU$260,VLOOKUP(A1079,Ingreso!$AL$11:$AM$260,2,FALSE)))/24))</f>
        <v>0</v>
      </c>
      <c r="I1079" s="77">
        <f t="shared" si="33"/>
        <v>0</v>
      </c>
    </row>
    <row r="1080" spans="1:9">
      <c r="A1080" s="85" t="str">
        <f>VLOOKUP('Informe Kelly'!A1073,Base!A:B,2,FALSE)</f>
        <v>17.245.009-1</v>
      </c>
      <c r="B1080" s="85" t="str">
        <f>VLOOKUP('Informe Kelly'!A1073,Base!A:G,7,FALSE)</f>
        <v>ROJAS SALAMANCA RODRIGO ALEJANDRO</v>
      </c>
      <c r="C1080" s="91">
        <f>'Informe Kelly'!E1073</f>
        <v>40645</v>
      </c>
      <c r="D1080" s="96">
        <f t="shared" si="32"/>
        <v>559</v>
      </c>
      <c r="E1080" s="85" t="str">
        <f>VLOOKUP(A1080,Ingreso!K:P,6,FALSE)</f>
        <v>Admin</v>
      </c>
      <c r="F1080" s="85">
        <f>IF('Informe Kelly'!H1073=$A$2,'Informe Kelly'!F1073,"")</f>
        <v>0.32245370370370369</v>
      </c>
      <c r="G1080" s="85" t="str">
        <f>IF('Informe Kelly'!H1073=$A$3,'Informe Kelly'!F1073,"")</f>
        <v/>
      </c>
      <c r="H1080" s="85">
        <f>IF(C1080=C1078,0,IF(D1080=D1079,0,(HLOOKUP(C1080,Ingreso!$AN$10:$AU$260,VLOOKUP(A1080,Ingreso!$AL$11:$AM$260,2,FALSE)))/24))</f>
        <v>0</v>
      </c>
      <c r="I1080" s="77">
        <f t="shared" si="33"/>
        <v>0.41666666666666669</v>
      </c>
    </row>
    <row r="1081" spans="1:9">
      <c r="A1081" s="85" t="str">
        <f>VLOOKUP('Informe Kelly'!A1074,Base!A:B,2,FALSE)</f>
        <v>17.245.009-1</v>
      </c>
      <c r="B1081" s="85" t="str">
        <f>VLOOKUP('Informe Kelly'!A1074,Base!A:G,7,FALSE)</f>
        <v>ROJAS SALAMANCA RODRIGO ALEJANDRO</v>
      </c>
      <c r="C1081" s="91">
        <f>'Informe Kelly'!E1074</f>
        <v>40645</v>
      </c>
      <c r="D1081" s="96">
        <f t="shared" si="32"/>
        <v>559</v>
      </c>
      <c r="E1081" s="85" t="str">
        <f>VLOOKUP(A1081,Ingreso!K:P,6,FALSE)</f>
        <v>Admin</v>
      </c>
      <c r="F1081" s="85" t="str">
        <f>IF('Informe Kelly'!H1074=$A$2,'Informe Kelly'!F1074,"")</f>
        <v/>
      </c>
      <c r="G1081" s="85">
        <f>IF('Informe Kelly'!H1074=$A$3,'Informe Kelly'!F1074,"")</f>
        <v>0.73111111111111116</v>
      </c>
      <c r="H1081" s="85">
        <f>IF(C1081=C1079,0,IF(D1081=D1080,0,(HLOOKUP(C1081,Ingreso!$AN$10:$AU$260,VLOOKUP(A1081,Ingreso!$AL$11:$AM$260,2,FALSE)))/24))</f>
        <v>0</v>
      </c>
      <c r="I1081" s="77">
        <f t="shared" si="33"/>
        <v>0</v>
      </c>
    </row>
    <row r="1082" spans="1:9">
      <c r="A1082" s="85" t="str">
        <f>VLOOKUP('Informe Kelly'!A1075,Base!A:B,2,FALSE)</f>
        <v>17.245.009-1</v>
      </c>
      <c r="B1082" s="85" t="str">
        <f>VLOOKUP('Informe Kelly'!A1075,Base!A:G,7,FALSE)</f>
        <v>ROJAS SALAMANCA RODRIGO ALEJANDRO</v>
      </c>
      <c r="C1082" s="91">
        <f>'Informe Kelly'!E1075</f>
        <v>40646</v>
      </c>
      <c r="D1082" s="96">
        <f t="shared" si="32"/>
        <v>560</v>
      </c>
      <c r="E1082" s="85" t="str">
        <f>VLOOKUP(A1082,Ingreso!K:P,6,FALSE)</f>
        <v>Admin</v>
      </c>
      <c r="F1082" s="85">
        <f>IF('Informe Kelly'!H1075=$A$2,'Informe Kelly'!F1075,"")</f>
        <v>0.30034722222222221</v>
      </c>
      <c r="G1082" s="85" t="str">
        <f>IF('Informe Kelly'!H1075=$A$3,'Informe Kelly'!F1075,"")</f>
        <v/>
      </c>
      <c r="H1082" s="85">
        <f>IF(C1082=C1080,0,IF(D1082=D1081,0,(HLOOKUP(C1082,Ingreso!$AN$10:$AU$260,VLOOKUP(A1082,Ingreso!$AL$11:$AM$260,2,FALSE)))/24))</f>
        <v>0</v>
      </c>
      <c r="I1082" s="77">
        <f t="shared" si="33"/>
        <v>0.41666666666666669</v>
      </c>
    </row>
    <row r="1083" spans="1:9">
      <c r="A1083" s="85" t="str">
        <f>VLOOKUP('Informe Kelly'!A1076,Base!A:B,2,FALSE)</f>
        <v>17.245.009-1</v>
      </c>
      <c r="B1083" s="85" t="str">
        <f>VLOOKUP('Informe Kelly'!A1076,Base!A:G,7,FALSE)</f>
        <v>ROJAS SALAMANCA RODRIGO ALEJANDRO</v>
      </c>
      <c r="C1083" s="91">
        <f>'Informe Kelly'!E1076</f>
        <v>40646</v>
      </c>
      <c r="D1083" s="96">
        <f t="shared" si="32"/>
        <v>560</v>
      </c>
      <c r="E1083" s="85" t="str">
        <f>VLOOKUP(A1083,Ingreso!K:P,6,FALSE)</f>
        <v>Admin</v>
      </c>
      <c r="F1083" s="85" t="str">
        <f>IF('Informe Kelly'!H1076=$A$2,'Informe Kelly'!F1076,"")</f>
        <v/>
      </c>
      <c r="G1083" s="85">
        <f>IF('Informe Kelly'!H1076=$A$3,'Informe Kelly'!F1076,"")</f>
        <v>0.45249999999999996</v>
      </c>
      <c r="H1083" s="85">
        <f>IF(C1083=C1081,0,IF(D1083=D1082,0,(HLOOKUP(C1083,Ingreso!$AN$10:$AU$260,VLOOKUP(A1083,Ingreso!$AL$11:$AM$260,2,FALSE)))/24))</f>
        <v>0</v>
      </c>
      <c r="I1083" s="77">
        <f t="shared" si="33"/>
        <v>0</v>
      </c>
    </row>
    <row r="1084" spans="1:9">
      <c r="A1084" s="85" t="str">
        <f>VLOOKUP('Informe Kelly'!A1077,Base!A:B,2,FALSE)</f>
        <v>17.245.009-1</v>
      </c>
      <c r="B1084" s="85" t="str">
        <f>VLOOKUP('Informe Kelly'!A1077,Base!A:G,7,FALSE)</f>
        <v>ROJAS SALAMANCA RODRIGO ALEJANDRO</v>
      </c>
      <c r="C1084" s="91">
        <f>'Informe Kelly'!E1077</f>
        <v>40647</v>
      </c>
      <c r="D1084" s="96">
        <f t="shared" si="32"/>
        <v>561</v>
      </c>
      <c r="E1084" s="85" t="str">
        <f>VLOOKUP(A1084,Ingreso!K:P,6,FALSE)</f>
        <v>Admin</v>
      </c>
      <c r="F1084" s="85">
        <f>IF('Informe Kelly'!H1077=$A$2,'Informe Kelly'!F1077,"")</f>
        <v>0.29866898148148147</v>
      </c>
      <c r="G1084" s="85" t="str">
        <f>IF('Informe Kelly'!H1077=$A$3,'Informe Kelly'!F1077,"")</f>
        <v/>
      </c>
      <c r="H1084" s="85">
        <f>IF(C1084=C1082,0,IF(D1084=D1083,0,(HLOOKUP(C1084,Ingreso!$AN$10:$AU$260,VLOOKUP(A1084,Ingreso!$AL$11:$AM$260,2,FALSE)))/24))</f>
        <v>0</v>
      </c>
      <c r="I1084" s="77">
        <f t="shared" si="33"/>
        <v>0.41666666666666669</v>
      </c>
    </row>
    <row r="1085" spans="1:9">
      <c r="A1085" s="85" t="str">
        <f>VLOOKUP('Informe Kelly'!A1078,Base!A:B,2,FALSE)</f>
        <v>17.245.009-1</v>
      </c>
      <c r="B1085" s="85" t="str">
        <f>VLOOKUP('Informe Kelly'!A1078,Base!A:G,7,FALSE)</f>
        <v>ROJAS SALAMANCA RODRIGO ALEJANDRO</v>
      </c>
      <c r="C1085" s="91">
        <f>'Informe Kelly'!E1078</f>
        <v>40647</v>
      </c>
      <c r="D1085" s="96">
        <f t="shared" si="32"/>
        <v>561</v>
      </c>
      <c r="E1085" s="85" t="str">
        <f>VLOOKUP(A1085,Ingreso!K:P,6,FALSE)</f>
        <v>Admin</v>
      </c>
      <c r="F1085" s="85" t="str">
        <f>IF('Informe Kelly'!H1078=$A$2,'Informe Kelly'!F1078,"")</f>
        <v/>
      </c>
      <c r="G1085" s="85">
        <f>IF('Informe Kelly'!H1078=$A$3,'Informe Kelly'!F1078,"")</f>
        <v>0.73560185185185178</v>
      </c>
      <c r="H1085" s="85">
        <f>IF(C1085=C1083,0,IF(D1085=D1084,0,(HLOOKUP(C1085,Ingreso!$AN$10:$AU$260,VLOOKUP(A1085,Ingreso!$AL$11:$AM$260,2,FALSE)))/24))</f>
        <v>0</v>
      </c>
      <c r="I1085" s="77">
        <f t="shared" si="33"/>
        <v>0</v>
      </c>
    </row>
    <row r="1086" spans="1:9">
      <c r="A1086" s="85" t="str">
        <f>VLOOKUP('Informe Kelly'!A1079,Base!A:B,2,FALSE)</f>
        <v>17.245.009-1</v>
      </c>
      <c r="B1086" s="85" t="str">
        <f>VLOOKUP('Informe Kelly'!A1079,Base!A:G,7,FALSE)</f>
        <v>ROJAS SALAMANCA RODRIGO ALEJANDRO</v>
      </c>
      <c r="C1086" s="91">
        <f>'Informe Kelly'!E1079</f>
        <v>40648</v>
      </c>
      <c r="D1086" s="96">
        <f t="shared" si="32"/>
        <v>562</v>
      </c>
      <c r="E1086" s="85" t="str">
        <f>VLOOKUP(A1086,Ingreso!K:P,6,FALSE)</f>
        <v>Admin</v>
      </c>
      <c r="F1086" s="85" t="str">
        <f>IF('Informe Kelly'!H1079=$A$2,'Informe Kelly'!F1079,"")</f>
        <v/>
      </c>
      <c r="G1086" s="85">
        <f>IF('Informe Kelly'!H1079=$A$3,'Informe Kelly'!F1079,"")</f>
        <v>0.73589120370370376</v>
      </c>
      <c r="H1086" s="85">
        <f>IF(C1086=C1084,0,IF(D1086=D1085,0,(HLOOKUP(C1086,Ingreso!$AN$10:$AU$260,VLOOKUP(A1086,Ingreso!$AL$11:$AM$260,2,FALSE)))/24))</f>
        <v>0</v>
      </c>
      <c r="I1086" s="77">
        <f t="shared" si="33"/>
        <v>0.41666666666666669</v>
      </c>
    </row>
    <row r="1087" spans="1:9">
      <c r="A1087" s="85" t="str">
        <f>VLOOKUP('Informe Kelly'!A1080,Base!A:B,2,FALSE)</f>
        <v>17.245.009-1</v>
      </c>
      <c r="B1087" s="85" t="str">
        <f>VLOOKUP('Informe Kelly'!A1080,Base!A:G,7,FALSE)</f>
        <v>ROJAS SALAMANCA RODRIGO ALEJANDRO</v>
      </c>
      <c r="C1087" s="91">
        <f>'Informe Kelly'!E1080</f>
        <v>40648</v>
      </c>
      <c r="D1087" s="96">
        <f t="shared" si="32"/>
        <v>562</v>
      </c>
      <c r="E1087" s="85" t="str">
        <f>VLOOKUP(A1087,Ingreso!K:P,6,FALSE)</f>
        <v>Admin</v>
      </c>
      <c r="F1087" s="85">
        <f>IF('Informe Kelly'!H1080=$A$2,'Informe Kelly'!F1080,"")</f>
        <v>0.29704861111111108</v>
      </c>
      <c r="G1087" s="85" t="str">
        <f>IF('Informe Kelly'!H1080=$A$3,'Informe Kelly'!F1080,"")</f>
        <v/>
      </c>
      <c r="H1087" s="85">
        <f>IF(C1087=C1085,0,IF(D1087=D1086,0,(HLOOKUP(C1087,Ingreso!$AN$10:$AU$260,VLOOKUP(A1087,Ingreso!$AL$11:$AM$260,2,FALSE)))/24))</f>
        <v>0</v>
      </c>
      <c r="I1087" s="77">
        <f t="shared" si="33"/>
        <v>0</v>
      </c>
    </row>
    <row r="1088" spans="1:9">
      <c r="A1088" s="85" t="str">
        <f>VLOOKUP('Informe Kelly'!A1081,Base!A:B,2,FALSE)</f>
        <v>17.542.884-4</v>
      </c>
      <c r="B1088" s="85" t="str">
        <f>VLOOKUP('Informe Kelly'!A1081,Base!A:G,7,FALSE)</f>
        <v>CASTILLO  AHUMADA FRANCISCO</v>
      </c>
      <c r="C1088" s="91">
        <f>'Informe Kelly'!E1081</f>
        <v>40644</v>
      </c>
      <c r="D1088" s="96">
        <f t="shared" si="32"/>
        <v>563</v>
      </c>
      <c r="E1088" s="85" t="str">
        <f>VLOOKUP(A1088,Ingreso!K:P,6,FALSE)</f>
        <v>Turno C</v>
      </c>
      <c r="F1088" s="85">
        <f>IF('Informe Kelly'!H1081=$A$2,'Informe Kelly'!F1081,"")</f>
        <v>1.0601851851851854E-2</v>
      </c>
      <c r="G1088" s="85" t="str">
        <f>IF('Informe Kelly'!H1081=$A$3,'Informe Kelly'!F1081,"")</f>
        <v/>
      </c>
      <c r="H1088" s="85">
        <f>IF(C1088=C1086,0,IF(D1088=D1087,0,(HLOOKUP(C1088,Ingreso!$AN$10:$AU$260,VLOOKUP(A1088,Ingreso!$AL$11:$AM$260,2,FALSE)))/24))</f>
        <v>0.3125</v>
      </c>
      <c r="I1088" s="77">
        <f t="shared" si="33"/>
        <v>0.375</v>
      </c>
    </row>
    <row r="1089" spans="1:9">
      <c r="A1089" s="85" t="str">
        <f>VLOOKUP('Informe Kelly'!A1082,Base!A:B,2,FALSE)</f>
        <v>17.542.884-4</v>
      </c>
      <c r="B1089" s="85" t="str">
        <f>VLOOKUP('Informe Kelly'!A1082,Base!A:G,7,FALSE)</f>
        <v>CASTILLO  AHUMADA FRANCISCO</v>
      </c>
      <c r="C1089" s="91">
        <f>'Informe Kelly'!E1082</f>
        <v>40644</v>
      </c>
      <c r="D1089" s="96">
        <f t="shared" si="32"/>
        <v>563</v>
      </c>
      <c r="E1089" s="85" t="str">
        <f>VLOOKUP(A1089,Ingreso!K:P,6,FALSE)</f>
        <v>Turno C</v>
      </c>
      <c r="F1089" s="85" t="str">
        <f>IF('Informe Kelly'!H1082=$A$2,'Informe Kelly'!F1082,"")</f>
        <v/>
      </c>
      <c r="G1089" s="85">
        <f>IF('Informe Kelly'!H1082=$A$3,'Informe Kelly'!F1082,"")</f>
        <v>0.33907407407407408</v>
      </c>
      <c r="H1089" s="85">
        <f>IF(C1089=C1087,0,IF(D1089=D1088,0,(HLOOKUP(C1089,Ingreso!$AN$10:$AU$260,VLOOKUP(A1089,Ingreso!$AL$11:$AM$260,2,FALSE)))/24))</f>
        <v>0</v>
      </c>
      <c r="I1089" s="77">
        <f t="shared" si="33"/>
        <v>0</v>
      </c>
    </row>
    <row r="1090" spans="1:9">
      <c r="A1090" s="85" t="str">
        <f>VLOOKUP('Informe Kelly'!A1083,Base!A:B,2,FALSE)</f>
        <v>17.542.884-4</v>
      </c>
      <c r="B1090" s="85" t="str">
        <f>VLOOKUP('Informe Kelly'!A1083,Base!A:G,7,FALSE)</f>
        <v>CASTILLO  AHUMADA FRANCISCO</v>
      </c>
      <c r="C1090" s="91">
        <f>'Informe Kelly'!E1083</f>
        <v>40644</v>
      </c>
      <c r="D1090" s="96">
        <f t="shared" si="32"/>
        <v>564</v>
      </c>
      <c r="E1090" s="85" t="str">
        <f>VLOOKUP(A1090,Ingreso!K:P,6,FALSE)</f>
        <v>Turno C</v>
      </c>
      <c r="F1090" s="85">
        <f>IF('Informe Kelly'!H1083=$A$2,'Informe Kelly'!F1083,"")</f>
        <v>0.92001157407407408</v>
      </c>
      <c r="G1090" s="85" t="str">
        <f>IF('Informe Kelly'!H1083=$A$3,'Informe Kelly'!F1083,"")</f>
        <v/>
      </c>
      <c r="H1090" s="85">
        <f>IF(C1090=C1088,0,IF(D1090=D1089,0,(HLOOKUP(C1090,Ingreso!$AN$10:$AU$260,VLOOKUP(A1090,Ingreso!$AL$11:$AM$260,2,FALSE)))/24))</f>
        <v>0</v>
      </c>
      <c r="I1090" s="77">
        <f t="shared" si="33"/>
        <v>0</v>
      </c>
    </row>
    <row r="1091" spans="1:9">
      <c r="A1091" s="85" t="str">
        <f>VLOOKUP('Informe Kelly'!A1084,Base!A:B,2,FALSE)</f>
        <v>17.542.884-4</v>
      </c>
      <c r="B1091" s="85" t="str">
        <f>VLOOKUP('Informe Kelly'!A1084,Base!A:G,7,FALSE)</f>
        <v>CASTILLO  AHUMADA FRANCISCO</v>
      </c>
      <c r="C1091" s="91">
        <f>'Informe Kelly'!E1084</f>
        <v>40645</v>
      </c>
      <c r="D1091" s="96">
        <f t="shared" si="32"/>
        <v>565</v>
      </c>
      <c r="E1091" s="85" t="str">
        <f>VLOOKUP(A1091,Ingreso!K:P,6,FALSE)</f>
        <v>Turno C</v>
      </c>
      <c r="F1091" s="85" t="str">
        <f>IF('Informe Kelly'!H1084=$A$2,'Informe Kelly'!F1084,"")</f>
        <v/>
      </c>
      <c r="G1091" s="85">
        <f>IF('Informe Kelly'!H1084=$A$3,'Informe Kelly'!F1084,"")</f>
        <v>0.3263078703703704</v>
      </c>
      <c r="H1091" s="85">
        <f>IF(C1091=C1089,0,IF(D1091=D1090,0,(HLOOKUP(C1091,Ingreso!$AN$10:$AU$260,VLOOKUP(A1091,Ingreso!$AL$11:$AM$260,2,FALSE)))/24))</f>
        <v>0</v>
      </c>
      <c r="I1091" s="77">
        <f t="shared" si="33"/>
        <v>0.375</v>
      </c>
    </row>
    <row r="1092" spans="1:9">
      <c r="A1092" s="85" t="str">
        <f>VLOOKUP('Informe Kelly'!A1085,Base!A:B,2,FALSE)</f>
        <v>17.542.884-4</v>
      </c>
      <c r="B1092" s="85" t="str">
        <f>VLOOKUP('Informe Kelly'!A1085,Base!A:G,7,FALSE)</f>
        <v>CASTILLO  AHUMADA FRANCISCO</v>
      </c>
      <c r="C1092" s="91">
        <f>'Informe Kelly'!E1085</f>
        <v>40645</v>
      </c>
      <c r="D1092" s="96">
        <f t="shared" si="32"/>
        <v>565</v>
      </c>
      <c r="E1092" s="85" t="str">
        <f>VLOOKUP(A1092,Ingreso!K:P,6,FALSE)</f>
        <v>Turno C</v>
      </c>
      <c r="F1092" s="85">
        <f>IF('Informe Kelly'!H1085=$A$2,'Informe Kelly'!F1085,"")</f>
        <v>0.91952546296296289</v>
      </c>
      <c r="G1092" s="85" t="str">
        <f>IF('Informe Kelly'!H1085=$A$3,'Informe Kelly'!F1085,"")</f>
        <v/>
      </c>
      <c r="H1092" s="85">
        <f>IF(C1092=C1090,0,IF(D1092=D1091,0,(HLOOKUP(C1092,Ingreso!$AN$10:$AU$260,VLOOKUP(A1092,Ingreso!$AL$11:$AM$260,2,FALSE)))/24))</f>
        <v>0</v>
      </c>
      <c r="I1092" s="77">
        <f t="shared" si="33"/>
        <v>0</v>
      </c>
    </row>
    <row r="1093" spans="1:9">
      <c r="A1093" s="85" t="str">
        <f>VLOOKUP('Informe Kelly'!A1086,Base!A:B,2,FALSE)</f>
        <v>17.542.884-4</v>
      </c>
      <c r="B1093" s="85" t="str">
        <f>VLOOKUP('Informe Kelly'!A1086,Base!A:G,7,FALSE)</f>
        <v>CASTILLO  AHUMADA FRANCISCO</v>
      </c>
      <c r="C1093" s="91">
        <f>'Informe Kelly'!E1086</f>
        <v>40646</v>
      </c>
      <c r="D1093" s="96">
        <f t="shared" si="32"/>
        <v>566</v>
      </c>
      <c r="E1093" s="85" t="str">
        <f>VLOOKUP(A1093,Ingreso!K:P,6,FALSE)</f>
        <v>Turno C</v>
      </c>
      <c r="F1093" s="85" t="str">
        <f>IF('Informe Kelly'!H1086=$A$2,'Informe Kelly'!F1086,"")</f>
        <v/>
      </c>
      <c r="G1093" s="85">
        <f>IF('Informe Kelly'!H1086=$A$3,'Informe Kelly'!F1086,"")</f>
        <v>0.32657407407407407</v>
      </c>
      <c r="H1093" s="85">
        <f>IF(C1093=C1091,0,IF(D1093=D1092,0,(HLOOKUP(C1093,Ingreso!$AN$10:$AU$260,VLOOKUP(A1093,Ingreso!$AL$11:$AM$260,2,FALSE)))/24))</f>
        <v>0</v>
      </c>
      <c r="I1093" s="77">
        <f t="shared" si="33"/>
        <v>0.375</v>
      </c>
    </row>
    <row r="1094" spans="1:9">
      <c r="A1094" s="85" t="str">
        <f>VLOOKUP('Informe Kelly'!A1087,Base!A:B,2,FALSE)</f>
        <v>17.542.884-4</v>
      </c>
      <c r="B1094" s="85" t="str">
        <f>VLOOKUP('Informe Kelly'!A1087,Base!A:G,7,FALSE)</f>
        <v>CASTILLO  AHUMADA FRANCISCO</v>
      </c>
      <c r="C1094" s="91">
        <f>'Informe Kelly'!E1087</f>
        <v>40646</v>
      </c>
      <c r="D1094" s="96">
        <f t="shared" si="32"/>
        <v>566</v>
      </c>
      <c r="E1094" s="85" t="str">
        <f>VLOOKUP(A1094,Ingreso!K:P,6,FALSE)</f>
        <v>Turno C</v>
      </c>
      <c r="F1094" s="85">
        <f>IF('Informe Kelly'!H1087=$A$2,'Informe Kelly'!F1087,"")</f>
        <v>0.91900462962962959</v>
      </c>
      <c r="G1094" s="85" t="str">
        <f>IF('Informe Kelly'!H1087=$A$3,'Informe Kelly'!F1087,"")</f>
        <v/>
      </c>
      <c r="H1094" s="85">
        <f>IF(C1094=C1092,0,IF(D1094=D1093,0,(HLOOKUP(C1094,Ingreso!$AN$10:$AU$260,VLOOKUP(A1094,Ingreso!$AL$11:$AM$260,2,FALSE)))/24))</f>
        <v>0</v>
      </c>
      <c r="I1094" s="77">
        <f t="shared" si="33"/>
        <v>0</v>
      </c>
    </row>
    <row r="1095" spans="1:9">
      <c r="A1095" s="85" t="str">
        <f>VLOOKUP('Informe Kelly'!A1088,Base!A:B,2,FALSE)</f>
        <v>17.542.884-4</v>
      </c>
      <c r="B1095" s="85" t="str">
        <f>VLOOKUP('Informe Kelly'!A1088,Base!A:G,7,FALSE)</f>
        <v>CASTILLO  AHUMADA FRANCISCO</v>
      </c>
      <c r="C1095" s="91">
        <f>'Informe Kelly'!E1088</f>
        <v>40647</v>
      </c>
      <c r="D1095" s="96">
        <f t="shared" si="32"/>
        <v>567</v>
      </c>
      <c r="E1095" s="85" t="str">
        <f>VLOOKUP(A1095,Ingreso!K:P,6,FALSE)</f>
        <v>Turno C</v>
      </c>
      <c r="F1095" s="85" t="str">
        <f>IF('Informe Kelly'!H1088=$A$2,'Informe Kelly'!F1088,"")</f>
        <v/>
      </c>
      <c r="G1095" s="85">
        <f>IF('Informe Kelly'!H1088=$A$3,'Informe Kelly'!F1088,"")</f>
        <v>0.32709490740740738</v>
      </c>
      <c r="H1095" s="85">
        <f>IF(C1095=C1093,0,IF(D1095=D1094,0,(HLOOKUP(C1095,Ingreso!$AN$10:$AU$260,VLOOKUP(A1095,Ingreso!$AL$11:$AM$260,2,FALSE)))/24))</f>
        <v>0</v>
      </c>
      <c r="I1095" s="77">
        <f t="shared" si="33"/>
        <v>0.375</v>
      </c>
    </row>
    <row r="1096" spans="1:9">
      <c r="A1096" s="85" t="str">
        <f>VLOOKUP('Informe Kelly'!A1089,Base!A:B,2,FALSE)</f>
        <v>17.542.884-4</v>
      </c>
      <c r="B1096" s="85" t="str">
        <f>VLOOKUP('Informe Kelly'!A1089,Base!A:G,7,FALSE)</f>
        <v>CASTILLO  AHUMADA FRANCISCO</v>
      </c>
      <c r="C1096" s="91">
        <f>'Informe Kelly'!E1089</f>
        <v>40647</v>
      </c>
      <c r="D1096" s="96">
        <f t="shared" si="32"/>
        <v>567</v>
      </c>
      <c r="E1096" s="85" t="str">
        <f>VLOOKUP(A1096,Ingreso!K:P,6,FALSE)</f>
        <v>Turno C</v>
      </c>
      <c r="F1096" s="85">
        <f>IF('Informe Kelly'!H1089=$A$2,'Informe Kelly'!F1089,"")</f>
        <v>0.92143518518518519</v>
      </c>
      <c r="G1096" s="85" t="str">
        <f>IF('Informe Kelly'!H1089=$A$3,'Informe Kelly'!F1089,"")</f>
        <v/>
      </c>
      <c r="H1096" s="85">
        <f>IF(C1096=C1094,0,IF(D1096=D1095,0,(HLOOKUP(C1096,Ingreso!$AN$10:$AU$260,VLOOKUP(A1096,Ingreso!$AL$11:$AM$260,2,FALSE)))/24))</f>
        <v>0</v>
      </c>
      <c r="I1096" s="77">
        <f t="shared" si="33"/>
        <v>0</v>
      </c>
    </row>
    <row r="1097" spans="1:9">
      <c r="A1097" s="85" t="str">
        <f>VLOOKUP('Informe Kelly'!A1090,Base!A:B,2,FALSE)</f>
        <v>17.542.884-4</v>
      </c>
      <c r="B1097" s="85" t="str">
        <f>VLOOKUP('Informe Kelly'!A1090,Base!A:G,7,FALSE)</f>
        <v>CASTILLO  AHUMADA FRANCISCO</v>
      </c>
      <c r="C1097" s="91">
        <f>'Informe Kelly'!E1090</f>
        <v>40648</v>
      </c>
      <c r="D1097" s="96">
        <f t="shared" ref="D1097:D1160" si="34">IF(C1096=C1097,IF(C1097=C1094,D1096,IF(C1097=C1095,D1096+1,D1096)),D1096+1)</f>
        <v>568</v>
      </c>
      <c r="E1097" s="85" t="str">
        <f>VLOOKUP(A1097,Ingreso!K:P,6,FALSE)</f>
        <v>Turno C</v>
      </c>
      <c r="F1097" s="85">
        <f>IF('Informe Kelly'!H1090=$A$2,'Informe Kelly'!F1090,"")</f>
        <v>0.92655092592592592</v>
      </c>
      <c r="G1097" s="85" t="str">
        <f>IF('Informe Kelly'!H1090=$A$3,'Informe Kelly'!F1090,"")</f>
        <v/>
      </c>
      <c r="H1097" s="85">
        <f>IF(C1097=C1095,0,IF(D1097=D1096,0,(HLOOKUP(C1097,Ingreso!$AN$10:$AU$260,VLOOKUP(A1097,Ingreso!$AL$11:$AM$260,2,FALSE)))/24))</f>
        <v>0</v>
      </c>
      <c r="I1097" s="77">
        <f t="shared" si="33"/>
        <v>0.375</v>
      </c>
    </row>
    <row r="1098" spans="1:9">
      <c r="A1098" s="85" t="str">
        <f>VLOOKUP('Informe Kelly'!A1091,Base!A:B,2,FALSE)</f>
        <v>17.542.884-4</v>
      </c>
      <c r="B1098" s="85" t="str">
        <f>VLOOKUP('Informe Kelly'!A1091,Base!A:G,7,FALSE)</f>
        <v>CASTILLO  AHUMADA FRANCISCO</v>
      </c>
      <c r="C1098" s="91">
        <f>'Informe Kelly'!E1091</f>
        <v>40648</v>
      </c>
      <c r="D1098" s="96">
        <f t="shared" si="34"/>
        <v>568</v>
      </c>
      <c r="E1098" s="85" t="str">
        <f>VLOOKUP(A1098,Ingreso!K:P,6,FALSE)</f>
        <v>Turno C</v>
      </c>
      <c r="F1098" s="85" t="str">
        <f>IF('Informe Kelly'!H1091=$A$2,'Informe Kelly'!F1091,"")</f>
        <v/>
      </c>
      <c r="G1098" s="85">
        <f>IF('Informe Kelly'!H1091=$A$3,'Informe Kelly'!F1091,"")</f>
        <v>0.32796296296296296</v>
      </c>
      <c r="H1098" s="85">
        <f>IF(C1098=C1096,0,IF(D1098=D1097,0,(HLOOKUP(C1098,Ingreso!$AN$10:$AU$260,VLOOKUP(A1098,Ingreso!$AL$11:$AM$260,2,FALSE)))/24))</f>
        <v>0</v>
      </c>
      <c r="I1098" s="77">
        <f t="shared" ref="I1098:I1161" si="35">IF(C1098=C1096,0,IF(D1098=D1097,0,(VLOOKUP(E1098,$C$2:$D$5,2,FALSE))))</f>
        <v>0</v>
      </c>
    </row>
    <row r="1099" spans="1:9">
      <c r="A1099" s="85" t="str">
        <f>VLOOKUP('Informe Kelly'!A1092,Base!A:B,2,FALSE)</f>
        <v>17.542.884-4</v>
      </c>
      <c r="B1099" s="85" t="str">
        <f>VLOOKUP('Informe Kelly'!A1092,Base!A:G,7,FALSE)</f>
        <v>CASTILLO  AHUMADA FRANCISCO</v>
      </c>
      <c r="C1099" s="91">
        <f>'Informe Kelly'!E1092</f>
        <v>40649</v>
      </c>
      <c r="D1099" s="96">
        <f t="shared" si="34"/>
        <v>569</v>
      </c>
      <c r="E1099" s="85" t="str">
        <f>VLOOKUP(A1099,Ingreso!K:P,6,FALSE)</f>
        <v>Turno C</v>
      </c>
      <c r="F1099" s="85" t="str">
        <f>IF('Informe Kelly'!H1092=$A$2,'Informe Kelly'!F1092,"")</f>
        <v/>
      </c>
      <c r="G1099" s="85">
        <f>IF('Informe Kelly'!H1092=$A$3,'Informe Kelly'!F1092,"")</f>
        <v>0.32710648148148147</v>
      </c>
      <c r="H1099" s="85">
        <f>IF(C1099=C1097,0,IF(D1099=D1098,0,(HLOOKUP(C1099,Ingreso!$AN$10:$AU$260,VLOOKUP(A1099,Ingreso!$AL$11:$AM$260,2,FALSE)))/24))</f>
        <v>0</v>
      </c>
      <c r="I1099" s="77">
        <f t="shared" si="35"/>
        <v>0.375</v>
      </c>
    </row>
    <row r="1100" spans="1:9">
      <c r="A1100" s="85" t="str">
        <f>VLOOKUP('Informe Kelly'!A1093,Base!A:B,2,FALSE)</f>
        <v>17.609.782-5</v>
      </c>
      <c r="B1100" s="85" t="str">
        <f>VLOOKUP('Informe Kelly'!A1093,Base!A:G,7,FALSE)</f>
        <v>ALVAREZ REYES CRISTIAN DANIEL</v>
      </c>
      <c r="C1100" s="91">
        <f>'Informe Kelly'!E1093</f>
        <v>40645</v>
      </c>
      <c r="D1100" s="96">
        <f t="shared" si="34"/>
        <v>570</v>
      </c>
      <c r="E1100" s="85" t="str">
        <f>VLOOKUP(A1100,Ingreso!K:P,6,FALSE)</f>
        <v>Admin</v>
      </c>
      <c r="F1100" s="85">
        <f>IF('Informe Kelly'!H1093=$A$2,'Informe Kelly'!F1093,"")</f>
        <v>0.32047453703703704</v>
      </c>
      <c r="G1100" s="85" t="str">
        <f>IF('Informe Kelly'!H1093=$A$3,'Informe Kelly'!F1093,"")</f>
        <v/>
      </c>
      <c r="H1100" s="85">
        <f>IF(C1100=C1098,0,IF(D1100=D1099,0,(HLOOKUP(C1100,Ingreso!$AN$10:$AU$260,VLOOKUP(A1100,Ingreso!$AL$11:$AM$260,2,FALSE)))/24))</f>
        <v>0</v>
      </c>
      <c r="I1100" s="77">
        <f t="shared" si="35"/>
        <v>0.41666666666666669</v>
      </c>
    </row>
    <row r="1101" spans="1:9">
      <c r="A1101" s="85" t="str">
        <f>VLOOKUP('Informe Kelly'!A1094,Base!A:B,2,FALSE)</f>
        <v>17.609.782-5</v>
      </c>
      <c r="B1101" s="85" t="str">
        <f>VLOOKUP('Informe Kelly'!A1094,Base!A:G,7,FALSE)</f>
        <v>ALVAREZ REYES CRISTIAN DANIEL</v>
      </c>
      <c r="C1101" s="91">
        <f>'Informe Kelly'!E1094</f>
        <v>40645</v>
      </c>
      <c r="D1101" s="96">
        <f t="shared" si="34"/>
        <v>570</v>
      </c>
      <c r="E1101" s="85" t="str">
        <f>VLOOKUP(A1101,Ingreso!K:P,6,FALSE)</f>
        <v>Admin</v>
      </c>
      <c r="F1101" s="85" t="str">
        <f>IF('Informe Kelly'!H1094=$A$2,'Informe Kelly'!F1094,"")</f>
        <v/>
      </c>
      <c r="G1101" s="85">
        <f>IF('Informe Kelly'!H1094=$A$3,'Informe Kelly'!F1094,"")</f>
        <v>0.72886574074074073</v>
      </c>
      <c r="H1101" s="85">
        <f>IF(C1101=C1099,0,IF(D1101=D1100,0,(HLOOKUP(C1101,Ingreso!$AN$10:$AU$260,VLOOKUP(A1101,Ingreso!$AL$11:$AM$260,2,FALSE)))/24))</f>
        <v>0</v>
      </c>
      <c r="I1101" s="77">
        <f t="shared" si="35"/>
        <v>0</v>
      </c>
    </row>
    <row r="1102" spans="1:9">
      <c r="A1102" s="85" t="str">
        <f>VLOOKUP('Informe Kelly'!A1095,Base!A:B,2,FALSE)</f>
        <v>17.609.782-5</v>
      </c>
      <c r="B1102" s="85" t="str">
        <f>VLOOKUP('Informe Kelly'!A1095,Base!A:G,7,FALSE)</f>
        <v>ALVAREZ REYES CRISTIAN DANIEL</v>
      </c>
      <c r="C1102" s="91">
        <f>'Informe Kelly'!E1095</f>
        <v>40646</v>
      </c>
      <c r="D1102" s="96">
        <f t="shared" si="34"/>
        <v>571</v>
      </c>
      <c r="E1102" s="85" t="str">
        <f>VLOOKUP(A1102,Ingreso!K:P,6,FALSE)</f>
        <v>Admin</v>
      </c>
      <c r="F1102" s="85">
        <f>IF('Informe Kelly'!H1095=$A$2,'Informe Kelly'!F1095,"")</f>
        <v>0.3221296296296296</v>
      </c>
      <c r="G1102" s="85" t="str">
        <f>IF('Informe Kelly'!H1095=$A$3,'Informe Kelly'!F1095,"")</f>
        <v/>
      </c>
      <c r="H1102" s="85">
        <f>IF(C1102=C1100,0,IF(D1102=D1101,0,(HLOOKUP(C1102,Ingreso!$AN$10:$AU$260,VLOOKUP(A1102,Ingreso!$AL$11:$AM$260,2,FALSE)))/24))</f>
        <v>8.3333333333333329E-2</v>
      </c>
      <c r="I1102" s="77">
        <f t="shared" si="35"/>
        <v>0.41666666666666669</v>
      </c>
    </row>
    <row r="1103" spans="1:9">
      <c r="A1103" s="85" t="str">
        <f>VLOOKUP('Informe Kelly'!A1096,Base!A:B,2,FALSE)</f>
        <v>17.609.782-5</v>
      </c>
      <c r="B1103" s="85" t="str">
        <f>VLOOKUP('Informe Kelly'!A1096,Base!A:G,7,FALSE)</f>
        <v>ALVAREZ REYES CRISTIAN DANIEL</v>
      </c>
      <c r="C1103" s="91">
        <f>'Informe Kelly'!E1096</f>
        <v>40646</v>
      </c>
      <c r="D1103" s="96">
        <f t="shared" si="34"/>
        <v>571</v>
      </c>
      <c r="E1103" s="85" t="str">
        <f>VLOOKUP(A1103,Ingreso!K:P,6,FALSE)</f>
        <v>Admin</v>
      </c>
      <c r="F1103" s="85" t="str">
        <f>IF('Informe Kelly'!H1096=$A$2,'Informe Kelly'!F1096,"")</f>
        <v/>
      </c>
      <c r="G1103" s="85">
        <f>IF('Informe Kelly'!H1096=$A$3,'Informe Kelly'!F1096,"")</f>
        <v>0.73424768518518524</v>
      </c>
      <c r="H1103" s="85">
        <f>IF(C1103=C1101,0,IF(D1103=D1102,0,(HLOOKUP(C1103,Ingreso!$AN$10:$AU$260,VLOOKUP(A1103,Ingreso!$AL$11:$AM$260,2,FALSE)))/24))</f>
        <v>0</v>
      </c>
      <c r="I1103" s="77">
        <f t="shared" si="35"/>
        <v>0</v>
      </c>
    </row>
    <row r="1104" spans="1:9">
      <c r="A1104" s="85" t="str">
        <f>VLOOKUP('Informe Kelly'!A1097,Base!A:B,2,FALSE)</f>
        <v>17.609.782-5</v>
      </c>
      <c r="B1104" s="85" t="str">
        <f>VLOOKUP('Informe Kelly'!A1097,Base!A:G,7,FALSE)</f>
        <v>ALVAREZ REYES CRISTIAN DANIEL</v>
      </c>
      <c r="C1104" s="91">
        <f>'Informe Kelly'!E1097</f>
        <v>40647</v>
      </c>
      <c r="D1104" s="96">
        <f t="shared" si="34"/>
        <v>572</v>
      </c>
      <c r="E1104" s="85" t="str">
        <f>VLOOKUP(A1104,Ingreso!K:P,6,FALSE)</f>
        <v>Admin</v>
      </c>
      <c r="F1104" s="85">
        <f>IF('Informe Kelly'!H1097=$A$2,'Informe Kelly'!F1097,"")</f>
        <v>0.32364583333333335</v>
      </c>
      <c r="G1104" s="85" t="str">
        <f>IF('Informe Kelly'!H1097=$A$3,'Informe Kelly'!F1097,"")</f>
        <v/>
      </c>
      <c r="H1104" s="85">
        <f>IF(C1104=C1102,0,IF(D1104=D1103,0,(HLOOKUP(C1104,Ingreso!$AN$10:$AU$260,VLOOKUP(A1104,Ingreso!$AL$11:$AM$260,2,FALSE)))/24))</f>
        <v>0</v>
      </c>
      <c r="I1104" s="77">
        <f t="shared" si="35"/>
        <v>0.41666666666666669</v>
      </c>
    </row>
    <row r="1105" spans="1:9">
      <c r="A1105" s="85" t="str">
        <f>VLOOKUP('Informe Kelly'!A1098,Base!A:B,2,FALSE)</f>
        <v>17.609.782-5</v>
      </c>
      <c r="B1105" s="85" t="str">
        <f>VLOOKUP('Informe Kelly'!A1098,Base!A:G,7,FALSE)</f>
        <v>ALVAREZ REYES CRISTIAN DANIEL</v>
      </c>
      <c r="C1105" s="91">
        <f>'Informe Kelly'!E1098</f>
        <v>40647</v>
      </c>
      <c r="D1105" s="96">
        <f t="shared" si="34"/>
        <v>572</v>
      </c>
      <c r="E1105" s="85" t="str">
        <f>VLOOKUP(A1105,Ingreso!K:P,6,FALSE)</f>
        <v>Admin</v>
      </c>
      <c r="F1105" s="85" t="str">
        <f>IF('Informe Kelly'!H1098=$A$2,'Informe Kelly'!F1098,"")</f>
        <v/>
      </c>
      <c r="G1105" s="85">
        <f>IF('Informe Kelly'!H1098=$A$3,'Informe Kelly'!F1098,"")</f>
        <v>0.80555555555555547</v>
      </c>
      <c r="H1105" s="85">
        <f>IF(C1105=C1103,0,IF(D1105=D1104,0,(HLOOKUP(C1105,Ingreso!$AN$10:$AU$260,VLOOKUP(A1105,Ingreso!$AL$11:$AM$260,2,FALSE)))/24))</f>
        <v>0</v>
      </c>
      <c r="I1105" s="77">
        <f t="shared" si="35"/>
        <v>0</v>
      </c>
    </row>
    <row r="1106" spans="1:9">
      <c r="A1106" s="85" t="str">
        <f>VLOOKUP('Informe Kelly'!A1099,Base!A:B,2,FALSE)</f>
        <v>17.609.782-5</v>
      </c>
      <c r="B1106" s="85" t="str">
        <f>VLOOKUP('Informe Kelly'!A1099,Base!A:G,7,FALSE)</f>
        <v>ALVAREZ REYES CRISTIAN DANIEL</v>
      </c>
      <c r="C1106" s="91">
        <f>'Informe Kelly'!E1099</f>
        <v>40648</v>
      </c>
      <c r="D1106" s="96">
        <f t="shared" si="34"/>
        <v>573</v>
      </c>
      <c r="E1106" s="85" t="str">
        <f>VLOOKUP(A1106,Ingreso!K:P,6,FALSE)</f>
        <v>Admin</v>
      </c>
      <c r="F1106" s="85">
        <f>IF('Informe Kelly'!H1099=$A$2,'Informe Kelly'!F1099,"")</f>
        <v>0.31962962962962965</v>
      </c>
      <c r="G1106" s="85" t="str">
        <f>IF('Informe Kelly'!H1099=$A$3,'Informe Kelly'!F1099,"")</f>
        <v/>
      </c>
      <c r="H1106" s="85">
        <f>IF(C1106=C1104,0,IF(D1106=D1105,0,(HLOOKUP(C1106,Ingreso!$AN$10:$AU$260,VLOOKUP(A1106,Ingreso!$AL$11:$AM$260,2,FALSE)))/24))</f>
        <v>0</v>
      </c>
      <c r="I1106" s="77">
        <f t="shared" si="35"/>
        <v>0.41666666666666669</v>
      </c>
    </row>
    <row r="1107" spans="1:9">
      <c r="A1107" s="85" t="str">
        <f>VLOOKUP('Informe Kelly'!A1100,Base!A:B,2,FALSE)</f>
        <v>17.609.782-5</v>
      </c>
      <c r="B1107" s="85" t="str">
        <f>VLOOKUP('Informe Kelly'!A1100,Base!A:G,7,FALSE)</f>
        <v>ALVAREZ REYES CRISTIAN DANIEL</v>
      </c>
      <c r="C1107" s="91">
        <f>'Informe Kelly'!E1100</f>
        <v>40648</v>
      </c>
      <c r="D1107" s="96">
        <f t="shared" si="34"/>
        <v>573</v>
      </c>
      <c r="E1107" s="85" t="str">
        <f>VLOOKUP(A1107,Ingreso!K:P,6,FALSE)</f>
        <v>Admin</v>
      </c>
      <c r="F1107" s="85" t="str">
        <f>IF('Informe Kelly'!H1100=$A$2,'Informe Kelly'!F1100,"")</f>
        <v/>
      </c>
      <c r="G1107" s="85">
        <f>IF('Informe Kelly'!H1100=$A$3,'Informe Kelly'!F1100,"")</f>
        <v>0.73304398148148142</v>
      </c>
      <c r="H1107" s="85">
        <f>IF(C1107=C1105,0,IF(D1107=D1106,0,(HLOOKUP(C1107,Ingreso!$AN$10:$AU$260,VLOOKUP(A1107,Ingreso!$AL$11:$AM$260,2,FALSE)))/24))</f>
        <v>0</v>
      </c>
      <c r="I1107" s="77">
        <f t="shared" si="35"/>
        <v>0</v>
      </c>
    </row>
    <row r="1108" spans="1:9">
      <c r="A1108" s="85" t="str">
        <f>VLOOKUP('Informe Kelly'!A1101,Base!A:B,2,FALSE)</f>
        <v>17.929.108-8</v>
      </c>
      <c r="B1108" s="85" t="str">
        <f>VLOOKUP('Informe Kelly'!A1101,Base!A:G,7,FALSE)</f>
        <v>DONOSO SANTIBAÑEZ CRISTIAN ALFREDO</v>
      </c>
      <c r="C1108" s="91">
        <f>'Informe Kelly'!E1101</f>
        <v>40644</v>
      </c>
      <c r="D1108" s="96">
        <f t="shared" si="34"/>
        <v>574</v>
      </c>
      <c r="E1108" s="85" t="e">
        <f>VLOOKUP(A1108,Ingreso!K:P,6,FALSE)</f>
        <v>#N/A</v>
      </c>
      <c r="F1108" s="85">
        <f>IF('Informe Kelly'!H1101=$A$2,'Informe Kelly'!F1101,"")</f>
        <v>0.92137731481481477</v>
      </c>
      <c r="G1108" s="85" t="str">
        <f>IF('Informe Kelly'!H1101=$A$3,'Informe Kelly'!F1101,"")</f>
        <v/>
      </c>
      <c r="H1108" s="85" t="e">
        <f>IF(C1108=C1106,0,IF(D1108=D1107,0,(HLOOKUP(C1108,Ingreso!$AN$10:$AU$260,VLOOKUP(A1108,Ingreso!$AL$11:$AM$260,2,FALSE)))/24))</f>
        <v>#N/A</v>
      </c>
      <c r="I1108" s="77" t="e">
        <f t="shared" si="35"/>
        <v>#N/A</v>
      </c>
    </row>
    <row r="1109" spans="1:9">
      <c r="A1109" s="85" t="str">
        <f>VLOOKUP('Informe Kelly'!A1102,Base!A:B,2,FALSE)</f>
        <v>17.929.108-8</v>
      </c>
      <c r="B1109" s="85" t="str">
        <f>VLOOKUP('Informe Kelly'!A1102,Base!A:G,7,FALSE)</f>
        <v>DONOSO SANTIBAÑEZ CRISTIAN ALFREDO</v>
      </c>
      <c r="C1109" s="91">
        <f>'Informe Kelly'!E1102</f>
        <v>40645</v>
      </c>
      <c r="D1109" s="96">
        <f t="shared" si="34"/>
        <v>575</v>
      </c>
      <c r="E1109" s="85" t="e">
        <f>VLOOKUP(A1109,Ingreso!K:P,6,FALSE)</f>
        <v>#N/A</v>
      </c>
      <c r="F1109" s="85" t="str">
        <f>IF('Informe Kelly'!H1102=$A$2,'Informe Kelly'!F1102,"")</f>
        <v/>
      </c>
      <c r="G1109" s="85">
        <f>IF('Informe Kelly'!H1102=$A$3,'Informe Kelly'!F1102,"")</f>
        <v>0.32702546296296298</v>
      </c>
      <c r="H1109" s="85" t="e">
        <f>IF(C1109=C1107,0,IF(D1109=D1108,0,(HLOOKUP(C1109,Ingreso!$AN$10:$AU$260,VLOOKUP(A1109,Ingreso!$AL$11:$AM$260,2,FALSE)))/24))</f>
        <v>#N/A</v>
      </c>
      <c r="I1109" s="77" t="e">
        <f t="shared" si="35"/>
        <v>#N/A</v>
      </c>
    </row>
    <row r="1110" spans="1:9">
      <c r="A1110" s="85" t="str">
        <f>VLOOKUP('Informe Kelly'!A1103,Base!A:B,2,FALSE)</f>
        <v>17.929.108-8</v>
      </c>
      <c r="B1110" s="85" t="str">
        <f>VLOOKUP('Informe Kelly'!A1103,Base!A:G,7,FALSE)</f>
        <v>DONOSO SANTIBAÑEZ CRISTIAN ALFREDO</v>
      </c>
      <c r="C1110" s="91">
        <f>'Informe Kelly'!E1103</f>
        <v>40645</v>
      </c>
      <c r="D1110" s="96">
        <f t="shared" si="34"/>
        <v>575</v>
      </c>
      <c r="E1110" s="85" t="e">
        <f>VLOOKUP(A1110,Ingreso!K:P,6,FALSE)</f>
        <v>#N/A</v>
      </c>
      <c r="F1110" s="85">
        <f>IF('Informe Kelly'!H1103=$A$2,'Informe Kelly'!F1103,"")</f>
        <v>0.91957175925925927</v>
      </c>
      <c r="G1110" s="85" t="str">
        <f>IF('Informe Kelly'!H1103=$A$3,'Informe Kelly'!F1103,"")</f>
        <v/>
      </c>
      <c r="H1110" s="85">
        <f>IF(C1110=C1108,0,IF(D1110=D1109,0,(HLOOKUP(C1110,Ingreso!$AN$10:$AU$260,VLOOKUP(A1110,Ingreso!$AL$11:$AM$260,2,FALSE)))/24))</f>
        <v>0</v>
      </c>
      <c r="I1110" s="77">
        <f t="shared" si="35"/>
        <v>0</v>
      </c>
    </row>
    <row r="1111" spans="1:9">
      <c r="A1111" s="85" t="str">
        <f>VLOOKUP('Informe Kelly'!A1104,Base!A:B,2,FALSE)</f>
        <v>17.929.108-8</v>
      </c>
      <c r="B1111" s="85" t="str">
        <f>VLOOKUP('Informe Kelly'!A1104,Base!A:G,7,FALSE)</f>
        <v>DONOSO SANTIBAÑEZ CRISTIAN ALFREDO</v>
      </c>
      <c r="C1111" s="91">
        <f>'Informe Kelly'!E1104</f>
        <v>40646</v>
      </c>
      <c r="D1111" s="96">
        <f t="shared" si="34"/>
        <v>576</v>
      </c>
      <c r="E1111" s="85" t="e">
        <f>VLOOKUP(A1111,Ingreso!K:P,6,FALSE)</f>
        <v>#N/A</v>
      </c>
      <c r="F1111" s="85" t="str">
        <f>IF('Informe Kelly'!H1104=$A$2,'Informe Kelly'!F1104,"")</f>
        <v/>
      </c>
      <c r="G1111" s="85">
        <f>IF('Informe Kelly'!H1104=$A$3,'Informe Kelly'!F1104,"")</f>
        <v>0.32750000000000001</v>
      </c>
      <c r="H1111" s="85" t="e">
        <f>IF(C1111=C1109,0,IF(D1111=D1110,0,(HLOOKUP(C1111,Ingreso!$AN$10:$AU$260,VLOOKUP(A1111,Ingreso!$AL$11:$AM$260,2,FALSE)))/24))</f>
        <v>#N/A</v>
      </c>
      <c r="I1111" s="77" t="e">
        <f t="shared" si="35"/>
        <v>#N/A</v>
      </c>
    </row>
    <row r="1112" spans="1:9">
      <c r="A1112" s="85" t="str">
        <f>VLOOKUP('Informe Kelly'!A1105,Base!A:B,2,FALSE)</f>
        <v>17.929.108-8</v>
      </c>
      <c r="B1112" s="85" t="str">
        <f>VLOOKUP('Informe Kelly'!A1105,Base!A:G,7,FALSE)</f>
        <v>DONOSO SANTIBAÑEZ CRISTIAN ALFREDO</v>
      </c>
      <c r="C1112" s="91">
        <f>'Informe Kelly'!E1105</f>
        <v>40646</v>
      </c>
      <c r="D1112" s="96">
        <f t="shared" si="34"/>
        <v>576</v>
      </c>
      <c r="E1112" s="85" t="e">
        <f>VLOOKUP(A1112,Ingreso!K:P,6,FALSE)</f>
        <v>#N/A</v>
      </c>
      <c r="F1112" s="85">
        <f>IF('Informe Kelly'!H1105=$A$2,'Informe Kelly'!F1105,"")</f>
        <v>0.92143518518518519</v>
      </c>
      <c r="G1112" s="85" t="str">
        <f>IF('Informe Kelly'!H1105=$A$3,'Informe Kelly'!F1105,"")</f>
        <v/>
      </c>
      <c r="H1112" s="85">
        <f>IF(C1112=C1110,0,IF(D1112=D1111,0,(HLOOKUP(C1112,Ingreso!$AN$10:$AU$260,VLOOKUP(A1112,Ingreso!$AL$11:$AM$260,2,FALSE)))/24))</f>
        <v>0</v>
      </c>
      <c r="I1112" s="77">
        <f t="shared" si="35"/>
        <v>0</v>
      </c>
    </row>
    <row r="1113" spans="1:9">
      <c r="A1113" s="85" t="str">
        <f>VLOOKUP('Informe Kelly'!A1106,Base!A:B,2,FALSE)</f>
        <v>17.929.108-8</v>
      </c>
      <c r="B1113" s="85" t="str">
        <f>VLOOKUP('Informe Kelly'!A1106,Base!A:G,7,FALSE)</f>
        <v>DONOSO SANTIBAÑEZ CRISTIAN ALFREDO</v>
      </c>
      <c r="C1113" s="91">
        <f>'Informe Kelly'!E1106</f>
        <v>40647</v>
      </c>
      <c r="D1113" s="96">
        <f t="shared" si="34"/>
        <v>577</v>
      </c>
      <c r="E1113" s="85" t="e">
        <f>VLOOKUP(A1113,Ingreso!K:P,6,FALSE)</f>
        <v>#N/A</v>
      </c>
      <c r="F1113" s="85" t="str">
        <f>IF('Informe Kelly'!H1106=$A$2,'Informe Kelly'!F1106,"")</f>
        <v/>
      </c>
      <c r="G1113" s="85">
        <f>IF('Informe Kelly'!H1106=$A$3,'Informe Kelly'!F1106,"")</f>
        <v>0.33026620370370369</v>
      </c>
      <c r="H1113" s="85" t="e">
        <f>IF(C1113=C1111,0,IF(D1113=D1112,0,(HLOOKUP(C1113,Ingreso!$AN$10:$AU$260,VLOOKUP(A1113,Ingreso!$AL$11:$AM$260,2,FALSE)))/24))</f>
        <v>#N/A</v>
      </c>
      <c r="I1113" s="77" t="e">
        <f t="shared" si="35"/>
        <v>#N/A</v>
      </c>
    </row>
    <row r="1114" spans="1:9">
      <c r="A1114" s="85" t="str">
        <f>VLOOKUP('Informe Kelly'!A1107,Base!A:B,2,FALSE)</f>
        <v>17.929.108-8</v>
      </c>
      <c r="B1114" s="85" t="str">
        <f>VLOOKUP('Informe Kelly'!A1107,Base!A:G,7,FALSE)</f>
        <v>DONOSO SANTIBAÑEZ CRISTIAN ALFREDO</v>
      </c>
      <c r="C1114" s="91">
        <f>'Informe Kelly'!E1107</f>
        <v>40647</v>
      </c>
      <c r="D1114" s="96">
        <f t="shared" si="34"/>
        <v>577</v>
      </c>
      <c r="E1114" s="85" t="e">
        <f>VLOOKUP(A1114,Ingreso!K:P,6,FALSE)</f>
        <v>#N/A</v>
      </c>
      <c r="F1114" s="85">
        <f>IF('Informe Kelly'!H1107=$A$2,'Informe Kelly'!F1107,"")</f>
        <v>0.92087962962962966</v>
      </c>
      <c r="G1114" s="85" t="str">
        <f>IF('Informe Kelly'!H1107=$A$3,'Informe Kelly'!F1107,"")</f>
        <v/>
      </c>
      <c r="H1114" s="85">
        <f>IF(C1114=C1112,0,IF(D1114=D1113,0,(HLOOKUP(C1114,Ingreso!$AN$10:$AU$260,VLOOKUP(A1114,Ingreso!$AL$11:$AM$260,2,FALSE)))/24))</f>
        <v>0</v>
      </c>
      <c r="I1114" s="77">
        <f t="shared" si="35"/>
        <v>0</v>
      </c>
    </row>
    <row r="1115" spans="1:9">
      <c r="A1115" s="85" t="str">
        <f>VLOOKUP('Informe Kelly'!A1108,Base!A:B,2,FALSE)</f>
        <v>17.929.108-8</v>
      </c>
      <c r="B1115" s="85" t="str">
        <f>VLOOKUP('Informe Kelly'!A1108,Base!A:G,7,FALSE)</f>
        <v>DONOSO SANTIBAÑEZ CRISTIAN ALFREDO</v>
      </c>
      <c r="C1115" s="91">
        <f>'Informe Kelly'!E1108</f>
        <v>40648</v>
      </c>
      <c r="D1115" s="96">
        <f t="shared" si="34"/>
        <v>578</v>
      </c>
      <c r="E1115" s="85" t="e">
        <f>VLOOKUP(A1115,Ingreso!K:P,6,FALSE)</f>
        <v>#N/A</v>
      </c>
      <c r="F1115" s="85" t="str">
        <f>IF('Informe Kelly'!H1108=$A$2,'Informe Kelly'!F1108,"")</f>
        <v/>
      </c>
      <c r="G1115" s="85">
        <f>IF('Informe Kelly'!H1108=$A$3,'Informe Kelly'!F1108,"")</f>
        <v>0.3283449074074074</v>
      </c>
      <c r="H1115" s="85" t="e">
        <f>IF(C1115=C1113,0,IF(D1115=D1114,0,(HLOOKUP(C1115,Ingreso!$AN$10:$AU$260,VLOOKUP(A1115,Ingreso!$AL$11:$AM$260,2,FALSE)))/24))</f>
        <v>#N/A</v>
      </c>
      <c r="I1115" s="77" t="e">
        <f t="shared" si="35"/>
        <v>#N/A</v>
      </c>
    </row>
    <row r="1116" spans="1:9">
      <c r="A1116" s="85" t="str">
        <f>VLOOKUP('Informe Kelly'!A1109,Base!A:B,2,FALSE)</f>
        <v>20.342.651-8</v>
      </c>
      <c r="B1116" s="85" t="str">
        <f>VLOOKUP('Informe Kelly'!A1109,Base!A:G,7,FALSE)</f>
        <v>PEREZ SALAZAR CARLOS PATRICIO</v>
      </c>
      <c r="C1116" s="91">
        <f>'Informe Kelly'!E1109</f>
        <v>40644</v>
      </c>
      <c r="D1116" s="96">
        <f t="shared" si="34"/>
        <v>579</v>
      </c>
      <c r="E1116" s="85" t="e">
        <f>VLOOKUP(A1116,Ingreso!K:P,6,FALSE)</f>
        <v>#N/A</v>
      </c>
      <c r="F1116" s="85">
        <f>IF('Informe Kelly'!H1109=$A$2,'Informe Kelly'!F1109,"")</f>
        <v>0.62251157407407409</v>
      </c>
      <c r="G1116" s="85" t="str">
        <f>IF('Informe Kelly'!H1109=$A$3,'Informe Kelly'!F1109,"")</f>
        <v/>
      </c>
      <c r="H1116" s="85" t="e">
        <f>IF(C1116=C1114,0,IF(D1116=D1115,0,(HLOOKUP(C1116,Ingreso!$AN$10:$AU$260,VLOOKUP(A1116,Ingreso!$AL$11:$AM$260,2,FALSE)))/24))</f>
        <v>#N/A</v>
      </c>
      <c r="I1116" s="77" t="e">
        <f t="shared" si="35"/>
        <v>#N/A</v>
      </c>
    </row>
    <row r="1117" spans="1:9">
      <c r="A1117" s="85" t="str">
        <f>VLOOKUP('Informe Kelly'!A1110,Base!A:B,2,FALSE)</f>
        <v>20.342.651-8</v>
      </c>
      <c r="B1117" s="85" t="str">
        <f>VLOOKUP('Informe Kelly'!A1110,Base!A:G,7,FALSE)</f>
        <v>PEREZ SALAZAR CARLOS PATRICIO</v>
      </c>
      <c r="C1117" s="91">
        <f>'Informe Kelly'!E1110</f>
        <v>40644</v>
      </c>
      <c r="D1117" s="96">
        <f t="shared" si="34"/>
        <v>579</v>
      </c>
      <c r="E1117" s="85" t="e">
        <f>VLOOKUP(A1117,Ingreso!K:P,6,FALSE)</f>
        <v>#N/A</v>
      </c>
      <c r="F1117" s="85" t="str">
        <f>IF('Informe Kelly'!H1110=$A$2,'Informe Kelly'!F1110,"")</f>
        <v/>
      </c>
      <c r="G1117" s="85">
        <f>IF('Informe Kelly'!H1110=$A$3,'Informe Kelly'!F1110,"")</f>
        <v>0.93942129629629623</v>
      </c>
      <c r="H1117" s="85">
        <f>IF(C1117=C1115,0,IF(D1117=D1116,0,(HLOOKUP(C1117,Ingreso!$AN$10:$AU$260,VLOOKUP(A1117,Ingreso!$AL$11:$AM$260,2,FALSE)))/24))</f>
        <v>0</v>
      </c>
      <c r="I1117" s="77">
        <f t="shared" si="35"/>
        <v>0</v>
      </c>
    </row>
    <row r="1118" spans="1:9">
      <c r="A1118" s="85" t="str">
        <f>VLOOKUP('Informe Kelly'!A1111,Base!A:B,2,FALSE)</f>
        <v>20.342.651-8</v>
      </c>
      <c r="B1118" s="85" t="str">
        <f>VLOOKUP('Informe Kelly'!A1111,Base!A:G,7,FALSE)</f>
        <v>PEREZ SALAZAR CARLOS PATRICIO</v>
      </c>
      <c r="C1118" s="91">
        <f>'Informe Kelly'!E1111</f>
        <v>40645</v>
      </c>
      <c r="D1118" s="96">
        <f t="shared" si="34"/>
        <v>580</v>
      </c>
      <c r="E1118" s="85" t="e">
        <f>VLOOKUP(A1118,Ingreso!K:P,6,FALSE)</f>
        <v>#N/A</v>
      </c>
      <c r="F1118" s="85">
        <f>IF('Informe Kelly'!H1111=$A$2,'Informe Kelly'!F1111,"")</f>
        <v>0.60795138888888889</v>
      </c>
      <c r="G1118" s="85" t="str">
        <f>IF('Informe Kelly'!H1111=$A$3,'Informe Kelly'!F1111,"")</f>
        <v/>
      </c>
      <c r="H1118" s="85" t="e">
        <f>IF(C1118=C1116,0,IF(D1118=D1117,0,(HLOOKUP(C1118,Ingreso!$AN$10:$AU$260,VLOOKUP(A1118,Ingreso!$AL$11:$AM$260,2,FALSE)))/24))</f>
        <v>#N/A</v>
      </c>
      <c r="I1118" s="77" t="e">
        <f t="shared" si="35"/>
        <v>#N/A</v>
      </c>
    </row>
    <row r="1119" spans="1:9">
      <c r="A1119" s="85" t="str">
        <f>VLOOKUP('Informe Kelly'!A1112,Base!A:B,2,FALSE)</f>
        <v>20.342.651-8</v>
      </c>
      <c r="B1119" s="85" t="str">
        <f>VLOOKUP('Informe Kelly'!A1112,Base!A:G,7,FALSE)</f>
        <v>PEREZ SALAZAR CARLOS PATRICIO</v>
      </c>
      <c r="C1119" s="91">
        <f>'Informe Kelly'!E1112</f>
        <v>40645</v>
      </c>
      <c r="D1119" s="96">
        <f t="shared" si="34"/>
        <v>580</v>
      </c>
      <c r="E1119" s="85" t="e">
        <f>VLOOKUP(A1119,Ingreso!K:P,6,FALSE)</f>
        <v>#N/A</v>
      </c>
      <c r="F1119" s="85" t="str">
        <f>IF('Informe Kelly'!H1112=$A$2,'Informe Kelly'!F1112,"")</f>
        <v/>
      </c>
      <c r="G1119" s="85">
        <f>IF('Informe Kelly'!H1112=$A$3,'Informe Kelly'!F1112,"")</f>
        <v>0.93902777777777768</v>
      </c>
      <c r="H1119" s="85">
        <f>IF(C1119=C1117,0,IF(D1119=D1118,0,(HLOOKUP(C1119,Ingreso!$AN$10:$AU$260,VLOOKUP(A1119,Ingreso!$AL$11:$AM$260,2,FALSE)))/24))</f>
        <v>0</v>
      </c>
      <c r="I1119" s="77">
        <f t="shared" si="35"/>
        <v>0</v>
      </c>
    </row>
    <row r="1120" spans="1:9">
      <c r="A1120" s="85" t="str">
        <f>VLOOKUP('Informe Kelly'!A1113,Base!A:B,2,FALSE)</f>
        <v>20.342.651-8</v>
      </c>
      <c r="B1120" s="85" t="str">
        <f>VLOOKUP('Informe Kelly'!A1113,Base!A:G,7,FALSE)</f>
        <v>PEREZ SALAZAR CARLOS PATRICIO</v>
      </c>
      <c r="C1120" s="91">
        <f>'Informe Kelly'!E1113</f>
        <v>40646</v>
      </c>
      <c r="D1120" s="96">
        <f t="shared" si="34"/>
        <v>581</v>
      </c>
      <c r="E1120" s="85" t="e">
        <f>VLOOKUP(A1120,Ingreso!K:P,6,FALSE)</f>
        <v>#N/A</v>
      </c>
      <c r="F1120" s="85">
        <f>IF('Informe Kelly'!H1113=$A$2,'Informe Kelly'!F1113,"")</f>
        <v>0.6074074074074074</v>
      </c>
      <c r="G1120" s="85" t="str">
        <f>IF('Informe Kelly'!H1113=$A$3,'Informe Kelly'!F1113,"")</f>
        <v/>
      </c>
      <c r="H1120" s="85" t="e">
        <f>IF(C1120=C1118,0,IF(D1120=D1119,0,(HLOOKUP(C1120,Ingreso!$AN$10:$AU$260,VLOOKUP(A1120,Ingreso!$AL$11:$AM$260,2,FALSE)))/24))</f>
        <v>#N/A</v>
      </c>
      <c r="I1120" s="77" t="e">
        <f t="shared" si="35"/>
        <v>#N/A</v>
      </c>
    </row>
    <row r="1121" spans="1:9">
      <c r="A1121" s="85" t="str">
        <f>VLOOKUP('Informe Kelly'!A1114,Base!A:B,2,FALSE)</f>
        <v>20.342.651-8</v>
      </c>
      <c r="B1121" s="85" t="str">
        <f>VLOOKUP('Informe Kelly'!A1114,Base!A:G,7,FALSE)</f>
        <v>PEREZ SALAZAR CARLOS PATRICIO</v>
      </c>
      <c r="C1121" s="91">
        <f>'Informe Kelly'!E1114</f>
        <v>40646</v>
      </c>
      <c r="D1121" s="96">
        <f t="shared" si="34"/>
        <v>581</v>
      </c>
      <c r="E1121" s="85" t="e">
        <f>VLOOKUP(A1121,Ingreso!K:P,6,FALSE)</f>
        <v>#N/A</v>
      </c>
      <c r="F1121" s="85" t="str">
        <f>IF('Informe Kelly'!H1114=$A$2,'Informe Kelly'!F1114,"")</f>
        <v/>
      </c>
      <c r="G1121" s="85">
        <f>IF('Informe Kelly'!H1114=$A$3,'Informe Kelly'!F1114,"")</f>
        <v>0.93774305555555559</v>
      </c>
      <c r="H1121" s="85">
        <f>IF(C1121=C1119,0,IF(D1121=D1120,0,(HLOOKUP(C1121,Ingreso!$AN$10:$AU$260,VLOOKUP(A1121,Ingreso!$AL$11:$AM$260,2,FALSE)))/24))</f>
        <v>0</v>
      </c>
      <c r="I1121" s="77">
        <f t="shared" si="35"/>
        <v>0</v>
      </c>
    </row>
    <row r="1122" spans="1:9">
      <c r="A1122" s="85" t="str">
        <f>VLOOKUP('Informe Kelly'!A1115,Base!A:B,2,FALSE)</f>
        <v>20.342.651-8</v>
      </c>
      <c r="B1122" s="85" t="str">
        <f>VLOOKUP('Informe Kelly'!A1115,Base!A:G,7,FALSE)</f>
        <v>PEREZ SALAZAR CARLOS PATRICIO</v>
      </c>
      <c r="C1122" s="91">
        <f>'Informe Kelly'!E1115</f>
        <v>40647</v>
      </c>
      <c r="D1122" s="96">
        <f t="shared" si="34"/>
        <v>582</v>
      </c>
      <c r="E1122" s="85" t="e">
        <f>VLOOKUP(A1122,Ingreso!K:P,6,FALSE)</f>
        <v>#N/A</v>
      </c>
      <c r="F1122" s="85">
        <f>IF('Informe Kelly'!H1115=$A$2,'Informe Kelly'!F1115,"")</f>
        <v>0.61946759259259265</v>
      </c>
      <c r="G1122" s="85" t="str">
        <f>IF('Informe Kelly'!H1115=$A$3,'Informe Kelly'!F1115,"")</f>
        <v/>
      </c>
      <c r="H1122" s="85" t="e">
        <f>IF(C1122=C1120,0,IF(D1122=D1121,0,(HLOOKUP(C1122,Ingreso!$AN$10:$AU$260,VLOOKUP(A1122,Ingreso!$AL$11:$AM$260,2,FALSE)))/24))</f>
        <v>#N/A</v>
      </c>
      <c r="I1122" s="77" t="e">
        <f t="shared" si="35"/>
        <v>#N/A</v>
      </c>
    </row>
    <row r="1123" spans="1:9">
      <c r="A1123" s="85" t="str">
        <f>VLOOKUP('Informe Kelly'!A1116,Base!A:B,2,FALSE)</f>
        <v>20.342.651-8</v>
      </c>
      <c r="B1123" s="85" t="str">
        <f>VLOOKUP('Informe Kelly'!A1116,Base!A:G,7,FALSE)</f>
        <v>PEREZ SALAZAR CARLOS PATRICIO</v>
      </c>
      <c r="C1123" s="91">
        <f>'Informe Kelly'!E1116</f>
        <v>40647</v>
      </c>
      <c r="D1123" s="96">
        <f t="shared" si="34"/>
        <v>582</v>
      </c>
      <c r="E1123" s="85" t="e">
        <f>VLOOKUP(A1123,Ingreso!K:P,6,FALSE)</f>
        <v>#N/A</v>
      </c>
      <c r="F1123" s="85" t="str">
        <f>IF('Informe Kelly'!H1116=$A$2,'Informe Kelly'!F1116,"")</f>
        <v/>
      </c>
      <c r="G1123" s="85">
        <f>IF('Informe Kelly'!H1116=$A$3,'Informe Kelly'!F1116,"")</f>
        <v>0.93885416666666666</v>
      </c>
      <c r="H1123" s="85">
        <f>IF(C1123=C1121,0,IF(D1123=D1122,0,(HLOOKUP(C1123,Ingreso!$AN$10:$AU$260,VLOOKUP(A1123,Ingreso!$AL$11:$AM$260,2,FALSE)))/24))</f>
        <v>0</v>
      </c>
      <c r="I1123" s="77">
        <f t="shared" si="35"/>
        <v>0</v>
      </c>
    </row>
    <row r="1124" spans="1:9">
      <c r="A1124" s="85" t="str">
        <f>VLOOKUP('Informe Kelly'!A1117,Base!A:B,2,FALSE)</f>
        <v>20.342.651-8</v>
      </c>
      <c r="B1124" s="85" t="str">
        <f>VLOOKUP('Informe Kelly'!A1117,Base!A:G,7,FALSE)</f>
        <v>PEREZ SALAZAR CARLOS PATRICIO</v>
      </c>
      <c r="C1124" s="91">
        <f>'Informe Kelly'!E1117</f>
        <v>40648</v>
      </c>
      <c r="D1124" s="96">
        <f t="shared" si="34"/>
        <v>583</v>
      </c>
      <c r="E1124" s="85" t="e">
        <f>VLOOKUP(A1124,Ingreso!K:P,6,FALSE)</f>
        <v>#N/A</v>
      </c>
      <c r="F1124" s="85">
        <f>IF('Informe Kelly'!H1117=$A$2,'Informe Kelly'!F1117,"")</f>
        <v>0.6083101851851852</v>
      </c>
      <c r="G1124" s="85" t="str">
        <f>IF('Informe Kelly'!H1117=$A$3,'Informe Kelly'!F1117,"")</f>
        <v/>
      </c>
      <c r="H1124" s="85" t="e">
        <f>IF(C1124=C1122,0,IF(D1124=D1123,0,(HLOOKUP(C1124,Ingreso!$AN$10:$AU$260,VLOOKUP(A1124,Ingreso!$AL$11:$AM$260,2,FALSE)))/24))</f>
        <v>#N/A</v>
      </c>
      <c r="I1124" s="77" t="e">
        <f t="shared" si="35"/>
        <v>#N/A</v>
      </c>
    </row>
    <row r="1125" spans="1:9">
      <c r="A1125" s="85" t="str">
        <f>VLOOKUP('Informe Kelly'!A1118,Base!A:B,2,FALSE)</f>
        <v>20.342.651-8</v>
      </c>
      <c r="B1125" s="85" t="str">
        <f>VLOOKUP('Informe Kelly'!A1118,Base!A:G,7,FALSE)</f>
        <v>PEREZ SALAZAR CARLOS PATRICIO</v>
      </c>
      <c r="C1125" s="91">
        <f>'Informe Kelly'!E1118</f>
        <v>40648</v>
      </c>
      <c r="D1125" s="96">
        <f t="shared" si="34"/>
        <v>583</v>
      </c>
      <c r="E1125" s="85" t="e">
        <f>VLOOKUP(A1125,Ingreso!K:P,6,FALSE)</f>
        <v>#N/A</v>
      </c>
      <c r="F1125" s="85" t="str">
        <f>IF('Informe Kelly'!H1118=$A$2,'Informe Kelly'!F1118,"")</f>
        <v/>
      </c>
      <c r="G1125" s="85">
        <f>IF('Informe Kelly'!H1118=$A$3,'Informe Kelly'!F1118,"")</f>
        <v>0.937962962962963</v>
      </c>
      <c r="H1125" s="85">
        <f>IF(C1125=C1123,0,IF(D1125=D1124,0,(HLOOKUP(C1125,Ingreso!$AN$10:$AU$260,VLOOKUP(A1125,Ingreso!$AL$11:$AM$260,2,FALSE)))/24))</f>
        <v>0</v>
      </c>
      <c r="I1125" s="77">
        <f t="shared" si="35"/>
        <v>0</v>
      </c>
    </row>
    <row r="1126" spans="1:9">
      <c r="A1126" s="85" t="str">
        <f>VLOOKUP('Informe Kelly'!A1119,Base!A:B,2,FALSE)</f>
        <v>20.342.651-8</v>
      </c>
      <c r="B1126" s="85" t="str">
        <f>VLOOKUP('Informe Kelly'!A1119,Base!A:G,7,FALSE)</f>
        <v>PEREZ SALAZAR CARLOS PATRICIO</v>
      </c>
      <c r="C1126" s="91">
        <f>'Informe Kelly'!E1119</f>
        <v>40649</v>
      </c>
      <c r="D1126" s="96">
        <f t="shared" si="34"/>
        <v>584</v>
      </c>
      <c r="E1126" s="85" t="e">
        <f>VLOOKUP(A1126,Ingreso!K:P,6,FALSE)</f>
        <v>#N/A</v>
      </c>
      <c r="F1126" s="85" t="str">
        <f>IF('Informe Kelly'!H1119=$A$2,'Informe Kelly'!F1119,"")</f>
        <v/>
      </c>
      <c r="G1126" s="85">
        <f>IF('Informe Kelly'!H1119=$A$3,'Informe Kelly'!F1119,"")</f>
        <v>0.93831018518518527</v>
      </c>
      <c r="H1126" s="85" t="e">
        <f>IF(C1126=C1124,0,IF(D1126=D1125,0,(HLOOKUP(C1126,Ingreso!$AN$10:$AU$260,VLOOKUP(A1126,Ingreso!$AL$11:$AM$260,2,FALSE)))/24))</f>
        <v>#N/A</v>
      </c>
      <c r="I1126" s="77" t="e">
        <f t="shared" si="35"/>
        <v>#N/A</v>
      </c>
    </row>
    <row r="1127" spans="1:9">
      <c r="A1127" s="85" t="str">
        <f>VLOOKUP('Informe Kelly'!A1120,Base!A:B,2,FALSE)</f>
        <v>20.342.651-8</v>
      </c>
      <c r="B1127" s="85" t="str">
        <f>VLOOKUP('Informe Kelly'!A1120,Base!A:G,7,FALSE)</f>
        <v>PEREZ SALAZAR CARLOS PATRICIO</v>
      </c>
      <c r="C1127" s="91">
        <f>'Informe Kelly'!E1120</f>
        <v>40649</v>
      </c>
      <c r="D1127" s="96">
        <f t="shared" si="34"/>
        <v>584</v>
      </c>
      <c r="E1127" s="85" t="e">
        <f>VLOOKUP(A1127,Ingreso!K:P,6,FALSE)</f>
        <v>#N/A</v>
      </c>
      <c r="F1127" s="85">
        <f>IF('Informe Kelly'!H1120=$A$2,'Informe Kelly'!F1120,"")</f>
        <v>0.61995370370370373</v>
      </c>
      <c r="G1127" s="85" t="str">
        <f>IF('Informe Kelly'!H1120=$A$3,'Informe Kelly'!F1120,"")</f>
        <v/>
      </c>
      <c r="H1127" s="85">
        <f>IF(C1127=C1125,0,IF(D1127=D1126,0,(HLOOKUP(C1127,Ingreso!$AN$10:$AU$260,VLOOKUP(A1127,Ingreso!$AL$11:$AM$260,2,FALSE)))/24))</f>
        <v>0</v>
      </c>
      <c r="I1127" s="77">
        <f t="shared" si="35"/>
        <v>0</v>
      </c>
    </row>
    <row r="1128" spans="1:9">
      <c r="A1128" s="85" t="str">
        <f>VLOOKUP('Informe Kelly'!A1121,Base!A:B,2,FALSE)</f>
        <v>22.637.242-3</v>
      </c>
      <c r="B1128" s="85" t="str">
        <f>VLOOKUP('Informe Kelly'!A1121,Base!A:G,7,FALSE)</f>
        <v>ALVAREZ CONTRERAS MARISOL</v>
      </c>
      <c r="C1128" s="91">
        <f>'Informe Kelly'!E1121</f>
        <v>40644</v>
      </c>
      <c r="D1128" s="96">
        <f t="shared" si="34"/>
        <v>585</v>
      </c>
      <c r="E1128" s="85" t="e">
        <f>VLOOKUP(A1128,Ingreso!K:P,6,FALSE)</f>
        <v>#N/A</v>
      </c>
      <c r="F1128" s="85">
        <f>IF('Informe Kelly'!H1121=$A$2,'Informe Kelly'!F1121,"")</f>
        <v>0.34650462962962963</v>
      </c>
      <c r="G1128" s="85" t="str">
        <f>IF('Informe Kelly'!H1121=$A$3,'Informe Kelly'!F1121,"")</f>
        <v/>
      </c>
      <c r="H1128" s="85" t="e">
        <f>IF(C1128=C1126,0,IF(D1128=D1127,0,(HLOOKUP(C1128,Ingreso!$AN$10:$AU$260,VLOOKUP(A1128,Ingreso!$AL$11:$AM$260,2,FALSE)))/24))</f>
        <v>#N/A</v>
      </c>
      <c r="I1128" s="77" t="e">
        <f t="shared" si="35"/>
        <v>#N/A</v>
      </c>
    </row>
    <row r="1129" spans="1:9">
      <c r="A1129" s="85" t="str">
        <f>VLOOKUP('Informe Kelly'!A1122,Base!A:B,2,FALSE)</f>
        <v>22.637.242-3</v>
      </c>
      <c r="B1129" s="85" t="str">
        <f>VLOOKUP('Informe Kelly'!A1122,Base!A:G,7,FALSE)</f>
        <v>ALVAREZ CONTRERAS MARISOL</v>
      </c>
      <c r="C1129" s="91">
        <f>'Informe Kelly'!E1122</f>
        <v>40644</v>
      </c>
      <c r="D1129" s="96">
        <f t="shared" si="34"/>
        <v>585</v>
      </c>
      <c r="E1129" s="85" t="e">
        <f>VLOOKUP(A1129,Ingreso!K:P,6,FALSE)</f>
        <v>#N/A</v>
      </c>
      <c r="F1129" s="85" t="str">
        <f>IF('Informe Kelly'!H1122=$A$2,'Informe Kelly'!F1122,"")</f>
        <v/>
      </c>
      <c r="G1129" s="85">
        <f>IF('Informe Kelly'!H1122=$A$3,'Informe Kelly'!F1122,"")</f>
        <v>0.77098379629629632</v>
      </c>
      <c r="H1129" s="85">
        <f>IF(C1129=C1127,0,IF(D1129=D1128,0,(HLOOKUP(C1129,Ingreso!$AN$10:$AU$260,VLOOKUP(A1129,Ingreso!$AL$11:$AM$260,2,FALSE)))/24))</f>
        <v>0</v>
      </c>
      <c r="I1129" s="77">
        <f t="shared" si="35"/>
        <v>0</v>
      </c>
    </row>
    <row r="1130" spans="1:9">
      <c r="A1130" s="85" t="str">
        <f>VLOOKUP('Informe Kelly'!A1123,Base!A:B,2,FALSE)</f>
        <v>22.637.242-3</v>
      </c>
      <c r="B1130" s="85" t="str">
        <f>VLOOKUP('Informe Kelly'!A1123,Base!A:G,7,FALSE)</f>
        <v>ALVAREZ CONTRERAS MARISOL</v>
      </c>
      <c r="C1130" s="91">
        <f>'Informe Kelly'!E1123</f>
        <v>40645</v>
      </c>
      <c r="D1130" s="96">
        <f t="shared" si="34"/>
        <v>586</v>
      </c>
      <c r="E1130" s="85" t="e">
        <f>VLOOKUP(A1130,Ingreso!K:P,6,FALSE)</f>
        <v>#N/A</v>
      </c>
      <c r="F1130" s="85">
        <f>IF('Informe Kelly'!H1123=$A$2,'Informe Kelly'!F1123,"")</f>
        <v>0.3404282407407408</v>
      </c>
      <c r="G1130" s="85" t="str">
        <f>IF('Informe Kelly'!H1123=$A$3,'Informe Kelly'!F1123,"")</f>
        <v/>
      </c>
      <c r="H1130" s="85" t="e">
        <f>IF(C1130=C1128,0,IF(D1130=D1129,0,(HLOOKUP(C1130,Ingreso!$AN$10:$AU$260,VLOOKUP(A1130,Ingreso!$AL$11:$AM$260,2,FALSE)))/24))</f>
        <v>#N/A</v>
      </c>
      <c r="I1130" s="77" t="e">
        <f t="shared" si="35"/>
        <v>#N/A</v>
      </c>
    </row>
    <row r="1131" spans="1:9">
      <c r="A1131" s="85" t="str">
        <f>VLOOKUP('Informe Kelly'!A1124,Base!A:B,2,FALSE)</f>
        <v>22.637.242-3</v>
      </c>
      <c r="B1131" s="85" t="str">
        <f>VLOOKUP('Informe Kelly'!A1124,Base!A:G,7,FALSE)</f>
        <v>ALVAREZ CONTRERAS MARISOL</v>
      </c>
      <c r="C1131" s="91">
        <f>'Informe Kelly'!E1124</f>
        <v>40645</v>
      </c>
      <c r="D1131" s="96">
        <f t="shared" si="34"/>
        <v>586</v>
      </c>
      <c r="E1131" s="85" t="e">
        <f>VLOOKUP(A1131,Ingreso!K:P,6,FALSE)</f>
        <v>#N/A</v>
      </c>
      <c r="F1131" s="85" t="str">
        <f>IF('Informe Kelly'!H1124=$A$2,'Informe Kelly'!F1124,"")</f>
        <v/>
      </c>
      <c r="G1131" s="85">
        <f>IF('Informe Kelly'!H1124=$A$3,'Informe Kelly'!F1124,"")</f>
        <v>0.77341435185185192</v>
      </c>
      <c r="H1131" s="85">
        <f>IF(C1131=C1129,0,IF(D1131=D1130,0,(HLOOKUP(C1131,Ingreso!$AN$10:$AU$260,VLOOKUP(A1131,Ingreso!$AL$11:$AM$260,2,FALSE)))/24))</f>
        <v>0</v>
      </c>
      <c r="I1131" s="77">
        <f t="shared" si="35"/>
        <v>0</v>
      </c>
    </row>
    <row r="1132" spans="1:9">
      <c r="A1132" s="85" t="str">
        <f>VLOOKUP('Informe Kelly'!A1125,Base!A:B,2,FALSE)</f>
        <v>22.637.242-3</v>
      </c>
      <c r="B1132" s="85" t="str">
        <f>VLOOKUP('Informe Kelly'!A1125,Base!A:G,7,FALSE)</f>
        <v>ALVAREZ CONTRERAS MARISOL</v>
      </c>
      <c r="C1132" s="91">
        <f>'Informe Kelly'!E1125</f>
        <v>40646</v>
      </c>
      <c r="D1132" s="96">
        <f t="shared" si="34"/>
        <v>587</v>
      </c>
      <c r="E1132" s="85" t="e">
        <f>VLOOKUP(A1132,Ingreso!K:P,6,FALSE)</f>
        <v>#N/A</v>
      </c>
      <c r="F1132" s="85">
        <f>IF('Informe Kelly'!H1125=$A$2,'Informe Kelly'!F1125,"")</f>
        <v>0.34056712962962959</v>
      </c>
      <c r="G1132" s="85" t="str">
        <f>IF('Informe Kelly'!H1125=$A$3,'Informe Kelly'!F1125,"")</f>
        <v/>
      </c>
      <c r="H1132" s="85" t="e">
        <f>IF(C1132=C1130,0,IF(D1132=D1131,0,(HLOOKUP(C1132,Ingreso!$AN$10:$AU$260,VLOOKUP(A1132,Ingreso!$AL$11:$AM$260,2,FALSE)))/24))</f>
        <v>#N/A</v>
      </c>
      <c r="I1132" s="77" t="e">
        <f t="shared" si="35"/>
        <v>#N/A</v>
      </c>
    </row>
    <row r="1133" spans="1:9">
      <c r="A1133" s="85" t="str">
        <f>VLOOKUP('Informe Kelly'!A1126,Base!A:B,2,FALSE)</f>
        <v>22.637.242-3</v>
      </c>
      <c r="B1133" s="85" t="str">
        <f>VLOOKUP('Informe Kelly'!A1126,Base!A:G,7,FALSE)</f>
        <v>ALVAREZ CONTRERAS MARISOL</v>
      </c>
      <c r="C1133" s="91">
        <f>'Informe Kelly'!E1126</f>
        <v>40646</v>
      </c>
      <c r="D1133" s="96">
        <f t="shared" si="34"/>
        <v>587</v>
      </c>
      <c r="E1133" s="85" t="e">
        <f>VLOOKUP(A1133,Ingreso!K:P,6,FALSE)</f>
        <v>#N/A</v>
      </c>
      <c r="F1133" s="85" t="str">
        <f>IF('Informe Kelly'!H1126=$A$2,'Informe Kelly'!F1126,"")</f>
        <v/>
      </c>
      <c r="G1133" s="85">
        <f>IF('Informe Kelly'!H1126=$A$3,'Informe Kelly'!F1126,"")</f>
        <v>0.77650462962962974</v>
      </c>
      <c r="H1133" s="85">
        <f>IF(C1133=C1131,0,IF(D1133=D1132,0,(HLOOKUP(C1133,Ingreso!$AN$10:$AU$260,VLOOKUP(A1133,Ingreso!$AL$11:$AM$260,2,FALSE)))/24))</f>
        <v>0</v>
      </c>
      <c r="I1133" s="77">
        <f t="shared" si="35"/>
        <v>0</v>
      </c>
    </row>
    <row r="1134" spans="1:9">
      <c r="A1134" s="85" t="str">
        <f>VLOOKUP('Informe Kelly'!A1127,Base!A:B,2,FALSE)</f>
        <v>22.637.242-3</v>
      </c>
      <c r="B1134" s="85" t="str">
        <f>VLOOKUP('Informe Kelly'!A1127,Base!A:G,7,FALSE)</f>
        <v>ALVAREZ CONTRERAS MARISOL</v>
      </c>
      <c r="C1134" s="91">
        <f>'Informe Kelly'!E1127</f>
        <v>40647</v>
      </c>
      <c r="D1134" s="96">
        <f t="shared" si="34"/>
        <v>588</v>
      </c>
      <c r="E1134" s="85" t="e">
        <f>VLOOKUP(A1134,Ingreso!K:P,6,FALSE)</f>
        <v>#N/A</v>
      </c>
      <c r="F1134" s="85">
        <f>IF('Informe Kelly'!H1127=$A$2,'Informe Kelly'!F1127,"")</f>
        <v>0.34</v>
      </c>
      <c r="G1134" s="85" t="str">
        <f>IF('Informe Kelly'!H1127=$A$3,'Informe Kelly'!F1127,"")</f>
        <v/>
      </c>
      <c r="H1134" s="85" t="e">
        <f>IF(C1134=C1132,0,IF(D1134=D1133,0,(HLOOKUP(C1134,Ingreso!$AN$10:$AU$260,VLOOKUP(A1134,Ingreso!$AL$11:$AM$260,2,FALSE)))/24))</f>
        <v>#N/A</v>
      </c>
      <c r="I1134" s="77" t="e">
        <f t="shared" si="35"/>
        <v>#N/A</v>
      </c>
    </row>
    <row r="1135" spans="1:9">
      <c r="A1135" s="85" t="str">
        <f>VLOOKUP('Informe Kelly'!A1128,Base!A:B,2,FALSE)</f>
        <v>22.637.242-3</v>
      </c>
      <c r="B1135" s="85" t="str">
        <f>VLOOKUP('Informe Kelly'!A1128,Base!A:G,7,FALSE)</f>
        <v>ALVAREZ CONTRERAS MARISOL</v>
      </c>
      <c r="C1135" s="91">
        <f>'Informe Kelly'!E1128</f>
        <v>40647</v>
      </c>
      <c r="D1135" s="96">
        <f t="shared" si="34"/>
        <v>588</v>
      </c>
      <c r="E1135" s="85" t="e">
        <f>VLOOKUP(A1135,Ingreso!K:P,6,FALSE)</f>
        <v>#N/A</v>
      </c>
      <c r="F1135" s="85" t="str">
        <f>IF('Informe Kelly'!H1128=$A$2,'Informe Kelly'!F1128,"")</f>
        <v/>
      </c>
      <c r="G1135" s="85">
        <f>IF('Informe Kelly'!H1128=$A$3,'Informe Kelly'!F1128,"")</f>
        <v>0.77280092592592586</v>
      </c>
      <c r="H1135" s="85">
        <f>IF(C1135=C1133,0,IF(D1135=D1134,0,(HLOOKUP(C1135,Ingreso!$AN$10:$AU$260,VLOOKUP(A1135,Ingreso!$AL$11:$AM$260,2,FALSE)))/24))</f>
        <v>0</v>
      </c>
      <c r="I1135" s="77">
        <f t="shared" si="35"/>
        <v>0</v>
      </c>
    </row>
    <row r="1136" spans="1:9">
      <c r="A1136" s="85" t="str">
        <f>VLOOKUP('Informe Kelly'!A1129,Base!A:B,2,FALSE)</f>
        <v>22.637.242-3</v>
      </c>
      <c r="B1136" s="85" t="str">
        <f>VLOOKUP('Informe Kelly'!A1129,Base!A:G,7,FALSE)</f>
        <v>ALVAREZ CONTRERAS MARISOL</v>
      </c>
      <c r="C1136" s="91">
        <f>'Informe Kelly'!E1129</f>
        <v>40648</v>
      </c>
      <c r="D1136" s="96">
        <f t="shared" si="34"/>
        <v>589</v>
      </c>
      <c r="E1136" s="85" t="e">
        <f>VLOOKUP(A1136,Ingreso!K:P,6,FALSE)</f>
        <v>#N/A</v>
      </c>
      <c r="F1136" s="85" t="str">
        <f>IF('Informe Kelly'!H1129=$A$2,'Informe Kelly'!F1129,"")</f>
        <v/>
      </c>
      <c r="G1136" s="85">
        <f>IF('Informe Kelly'!H1129=$A$3,'Informe Kelly'!F1129,"")</f>
        <v>0.71967592592592589</v>
      </c>
      <c r="H1136" s="85" t="e">
        <f>IF(C1136=C1134,0,IF(D1136=D1135,0,(HLOOKUP(C1136,Ingreso!$AN$10:$AU$260,VLOOKUP(A1136,Ingreso!$AL$11:$AM$260,2,FALSE)))/24))</f>
        <v>#N/A</v>
      </c>
      <c r="I1136" s="77" t="e">
        <f t="shared" si="35"/>
        <v>#N/A</v>
      </c>
    </row>
    <row r="1137" spans="1:9">
      <c r="A1137" s="85" t="str">
        <f>VLOOKUP('Informe Kelly'!A1130,Base!A:B,2,FALSE)</f>
        <v>22.637.242-3</v>
      </c>
      <c r="B1137" s="85" t="str">
        <f>VLOOKUP('Informe Kelly'!A1130,Base!A:G,7,FALSE)</f>
        <v>ALVAREZ CONTRERAS MARISOL</v>
      </c>
      <c r="C1137" s="91">
        <f>'Informe Kelly'!E1130</f>
        <v>40648</v>
      </c>
      <c r="D1137" s="96">
        <f t="shared" si="34"/>
        <v>589</v>
      </c>
      <c r="E1137" s="85" t="e">
        <f>VLOOKUP(A1137,Ingreso!K:P,6,FALSE)</f>
        <v>#N/A</v>
      </c>
      <c r="F1137" s="85">
        <f>IF('Informe Kelly'!H1130=$A$2,'Informe Kelly'!F1130,"")</f>
        <v>0.34229166666666666</v>
      </c>
      <c r="G1137" s="85" t="str">
        <f>IF('Informe Kelly'!H1130=$A$3,'Informe Kelly'!F1130,"")</f>
        <v/>
      </c>
      <c r="H1137" s="85">
        <f>IF(C1137=C1135,0,IF(D1137=D1136,0,(HLOOKUP(C1137,Ingreso!$AN$10:$AU$260,VLOOKUP(A1137,Ingreso!$AL$11:$AM$260,2,FALSE)))/24))</f>
        <v>0</v>
      </c>
      <c r="I1137" s="77">
        <f t="shared" si="35"/>
        <v>0</v>
      </c>
    </row>
    <row r="1138" spans="1:9">
      <c r="A1138" s="85" t="e">
        <f>VLOOKUP('Informe Kelly'!A1131,Base!A:B,2,FALSE)</f>
        <v>#N/A</v>
      </c>
      <c r="B1138" s="85" t="e">
        <f>VLOOKUP('Informe Kelly'!A1131,Base!A:G,7,FALSE)</f>
        <v>#N/A</v>
      </c>
      <c r="C1138" s="91">
        <f>'Informe Kelly'!E1131</f>
        <v>0</v>
      </c>
      <c r="D1138" s="96">
        <f t="shared" si="34"/>
        <v>590</v>
      </c>
      <c r="E1138" s="85" t="e">
        <f>VLOOKUP(A1138,Ingreso!K:P,6,FALSE)</f>
        <v>#N/A</v>
      </c>
      <c r="F1138" s="85" t="str">
        <f>IF('Informe Kelly'!H1131=$A$2,'Informe Kelly'!F1131,"")</f>
        <v/>
      </c>
      <c r="G1138" s="85" t="str">
        <f>IF('Informe Kelly'!H1131=$A$3,'Informe Kelly'!F1131,"")</f>
        <v/>
      </c>
      <c r="H1138" s="85" t="e">
        <f>IF(C1138=C1136,0,IF(D1138=D1137,0,(HLOOKUP(C1138,Ingreso!$AN$10:$AU$260,VLOOKUP(A1138,Ingreso!$AL$11:$AM$260,2,FALSE)))/24))</f>
        <v>#N/A</v>
      </c>
      <c r="I1138" s="77" t="e">
        <f t="shared" si="35"/>
        <v>#N/A</v>
      </c>
    </row>
    <row r="1139" spans="1:9">
      <c r="A1139" s="85" t="e">
        <f>VLOOKUP('Informe Kelly'!A1132,Base!A:B,2,FALSE)</f>
        <v>#N/A</v>
      </c>
      <c r="B1139" s="85" t="e">
        <f>VLOOKUP('Informe Kelly'!A1132,Base!A:G,7,FALSE)</f>
        <v>#N/A</v>
      </c>
      <c r="C1139" s="91">
        <f>'Informe Kelly'!E1132</f>
        <v>0</v>
      </c>
      <c r="D1139" s="96">
        <f t="shared" si="34"/>
        <v>590</v>
      </c>
      <c r="E1139" s="85" t="e">
        <f>VLOOKUP(A1139,Ingreso!K:P,6,FALSE)</f>
        <v>#N/A</v>
      </c>
      <c r="F1139" s="85" t="str">
        <f>IF('Informe Kelly'!H1132=$A$2,'Informe Kelly'!F1132,"")</f>
        <v/>
      </c>
      <c r="G1139" s="85" t="str">
        <f>IF('Informe Kelly'!H1132=$A$3,'Informe Kelly'!F1132,"")</f>
        <v/>
      </c>
      <c r="H1139" s="85">
        <f>IF(C1139=C1137,0,IF(D1139=D1138,0,(HLOOKUP(C1139,Ingreso!$AN$10:$AU$260,VLOOKUP(A1139,Ingreso!$AL$11:$AM$260,2,FALSE)))/24))</f>
        <v>0</v>
      </c>
      <c r="I1139" s="77">
        <f t="shared" si="35"/>
        <v>0</v>
      </c>
    </row>
    <row r="1140" spans="1:9">
      <c r="A1140" s="85" t="e">
        <f>VLOOKUP('Informe Kelly'!A1133,Base!A:B,2,FALSE)</f>
        <v>#N/A</v>
      </c>
      <c r="B1140" s="85" t="e">
        <f>VLOOKUP('Informe Kelly'!A1133,Base!A:G,7,FALSE)</f>
        <v>#N/A</v>
      </c>
      <c r="C1140" s="91">
        <f>'Informe Kelly'!E1133</f>
        <v>0</v>
      </c>
      <c r="D1140" s="96">
        <f t="shared" si="34"/>
        <v>591</v>
      </c>
      <c r="E1140" s="85" t="e">
        <f>VLOOKUP(A1140,Ingreso!K:P,6,FALSE)</f>
        <v>#N/A</v>
      </c>
      <c r="F1140" s="85" t="str">
        <f>IF('Informe Kelly'!H1133=$A$2,'Informe Kelly'!F1133,"")</f>
        <v/>
      </c>
      <c r="G1140" s="85" t="str">
        <f>IF('Informe Kelly'!H1133=$A$3,'Informe Kelly'!F1133,"")</f>
        <v/>
      </c>
      <c r="H1140" s="85">
        <f>IF(C1140=C1138,0,IF(D1140=D1139,0,(HLOOKUP(C1140,Ingreso!$AN$10:$AU$260,VLOOKUP(A1140,Ingreso!$AL$11:$AM$260,2,FALSE)))/24))</f>
        <v>0</v>
      </c>
      <c r="I1140" s="77">
        <f t="shared" si="35"/>
        <v>0</v>
      </c>
    </row>
    <row r="1141" spans="1:9">
      <c r="A1141" s="85" t="e">
        <f>VLOOKUP('Informe Kelly'!A1134,Base!A:B,2,FALSE)</f>
        <v>#N/A</v>
      </c>
      <c r="B1141" s="85" t="e">
        <f>VLOOKUP('Informe Kelly'!A1134,Base!A:G,7,FALSE)</f>
        <v>#N/A</v>
      </c>
      <c r="C1141" s="91">
        <f>'Informe Kelly'!E1134</f>
        <v>0</v>
      </c>
      <c r="D1141" s="96">
        <f t="shared" si="34"/>
        <v>591</v>
      </c>
      <c r="E1141" s="85" t="e">
        <f>VLOOKUP(A1141,Ingreso!K:P,6,FALSE)</f>
        <v>#N/A</v>
      </c>
      <c r="F1141" s="85" t="str">
        <f>IF('Informe Kelly'!H1134=$A$2,'Informe Kelly'!F1134,"")</f>
        <v/>
      </c>
      <c r="G1141" s="85" t="str">
        <f>IF('Informe Kelly'!H1134=$A$3,'Informe Kelly'!F1134,"")</f>
        <v/>
      </c>
      <c r="H1141" s="85">
        <f>IF(C1141=C1139,0,IF(D1141=D1140,0,(HLOOKUP(C1141,Ingreso!$AN$10:$AU$260,VLOOKUP(A1141,Ingreso!$AL$11:$AM$260,2,FALSE)))/24))</f>
        <v>0</v>
      </c>
      <c r="I1141" s="77">
        <f t="shared" si="35"/>
        <v>0</v>
      </c>
    </row>
    <row r="1142" spans="1:9">
      <c r="A1142" s="85" t="e">
        <f>VLOOKUP('Informe Kelly'!A1135,Base!A:B,2,FALSE)</f>
        <v>#N/A</v>
      </c>
      <c r="B1142" s="85" t="e">
        <f>VLOOKUP('Informe Kelly'!A1135,Base!A:G,7,FALSE)</f>
        <v>#N/A</v>
      </c>
      <c r="C1142" s="91">
        <f>'Informe Kelly'!E1135</f>
        <v>0</v>
      </c>
      <c r="D1142" s="96">
        <f t="shared" si="34"/>
        <v>591</v>
      </c>
      <c r="E1142" s="85" t="e">
        <f>VLOOKUP(A1142,Ingreso!K:P,6,FALSE)</f>
        <v>#N/A</v>
      </c>
      <c r="F1142" s="85" t="str">
        <f>IF('Informe Kelly'!H1135=$A$2,'Informe Kelly'!F1135,"")</f>
        <v/>
      </c>
      <c r="G1142" s="85" t="str">
        <f>IF('Informe Kelly'!H1135=$A$3,'Informe Kelly'!F1135,"")</f>
        <v/>
      </c>
      <c r="H1142" s="85">
        <f>IF(C1142=C1140,0,IF(D1142=D1141,0,(HLOOKUP(C1142,Ingreso!$AN$10:$AU$260,VLOOKUP(A1142,Ingreso!$AL$11:$AM$260,2,FALSE)))/24))</f>
        <v>0</v>
      </c>
      <c r="I1142" s="77">
        <f t="shared" si="35"/>
        <v>0</v>
      </c>
    </row>
    <row r="1143" spans="1:9">
      <c r="A1143" s="85" t="e">
        <f>VLOOKUP('Informe Kelly'!A1136,Base!A:B,2,FALSE)</f>
        <v>#N/A</v>
      </c>
      <c r="B1143" s="85" t="e">
        <f>VLOOKUP('Informe Kelly'!A1136,Base!A:G,7,FALSE)</f>
        <v>#N/A</v>
      </c>
      <c r="C1143" s="91">
        <f>'Informe Kelly'!E1136</f>
        <v>0</v>
      </c>
      <c r="D1143" s="96">
        <f t="shared" si="34"/>
        <v>591</v>
      </c>
      <c r="E1143" s="85" t="e">
        <f>VLOOKUP(A1143,Ingreso!K:P,6,FALSE)</f>
        <v>#N/A</v>
      </c>
      <c r="F1143" s="85" t="str">
        <f>IF('Informe Kelly'!H1136=$A$2,'Informe Kelly'!F1136,"")</f>
        <v/>
      </c>
      <c r="G1143" s="85" t="str">
        <f>IF('Informe Kelly'!H1136=$A$3,'Informe Kelly'!F1136,"")</f>
        <v/>
      </c>
      <c r="H1143" s="85">
        <f>IF(C1143=C1141,0,IF(D1143=D1142,0,(HLOOKUP(C1143,Ingreso!$AN$10:$AU$260,VLOOKUP(A1143,Ingreso!$AL$11:$AM$260,2,FALSE)))/24))</f>
        <v>0</v>
      </c>
      <c r="I1143" s="77">
        <f t="shared" si="35"/>
        <v>0</v>
      </c>
    </row>
    <row r="1144" spans="1:9">
      <c r="A1144" s="85" t="e">
        <f>VLOOKUP('Informe Kelly'!A1137,Base!A:B,2,FALSE)</f>
        <v>#N/A</v>
      </c>
      <c r="B1144" s="85" t="e">
        <f>VLOOKUP('Informe Kelly'!A1137,Base!A:G,7,FALSE)</f>
        <v>#N/A</v>
      </c>
      <c r="C1144" s="91">
        <f>'Informe Kelly'!E1137</f>
        <v>0</v>
      </c>
      <c r="D1144" s="96">
        <f t="shared" si="34"/>
        <v>591</v>
      </c>
      <c r="E1144" s="85" t="e">
        <f>VLOOKUP(A1144,Ingreso!K:P,6,FALSE)</f>
        <v>#N/A</v>
      </c>
      <c r="F1144" s="85" t="str">
        <f>IF('Informe Kelly'!H1137=$A$2,'Informe Kelly'!F1137,"")</f>
        <v/>
      </c>
      <c r="G1144" s="85" t="str">
        <f>IF('Informe Kelly'!H1137=$A$3,'Informe Kelly'!F1137,"")</f>
        <v/>
      </c>
      <c r="H1144" s="85">
        <f>IF(C1144=C1142,0,IF(D1144=D1143,0,(HLOOKUP(C1144,Ingreso!$AN$10:$AU$260,VLOOKUP(A1144,Ingreso!$AL$11:$AM$260,2,FALSE)))/24))</f>
        <v>0</v>
      </c>
      <c r="I1144" s="77">
        <f t="shared" si="35"/>
        <v>0</v>
      </c>
    </row>
    <row r="1145" spans="1:9">
      <c r="A1145" s="85" t="e">
        <f>VLOOKUP('Informe Kelly'!A1138,Base!A:B,2,FALSE)</f>
        <v>#N/A</v>
      </c>
      <c r="B1145" s="85" t="e">
        <f>VLOOKUP('Informe Kelly'!A1138,Base!A:G,7,FALSE)</f>
        <v>#N/A</v>
      </c>
      <c r="C1145" s="91">
        <f>'Informe Kelly'!E1138</f>
        <v>0</v>
      </c>
      <c r="D1145" s="96">
        <f t="shared" si="34"/>
        <v>591</v>
      </c>
      <c r="E1145" s="85" t="e">
        <f>VLOOKUP(A1145,Ingreso!K:P,6,FALSE)</f>
        <v>#N/A</v>
      </c>
      <c r="F1145" s="85" t="str">
        <f>IF('Informe Kelly'!H1138=$A$2,'Informe Kelly'!F1138,"")</f>
        <v/>
      </c>
      <c r="G1145" s="85" t="str">
        <f>IF('Informe Kelly'!H1138=$A$3,'Informe Kelly'!F1138,"")</f>
        <v/>
      </c>
      <c r="H1145" s="85">
        <f>IF(C1145=C1143,0,IF(D1145=D1144,0,(HLOOKUP(C1145,Ingreso!$AN$10:$AU$260,VLOOKUP(A1145,Ingreso!$AL$11:$AM$260,2,FALSE)))/24))</f>
        <v>0</v>
      </c>
      <c r="I1145" s="77">
        <f t="shared" si="35"/>
        <v>0</v>
      </c>
    </row>
    <row r="1146" spans="1:9">
      <c r="A1146" s="85" t="e">
        <f>VLOOKUP('Informe Kelly'!A1139,Base!A:B,2,FALSE)</f>
        <v>#N/A</v>
      </c>
      <c r="B1146" s="85" t="e">
        <f>VLOOKUP('Informe Kelly'!A1139,Base!A:G,7,FALSE)</f>
        <v>#N/A</v>
      </c>
      <c r="C1146" s="91">
        <f>'Informe Kelly'!E1139</f>
        <v>0</v>
      </c>
      <c r="D1146" s="96">
        <f t="shared" si="34"/>
        <v>591</v>
      </c>
      <c r="E1146" s="85" t="e">
        <f>VLOOKUP(A1146,Ingreso!K:P,6,FALSE)</f>
        <v>#N/A</v>
      </c>
      <c r="F1146" s="85" t="str">
        <f>IF('Informe Kelly'!H1139=$A$2,'Informe Kelly'!F1139,"")</f>
        <v/>
      </c>
      <c r="G1146" s="85" t="str">
        <f>IF('Informe Kelly'!H1139=$A$3,'Informe Kelly'!F1139,"")</f>
        <v/>
      </c>
      <c r="H1146" s="85">
        <f>IF(C1146=C1144,0,IF(D1146=D1145,0,(HLOOKUP(C1146,Ingreso!$AN$10:$AU$260,VLOOKUP(A1146,Ingreso!$AL$11:$AM$260,2,FALSE)))/24))</f>
        <v>0</v>
      </c>
      <c r="I1146" s="77">
        <f t="shared" si="35"/>
        <v>0</v>
      </c>
    </row>
    <row r="1147" spans="1:9">
      <c r="A1147" s="85" t="e">
        <f>VLOOKUP('Informe Kelly'!A1140,Base!A:B,2,FALSE)</f>
        <v>#N/A</v>
      </c>
      <c r="B1147" s="85" t="e">
        <f>VLOOKUP('Informe Kelly'!A1140,Base!A:G,7,FALSE)</f>
        <v>#N/A</v>
      </c>
      <c r="C1147" s="91">
        <f>'Informe Kelly'!E1140</f>
        <v>0</v>
      </c>
      <c r="D1147" s="96">
        <f t="shared" si="34"/>
        <v>591</v>
      </c>
      <c r="E1147" s="85" t="e">
        <f>VLOOKUP(A1147,Ingreso!K:P,6,FALSE)</f>
        <v>#N/A</v>
      </c>
      <c r="F1147" s="85" t="str">
        <f>IF('Informe Kelly'!H1140=$A$2,'Informe Kelly'!F1140,"")</f>
        <v/>
      </c>
      <c r="G1147" s="85" t="str">
        <f>IF('Informe Kelly'!H1140=$A$3,'Informe Kelly'!F1140,"")</f>
        <v/>
      </c>
      <c r="H1147" s="85">
        <f>IF(C1147=C1145,0,IF(D1147=D1146,0,(HLOOKUP(C1147,Ingreso!$AN$10:$AU$260,VLOOKUP(A1147,Ingreso!$AL$11:$AM$260,2,FALSE)))/24))</f>
        <v>0</v>
      </c>
      <c r="I1147" s="77">
        <f t="shared" si="35"/>
        <v>0</v>
      </c>
    </row>
    <row r="1148" spans="1:9">
      <c r="A1148" s="85" t="e">
        <f>VLOOKUP('Informe Kelly'!A1141,Base!A:B,2,FALSE)</f>
        <v>#N/A</v>
      </c>
      <c r="B1148" s="85" t="e">
        <f>VLOOKUP('Informe Kelly'!A1141,Base!A:G,7,FALSE)</f>
        <v>#N/A</v>
      </c>
      <c r="C1148" s="91">
        <f>'Informe Kelly'!E1141</f>
        <v>0</v>
      </c>
      <c r="D1148" s="96">
        <f t="shared" si="34"/>
        <v>591</v>
      </c>
      <c r="E1148" s="85" t="e">
        <f>VLOOKUP(A1148,Ingreso!K:P,6,FALSE)</f>
        <v>#N/A</v>
      </c>
      <c r="F1148" s="85" t="str">
        <f>IF('Informe Kelly'!H1141=$A$2,'Informe Kelly'!F1141,"")</f>
        <v/>
      </c>
      <c r="G1148" s="85" t="str">
        <f>IF('Informe Kelly'!H1141=$A$3,'Informe Kelly'!F1141,"")</f>
        <v/>
      </c>
      <c r="H1148" s="85">
        <f>IF(C1148=C1146,0,IF(D1148=D1147,0,(HLOOKUP(C1148,Ingreso!$AN$10:$AU$260,VLOOKUP(A1148,Ingreso!$AL$11:$AM$260,2,FALSE)))/24))</f>
        <v>0</v>
      </c>
      <c r="I1148" s="77">
        <f t="shared" si="35"/>
        <v>0</v>
      </c>
    </row>
    <row r="1149" spans="1:9">
      <c r="A1149" s="85" t="e">
        <f>VLOOKUP('Informe Kelly'!A1142,Base!A:B,2,FALSE)</f>
        <v>#N/A</v>
      </c>
      <c r="B1149" s="85" t="e">
        <f>VLOOKUP('Informe Kelly'!A1142,Base!A:G,7,FALSE)</f>
        <v>#N/A</v>
      </c>
      <c r="C1149" s="91">
        <f>'Informe Kelly'!E1142</f>
        <v>0</v>
      </c>
      <c r="D1149" s="96">
        <f t="shared" si="34"/>
        <v>591</v>
      </c>
      <c r="E1149" s="85" t="e">
        <f>VLOOKUP(A1149,Ingreso!K:P,6,FALSE)</f>
        <v>#N/A</v>
      </c>
      <c r="F1149" s="85" t="str">
        <f>IF('Informe Kelly'!H1142=$A$2,'Informe Kelly'!F1142,"")</f>
        <v/>
      </c>
      <c r="G1149" s="85" t="str">
        <f>IF('Informe Kelly'!H1142=$A$3,'Informe Kelly'!F1142,"")</f>
        <v/>
      </c>
      <c r="H1149" s="85">
        <f>IF(C1149=C1147,0,IF(D1149=D1148,0,(HLOOKUP(C1149,Ingreso!$AN$10:$AU$260,VLOOKUP(A1149,Ingreso!$AL$11:$AM$260,2,FALSE)))/24))</f>
        <v>0</v>
      </c>
      <c r="I1149" s="77">
        <f t="shared" si="35"/>
        <v>0</v>
      </c>
    </row>
    <row r="1150" spans="1:9">
      <c r="A1150" s="85" t="e">
        <f>VLOOKUP('Informe Kelly'!A1143,Base!A:B,2,FALSE)</f>
        <v>#N/A</v>
      </c>
      <c r="B1150" s="85" t="e">
        <f>VLOOKUP('Informe Kelly'!A1143,Base!A:G,7,FALSE)</f>
        <v>#N/A</v>
      </c>
      <c r="C1150" s="91">
        <f>'Informe Kelly'!E1143</f>
        <v>0</v>
      </c>
      <c r="D1150" s="96">
        <f t="shared" si="34"/>
        <v>591</v>
      </c>
      <c r="E1150" s="85" t="e">
        <f>VLOOKUP(A1150,Ingreso!K:P,6,FALSE)</f>
        <v>#N/A</v>
      </c>
      <c r="F1150" s="85" t="str">
        <f>IF('Informe Kelly'!H1143=$A$2,'Informe Kelly'!F1143,"")</f>
        <v/>
      </c>
      <c r="G1150" s="85" t="str">
        <f>IF('Informe Kelly'!H1143=$A$3,'Informe Kelly'!F1143,"")</f>
        <v/>
      </c>
      <c r="H1150" s="85">
        <f>IF(C1150=C1148,0,IF(D1150=D1149,0,(HLOOKUP(C1150,Ingreso!$AN$10:$AU$260,VLOOKUP(A1150,Ingreso!$AL$11:$AM$260,2,FALSE)))/24))</f>
        <v>0</v>
      </c>
      <c r="I1150" s="77">
        <f t="shared" si="35"/>
        <v>0</v>
      </c>
    </row>
    <row r="1151" spans="1:9">
      <c r="A1151" s="85" t="e">
        <f>VLOOKUP('Informe Kelly'!A1144,Base!A:B,2,FALSE)</f>
        <v>#N/A</v>
      </c>
      <c r="B1151" s="85" t="e">
        <f>VLOOKUP('Informe Kelly'!A1144,Base!A:G,7,FALSE)</f>
        <v>#N/A</v>
      </c>
      <c r="C1151" s="91">
        <f>'Informe Kelly'!E1144</f>
        <v>0</v>
      </c>
      <c r="D1151" s="96">
        <f t="shared" si="34"/>
        <v>591</v>
      </c>
      <c r="E1151" s="85" t="e">
        <f>VLOOKUP(A1151,Ingreso!K:P,6,FALSE)</f>
        <v>#N/A</v>
      </c>
      <c r="F1151" s="85" t="str">
        <f>IF('Informe Kelly'!H1144=$A$2,'Informe Kelly'!F1144,"")</f>
        <v/>
      </c>
      <c r="G1151" s="85" t="str">
        <f>IF('Informe Kelly'!H1144=$A$3,'Informe Kelly'!F1144,"")</f>
        <v/>
      </c>
      <c r="H1151" s="85">
        <f>IF(C1151=C1149,0,IF(D1151=D1150,0,(HLOOKUP(C1151,Ingreso!$AN$10:$AU$260,VLOOKUP(A1151,Ingreso!$AL$11:$AM$260,2,FALSE)))/24))</f>
        <v>0</v>
      </c>
      <c r="I1151" s="77">
        <f t="shared" si="35"/>
        <v>0</v>
      </c>
    </row>
    <row r="1152" spans="1:9">
      <c r="A1152" s="85" t="e">
        <f>VLOOKUP('Informe Kelly'!A1145,Base!A:B,2,FALSE)</f>
        <v>#N/A</v>
      </c>
      <c r="B1152" s="85" t="e">
        <f>VLOOKUP('Informe Kelly'!A1145,Base!A:G,7,FALSE)</f>
        <v>#N/A</v>
      </c>
      <c r="C1152" s="91">
        <f>'Informe Kelly'!E1145</f>
        <v>0</v>
      </c>
      <c r="D1152" s="96">
        <f t="shared" si="34"/>
        <v>591</v>
      </c>
      <c r="E1152" s="85" t="e">
        <f>VLOOKUP(A1152,Ingreso!K:P,6,FALSE)</f>
        <v>#N/A</v>
      </c>
      <c r="F1152" s="85" t="str">
        <f>IF('Informe Kelly'!H1145=$A$2,'Informe Kelly'!F1145,"")</f>
        <v/>
      </c>
      <c r="G1152" s="85" t="str">
        <f>IF('Informe Kelly'!H1145=$A$3,'Informe Kelly'!F1145,"")</f>
        <v/>
      </c>
      <c r="H1152" s="85">
        <f>IF(C1152=C1150,0,IF(D1152=D1151,0,(HLOOKUP(C1152,Ingreso!$AN$10:$AU$260,VLOOKUP(A1152,Ingreso!$AL$11:$AM$260,2,FALSE)))/24))</f>
        <v>0</v>
      </c>
      <c r="I1152" s="77">
        <f t="shared" si="35"/>
        <v>0</v>
      </c>
    </row>
    <row r="1153" spans="1:9">
      <c r="A1153" s="85" t="e">
        <f>VLOOKUP('Informe Kelly'!A1146,Base!A:B,2,FALSE)</f>
        <v>#N/A</v>
      </c>
      <c r="B1153" s="85" t="e">
        <f>VLOOKUP('Informe Kelly'!A1146,Base!A:G,7,FALSE)</f>
        <v>#N/A</v>
      </c>
      <c r="C1153" s="91">
        <f>'Informe Kelly'!E1146</f>
        <v>0</v>
      </c>
      <c r="D1153" s="96">
        <f t="shared" si="34"/>
        <v>591</v>
      </c>
      <c r="E1153" s="85" t="e">
        <f>VLOOKUP(A1153,Ingreso!K:P,6,FALSE)</f>
        <v>#N/A</v>
      </c>
      <c r="F1153" s="85" t="str">
        <f>IF('Informe Kelly'!H1146=$A$2,'Informe Kelly'!F1146,"")</f>
        <v/>
      </c>
      <c r="G1153" s="85" t="str">
        <f>IF('Informe Kelly'!H1146=$A$3,'Informe Kelly'!F1146,"")</f>
        <v/>
      </c>
      <c r="H1153" s="85">
        <f>IF(C1153=C1151,0,IF(D1153=D1152,0,(HLOOKUP(C1153,Ingreso!$AN$10:$AU$260,VLOOKUP(A1153,Ingreso!$AL$11:$AM$260,2,FALSE)))/24))</f>
        <v>0</v>
      </c>
      <c r="I1153" s="77">
        <f t="shared" si="35"/>
        <v>0</v>
      </c>
    </row>
    <row r="1154" spans="1:9">
      <c r="A1154" s="85" t="e">
        <f>VLOOKUP('Informe Kelly'!A1147,Base!A:B,2,FALSE)</f>
        <v>#N/A</v>
      </c>
      <c r="B1154" s="85" t="e">
        <f>VLOOKUP('Informe Kelly'!A1147,Base!A:G,7,FALSE)</f>
        <v>#N/A</v>
      </c>
      <c r="C1154" s="91">
        <f>'Informe Kelly'!E1147</f>
        <v>0</v>
      </c>
      <c r="D1154" s="96">
        <f t="shared" si="34"/>
        <v>591</v>
      </c>
      <c r="E1154" s="85" t="e">
        <f>VLOOKUP(A1154,Ingreso!K:P,6,FALSE)</f>
        <v>#N/A</v>
      </c>
      <c r="F1154" s="85" t="str">
        <f>IF('Informe Kelly'!H1147=$A$2,'Informe Kelly'!F1147,"")</f>
        <v/>
      </c>
      <c r="G1154" s="85" t="str">
        <f>IF('Informe Kelly'!H1147=$A$3,'Informe Kelly'!F1147,"")</f>
        <v/>
      </c>
      <c r="H1154" s="85">
        <f>IF(C1154=C1152,0,IF(D1154=D1153,0,(HLOOKUP(C1154,Ingreso!$AN$10:$AU$260,VLOOKUP(A1154,Ingreso!$AL$11:$AM$260,2,FALSE)))/24))</f>
        <v>0</v>
      </c>
      <c r="I1154" s="77">
        <f t="shared" si="35"/>
        <v>0</v>
      </c>
    </row>
    <row r="1155" spans="1:9">
      <c r="A1155" s="85" t="e">
        <f>VLOOKUP('Informe Kelly'!A1148,Base!A:B,2,FALSE)</f>
        <v>#N/A</v>
      </c>
      <c r="B1155" s="85" t="e">
        <f>VLOOKUP('Informe Kelly'!A1148,Base!A:G,7,FALSE)</f>
        <v>#N/A</v>
      </c>
      <c r="C1155" s="91">
        <f>'Informe Kelly'!E1148</f>
        <v>0</v>
      </c>
      <c r="D1155" s="96">
        <f t="shared" si="34"/>
        <v>591</v>
      </c>
      <c r="E1155" s="85" t="e">
        <f>VLOOKUP(A1155,Ingreso!K:P,6,FALSE)</f>
        <v>#N/A</v>
      </c>
      <c r="F1155" s="85" t="str">
        <f>IF('Informe Kelly'!H1148=$A$2,'Informe Kelly'!F1148,"")</f>
        <v/>
      </c>
      <c r="G1155" s="85" t="str">
        <f>IF('Informe Kelly'!H1148=$A$3,'Informe Kelly'!F1148,"")</f>
        <v/>
      </c>
      <c r="H1155" s="85">
        <f>IF(C1155=C1153,0,IF(D1155=D1154,0,(HLOOKUP(C1155,Ingreso!$AN$10:$AU$260,VLOOKUP(A1155,Ingreso!$AL$11:$AM$260,2,FALSE)))/24))</f>
        <v>0</v>
      </c>
      <c r="I1155" s="77">
        <f t="shared" si="35"/>
        <v>0</v>
      </c>
    </row>
    <row r="1156" spans="1:9">
      <c r="A1156" s="85" t="e">
        <f>VLOOKUP('Informe Kelly'!A1149,Base!A:B,2,FALSE)</f>
        <v>#N/A</v>
      </c>
      <c r="B1156" s="85" t="e">
        <f>VLOOKUP('Informe Kelly'!A1149,Base!A:G,7,FALSE)</f>
        <v>#N/A</v>
      </c>
      <c r="C1156" s="91">
        <f>'Informe Kelly'!E1149</f>
        <v>0</v>
      </c>
      <c r="D1156" s="96">
        <f t="shared" si="34"/>
        <v>591</v>
      </c>
      <c r="E1156" s="85" t="e">
        <f>VLOOKUP(A1156,Ingreso!K:P,6,FALSE)</f>
        <v>#N/A</v>
      </c>
      <c r="F1156" s="85" t="str">
        <f>IF('Informe Kelly'!H1149=$A$2,'Informe Kelly'!F1149,"")</f>
        <v/>
      </c>
      <c r="G1156" s="85" t="str">
        <f>IF('Informe Kelly'!H1149=$A$3,'Informe Kelly'!F1149,"")</f>
        <v/>
      </c>
      <c r="H1156" s="85">
        <f>IF(C1156=C1154,0,IF(D1156=D1155,0,(HLOOKUP(C1156,Ingreso!$AN$10:$AU$260,VLOOKUP(A1156,Ingreso!$AL$11:$AM$260,2,FALSE)))/24))</f>
        <v>0</v>
      </c>
      <c r="I1156" s="77">
        <f t="shared" si="35"/>
        <v>0</v>
      </c>
    </row>
    <row r="1157" spans="1:9">
      <c r="A1157" s="85" t="e">
        <f>VLOOKUP('Informe Kelly'!A1150,Base!A:B,2,FALSE)</f>
        <v>#N/A</v>
      </c>
      <c r="B1157" s="85" t="e">
        <f>VLOOKUP('Informe Kelly'!A1150,Base!A:G,7,FALSE)</f>
        <v>#N/A</v>
      </c>
      <c r="C1157" s="91">
        <f>'Informe Kelly'!E1150</f>
        <v>0</v>
      </c>
      <c r="D1157" s="96">
        <f t="shared" si="34"/>
        <v>591</v>
      </c>
      <c r="E1157" s="85" t="e">
        <f>VLOOKUP(A1157,Ingreso!K:P,6,FALSE)</f>
        <v>#N/A</v>
      </c>
      <c r="F1157" s="85" t="str">
        <f>IF('Informe Kelly'!H1150=$A$2,'Informe Kelly'!F1150,"")</f>
        <v/>
      </c>
      <c r="G1157" s="85" t="str">
        <f>IF('Informe Kelly'!H1150=$A$3,'Informe Kelly'!F1150,"")</f>
        <v/>
      </c>
      <c r="H1157" s="85">
        <f>IF(C1157=C1155,0,IF(D1157=D1156,0,(HLOOKUP(C1157,Ingreso!$AN$10:$AU$260,VLOOKUP(A1157,Ingreso!$AL$11:$AM$260,2,FALSE)))/24))</f>
        <v>0</v>
      </c>
      <c r="I1157" s="77">
        <f t="shared" si="35"/>
        <v>0</v>
      </c>
    </row>
    <row r="1158" spans="1:9">
      <c r="A1158" s="85" t="e">
        <f>VLOOKUP('Informe Kelly'!A1151,Base!A:B,2,FALSE)</f>
        <v>#N/A</v>
      </c>
      <c r="B1158" s="85" t="e">
        <f>VLOOKUP('Informe Kelly'!A1151,Base!A:G,7,FALSE)</f>
        <v>#N/A</v>
      </c>
      <c r="C1158" s="91">
        <f>'Informe Kelly'!E1151</f>
        <v>0</v>
      </c>
      <c r="D1158" s="96">
        <f t="shared" si="34"/>
        <v>591</v>
      </c>
      <c r="E1158" s="85" t="e">
        <f>VLOOKUP(A1158,Ingreso!K:P,6,FALSE)</f>
        <v>#N/A</v>
      </c>
      <c r="F1158" s="85" t="str">
        <f>IF('Informe Kelly'!H1151=$A$2,'Informe Kelly'!F1151,"")</f>
        <v/>
      </c>
      <c r="G1158" s="85" t="str">
        <f>IF('Informe Kelly'!H1151=$A$3,'Informe Kelly'!F1151,"")</f>
        <v/>
      </c>
      <c r="H1158" s="85">
        <f>IF(C1158=C1156,0,IF(D1158=D1157,0,(HLOOKUP(C1158,Ingreso!$AN$10:$AU$260,VLOOKUP(A1158,Ingreso!$AL$11:$AM$260,2,FALSE)))/24))</f>
        <v>0</v>
      </c>
      <c r="I1158" s="77">
        <f t="shared" si="35"/>
        <v>0</v>
      </c>
    </row>
    <row r="1159" spans="1:9">
      <c r="A1159" s="85" t="e">
        <f>VLOOKUP('Informe Kelly'!A1152,Base!A:B,2,FALSE)</f>
        <v>#N/A</v>
      </c>
      <c r="B1159" s="85" t="e">
        <f>VLOOKUP('Informe Kelly'!A1152,Base!A:G,7,FALSE)</f>
        <v>#N/A</v>
      </c>
      <c r="C1159" s="91">
        <f>'Informe Kelly'!E1152</f>
        <v>0</v>
      </c>
      <c r="D1159" s="96">
        <f t="shared" si="34"/>
        <v>591</v>
      </c>
      <c r="E1159" s="85" t="e">
        <f>VLOOKUP(A1159,Ingreso!K:P,6,FALSE)</f>
        <v>#N/A</v>
      </c>
      <c r="F1159" s="85" t="str">
        <f>IF('Informe Kelly'!H1152=$A$2,'Informe Kelly'!F1152,"")</f>
        <v/>
      </c>
      <c r="G1159" s="85" t="str">
        <f>IF('Informe Kelly'!H1152=$A$3,'Informe Kelly'!F1152,"")</f>
        <v/>
      </c>
      <c r="H1159" s="85">
        <f>IF(C1159=C1157,0,IF(D1159=D1158,0,(HLOOKUP(C1159,Ingreso!$AN$10:$AU$260,VLOOKUP(A1159,Ingreso!$AL$11:$AM$260,2,FALSE)))/24))</f>
        <v>0</v>
      </c>
      <c r="I1159" s="77">
        <f t="shared" si="35"/>
        <v>0</v>
      </c>
    </row>
    <row r="1160" spans="1:9">
      <c r="A1160" s="85" t="e">
        <f>VLOOKUP('Informe Kelly'!A1153,Base!A:B,2,FALSE)</f>
        <v>#N/A</v>
      </c>
      <c r="B1160" s="85" t="e">
        <f>VLOOKUP('Informe Kelly'!A1153,Base!A:G,7,FALSE)</f>
        <v>#N/A</v>
      </c>
      <c r="C1160" s="91">
        <f>'Informe Kelly'!E1153</f>
        <v>0</v>
      </c>
      <c r="D1160" s="96">
        <f t="shared" si="34"/>
        <v>591</v>
      </c>
      <c r="E1160" s="85" t="e">
        <f>VLOOKUP(A1160,Ingreso!K:P,6,FALSE)</f>
        <v>#N/A</v>
      </c>
      <c r="F1160" s="85" t="str">
        <f>IF('Informe Kelly'!H1153=$A$2,'Informe Kelly'!F1153,"")</f>
        <v/>
      </c>
      <c r="G1160" s="85" t="str">
        <f>IF('Informe Kelly'!H1153=$A$3,'Informe Kelly'!F1153,"")</f>
        <v/>
      </c>
      <c r="H1160" s="85">
        <f>IF(C1160=C1158,0,IF(D1160=D1159,0,(HLOOKUP(C1160,Ingreso!$AN$10:$AU$260,VLOOKUP(A1160,Ingreso!$AL$11:$AM$260,2,FALSE)))/24))</f>
        <v>0</v>
      </c>
      <c r="I1160" s="77">
        <f t="shared" si="35"/>
        <v>0</v>
      </c>
    </row>
    <row r="1161" spans="1:9">
      <c r="A1161" s="85" t="e">
        <f>VLOOKUP('Informe Kelly'!A1154,Base!A:B,2,FALSE)</f>
        <v>#N/A</v>
      </c>
      <c r="B1161" s="85" t="e">
        <f>VLOOKUP('Informe Kelly'!A1154,Base!A:G,7,FALSE)</f>
        <v>#N/A</v>
      </c>
      <c r="C1161" s="91">
        <f>'Informe Kelly'!E1154</f>
        <v>0</v>
      </c>
      <c r="D1161" s="96">
        <f t="shared" ref="D1161:D1224" si="36">IF(C1160=C1161,IF(C1161=C1158,D1160,IF(C1161=C1159,D1160+1,D1160)),D1160+1)</f>
        <v>591</v>
      </c>
      <c r="E1161" s="85" t="e">
        <f>VLOOKUP(A1161,Ingreso!K:P,6,FALSE)</f>
        <v>#N/A</v>
      </c>
      <c r="F1161" s="85" t="str">
        <f>IF('Informe Kelly'!H1154=$A$2,'Informe Kelly'!F1154,"")</f>
        <v/>
      </c>
      <c r="G1161" s="85" t="str">
        <f>IF('Informe Kelly'!H1154=$A$3,'Informe Kelly'!F1154,"")</f>
        <v/>
      </c>
      <c r="H1161" s="85">
        <f>IF(C1161=C1159,0,IF(D1161=D1160,0,(HLOOKUP(C1161,Ingreso!$AN$10:$AU$260,VLOOKUP(A1161,Ingreso!$AL$11:$AM$260,2,FALSE)))/24))</f>
        <v>0</v>
      </c>
      <c r="I1161" s="77">
        <f t="shared" si="35"/>
        <v>0</v>
      </c>
    </row>
    <row r="1162" spans="1:9">
      <c r="A1162" s="85" t="e">
        <f>VLOOKUP('Informe Kelly'!A1155,Base!A:B,2,FALSE)</f>
        <v>#N/A</v>
      </c>
      <c r="B1162" s="85" t="e">
        <f>VLOOKUP('Informe Kelly'!A1155,Base!A:G,7,FALSE)</f>
        <v>#N/A</v>
      </c>
      <c r="C1162" s="91">
        <f>'Informe Kelly'!E1155</f>
        <v>0</v>
      </c>
      <c r="D1162" s="96">
        <f t="shared" si="36"/>
        <v>591</v>
      </c>
      <c r="E1162" s="85" t="e">
        <f>VLOOKUP(A1162,Ingreso!K:P,6,FALSE)</f>
        <v>#N/A</v>
      </c>
      <c r="F1162" s="85" t="str">
        <f>IF('Informe Kelly'!H1155=$A$2,'Informe Kelly'!F1155,"")</f>
        <v/>
      </c>
      <c r="G1162" s="85" t="str">
        <f>IF('Informe Kelly'!H1155=$A$3,'Informe Kelly'!F1155,"")</f>
        <v/>
      </c>
      <c r="H1162" s="85">
        <f>IF(C1162=C1160,0,IF(D1162=D1161,0,(HLOOKUP(C1162,Ingreso!$AN$10:$AU$260,VLOOKUP(A1162,Ingreso!$AL$11:$AM$260,2,FALSE)))/24))</f>
        <v>0</v>
      </c>
      <c r="I1162" s="77">
        <f t="shared" ref="I1162:I1225" si="37">IF(C1162=C1160,0,IF(D1162=D1161,0,(VLOOKUP(E1162,$C$2:$D$5,2,FALSE))))</f>
        <v>0</v>
      </c>
    </row>
    <row r="1163" spans="1:9">
      <c r="A1163" s="85" t="e">
        <f>VLOOKUP('Informe Kelly'!A1156,Base!A:B,2,FALSE)</f>
        <v>#N/A</v>
      </c>
      <c r="B1163" s="85" t="e">
        <f>VLOOKUP('Informe Kelly'!A1156,Base!A:G,7,FALSE)</f>
        <v>#N/A</v>
      </c>
      <c r="C1163" s="91">
        <f>'Informe Kelly'!E1156</f>
        <v>0</v>
      </c>
      <c r="D1163" s="96">
        <f t="shared" si="36"/>
        <v>591</v>
      </c>
      <c r="E1163" s="85" t="e">
        <f>VLOOKUP(A1163,Ingreso!K:P,6,FALSE)</f>
        <v>#N/A</v>
      </c>
      <c r="F1163" s="85" t="str">
        <f>IF('Informe Kelly'!H1156=$A$2,'Informe Kelly'!F1156,"")</f>
        <v/>
      </c>
      <c r="G1163" s="85" t="str">
        <f>IF('Informe Kelly'!H1156=$A$3,'Informe Kelly'!F1156,"")</f>
        <v/>
      </c>
      <c r="H1163" s="85">
        <f>IF(C1163=C1161,0,IF(D1163=D1162,0,(HLOOKUP(C1163,Ingreso!$AN$10:$AU$260,VLOOKUP(A1163,Ingreso!$AL$11:$AM$260,2,FALSE)))/24))</f>
        <v>0</v>
      </c>
      <c r="I1163" s="77">
        <f t="shared" si="37"/>
        <v>0</v>
      </c>
    </row>
    <row r="1164" spans="1:9">
      <c r="A1164" s="85" t="e">
        <f>VLOOKUP('Informe Kelly'!A1157,Base!A:B,2,FALSE)</f>
        <v>#N/A</v>
      </c>
      <c r="B1164" s="85" t="e">
        <f>VLOOKUP('Informe Kelly'!A1157,Base!A:G,7,FALSE)</f>
        <v>#N/A</v>
      </c>
      <c r="C1164" s="91">
        <f>'Informe Kelly'!E1157</f>
        <v>0</v>
      </c>
      <c r="D1164" s="96">
        <f t="shared" si="36"/>
        <v>591</v>
      </c>
      <c r="E1164" s="85" t="e">
        <f>VLOOKUP(A1164,Ingreso!K:P,6,FALSE)</f>
        <v>#N/A</v>
      </c>
      <c r="F1164" s="85" t="str">
        <f>IF('Informe Kelly'!H1157=$A$2,'Informe Kelly'!F1157,"")</f>
        <v/>
      </c>
      <c r="G1164" s="85" t="str">
        <f>IF('Informe Kelly'!H1157=$A$3,'Informe Kelly'!F1157,"")</f>
        <v/>
      </c>
      <c r="H1164" s="85">
        <f>IF(C1164=C1162,0,IF(D1164=D1163,0,(HLOOKUP(C1164,Ingreso!$AN$10:$AU$260,VLOOKUP(A1164,Ingreso!$AL$11:$AM$260,2,FALSE)))/24))</f>
        <v>0</v>
      </c>
      <c r="I1164" s="77">
        <f t="shared" si="37"/>
        <v>0</v>
      </c>
    </row>
    <row r="1165" spans="1:9">
      <c r="A1165" s="85" t="e">
        <f>VLOOKUP('Informe Kelly'!A1158,Base!A:B,2,FALSE)</f>
        <v>#N/A</v>
      </c>
      <c r="B1165" s="85" t="e">
        <f>VLOOKUP('Informe Kelly'!A1158,Base!A:G,7,FALSE)</f>
        <v>#N/A</v>
      </c>
      <c r="C1165" s="91">
        <f>'Informe Kelly'!E1158</f>
        <v>0</v>
      </c>
      <c r="D1165" s="96">
        <f t="shared" si="36"/>
        <v>591</v>
      </c>
      <c r="E1165" s="85" t="e">
        <f>VLOOKUP(A1165,Ingreso!K:P,6,FALSE)</f>
        <v>#N/A</v>
      </c>
      <c r="F1165" s="85" t="str">
        <f>IF('Informe Kelly'!H1158=$A$2,'Informe Kelly'!F1158,"")</f>
        <v/>
      </c>
      <c r="G1165" s="85" t="str">
        <f>IF('Informe Kelly'!H1158=$A$3,'Informe Kelly'!F1158,"")</f>
        <v/>
      </c>
      <c r="H1165" s="85">
        <f>IF(C1165=C1163,0,IF(D1165=D1164,0,(HLOOKUP(C1165,Ingreso!$AN$10:$AU$260,VLOOKUP(A1165,Ingreso!$AL$11:$AM$260,2,FALSE)))/24))</f>
        <v>0</v>
      </c>
      <c r="I1165" s="77">
        <f t="shared" si="37"/>
        <v>0</v>
      </c>
    </row>
    <row r="1166" spans="1:9">
      <c r="A1166" s="85" t="e">
        <f>VLOOKUP('Informe Kelly'!A1159,Base!A:B,2,FALSE)</f>
        <v>#N/A</v>
      </c>
      <c r="B1166" s="85" t="e">
        <f>VLOOKUP('Informe Kelly'!A1159,Base!A:G,7,FALSE)</f>
        <v>#N/A</v>
      </c>
      <c r="C1166" s="91">
        <f>'Informe Kelly'!E1159</f>
        <v>0</v>
      </c>
      <c r="D1166" s="96">
        <f t="shared" si="36"/>
        <v>591</v>
      </c>
      <c r="E1166" s="85" t="e">
        <f>VLOOKUP(A1166,Ingreso!K:P,6,FALSE)</f>
        <v>#N/A</v>
      </c>
      <c r="F1166" s="85" t="str">
        <f>IF('Informe Kelly'!H1159=$A$2,'Informe Kelly'!F1159,"")</f>
        <v/>
      </c>
      <c r="G1166" s="85" t="str">
        <f>IF('Informe Kelly'!H1159=$A$3,'Informe Kelly'!F1159,"")</f>
        <v/>
      </c>
      <c r="H1166" s="85">
        <f>IF(C1166=C1164,0,IF(D1166=D1165,0,(HLOOKUP(C1166,Ingreso!$AN$10:$AU$260,VLOOKUP(A1166,Ingreso!$AL$11:$AM$260,2,FALSE)))/24))</f>
        <v>0</v>
      </c>
      <c r="I1166" s="77">
        <f t="shared" si="37"/>
        <v>0</v>
      </c>
    </row>
    <row r="1167" spans="1:9">
      <c r="A1167" s="85" t="e">
        <f>VLOOKUP('Informe Kelly'!A1160,Base!A:B,2,FALSE)</f>
        <v>#N/A</v>
      </c>
      <c r="B1167" s="85" t="e">
        <f>VLOOKUP('Informe Kelly'!A1160,Base!A:G,7,FALSE)</f>
        <v>#N/A</v>
      </c>
      <c r="C1167" s="91">
        <f>'Informe Kelly'!E1160</f>
        <v>0</v>
      </c>
      <c r="D1167" s="96">
        <f t="shared" si="36"/>
        <v>591</v>
      </c>
      <c r="E1167" s="85" t="e">
        <f>VLOOKUP(A1167,Ingreso!K:P,6,FALSE)</f>
        <v>#N/A</v>
      </c>
      <c r="F1167" s="85" t="str">
        <f>IF('Informe Kelly'!H1160=$A$2,'Informe Kelly'!F1160,"")</f>
        <v/>
      </c>
      <c r="G1167" s="85" t="str">
        <f>IF('Informe Kelly'!H1160=$A$3,'Informe Kelly'!F1160,"")</f>
        <v/>
      </c>
      <c r="H1167" s="85">
        <f>IF(C1167=C1165,0,IF(D1167=D1166,0,(HLOOKUP(C1167,Ingreso!$AN$10:$AU$260,VLOOKUP(A1167,Ingreso!$AL$11:$AM$260,2,FALSE)))/24))</f>
        <v>0</v>
      </c>
      <c r="I1167" s="77">
        <f t="shared" si="37"/>
        <v>0</v>
      </c>
    </row>
    <row r="1168" spans="1:9">
      <c r="A1168" s="85" t="e">
        <f>VLOOKUP('Informe Kelly'!A1161,Base!A:B,2,FALSE)</f>
        <v>#N/A</v>
      </c>
      <c r="B1168" s="85" t="e">
        <f>VLOOKUP('Informe Kelly'!A1161,Base!A:G,7,FALSE)</f>
        <v>#N/A</v>
      </c>
      <c r="C1168" s="91">
        <f>'Informe Kelly'!E1161</f>
        <v>0</v>
      </c>
      <c r="D1168" s="96">
        <f t="shared" si="36"/>
        <v>591</v>
      </c>
      <c r="E1168" s="85" t="e">
        <f>VLOOKUP(A1168,Ingreso!K:P,6,FALSE)</f>
        <v>#N/A</v>
      </c>
      <c r="F1168" s="85" t="str">
        <f>IF('Informe Kelly'!H1161=$A$2,'Informe Kelly'!F1161,"")</f>
        <v/>
      </c>
      <c r="G1168" s="85" t="str">
        <f>IF('Informe Kelly'!H1161=$A$3,'Informe Kelly'!F1161,"")</f>
        <v/>
      </c>
      <c r="H1168" s="85">
        <f>IF(C1168=C1166,0,IF(D1168=D1167,0,(HLOOKUP(C1168,Ingreso!$AN$10:$AU$260,VLOOKUP(A1168,Ingreso!$AL$11:$AM$260,2,FALSE)))/24))</f>
        <v>0</v>
      </c>
      <c r="I1168" s="77">
        <f t="shared" si="37"/>
        <v>0</v>
      </c>
    </row>
    <row r="1169" spans="1:9">
      <c r="A1169" s="85" t="e">
        <f>VLOOKUP('Informe Kelly'!A1162,Base!A:B,2,FALSE)</f>
        <v>#N/A</v>
      </c>
      <c r="B1169" s="85" t="e">
        <f>VLOOKUP('Informe Kelly'!A1162,Base!A:G,7,FALSE)</f>
        <v>#N/A</v>
      </c>
      <c r="C1169" s="91">
        <f>'Informe Kelly'!E1162</f>
        <v>0</v>
      </c>
      <c r="D1169" s="96">
        <f t="shared" si="36"/>
        <v>591</v>
      </c>
      <c r="E1169" s="85" t="e">
        <f>VLOOKUP(A1169,Ingreso!K:P,6,FALSE)</f>
        <v>#N/A</v>
      </c>
      <c r="F1169" s="85" t="str">
        <f>IF('Informe Kelly'!H1162=$A$2,'Informe Kelly'!F1162,"")</f>
        <v/>
      </c>
      <c r="G1169" s="85" t="str">
        <f>IF('Informe Kelly'!H1162=$A$3,'Informe Kelly'!F1162,"")</f>
        <v/>
      </c>
      <c r="H1169" s="85">
        <f>IF(C1169=C1167,0,IF(D1169=D1168,0,(HLOOKUP(C1169,Ingreso!$AN$10:$AU$260,VLOOKUP(A1169,Ingreso!$AL$11:$AM$260,2,FALSE)))/24))</f>
        <v>0</v>
      </c>
      <c r="I1169" s="77">
        <f t="shared" si="37"/>
        <v>0</v>
      </c>
    </row>
    <row r="1170" spans="1:9">
      <c r="A1170" s="85" t="e">
        <f>VLOOKUP('Informe Kelly'!A1163,Base!A:B,2,FALSE)</f>
        <v>#N/A</v>
      </c>
      <c r="B1170" s="85" t="e">
        <f>VLOOKUP('Informe Kelly'!A1163,Base!A:G,7,FALSE)</f>
        <v>#N/A</v>
      </c>
      <c r="C1170" s="91">
        <f>'Informe Kelly'!E1163</f>
        <v>0</v>
      </c>
      <c r="D1170" s="96">
        <f t="shared" si="36"/>
        <v>591</v>
      </c>
      <c r="E1170" s="85" t="e">
        <f>VLOOKUP(A1170,Ingreso!K:P,6,FALSE)</f>
        <v>#N/A</v>
      </c>
      <c r="F1170" s="85" t="str">
        <f>IF('Informe Kelly'!H1163=$A$2,'Informe Kelly'!F1163,"")</f>
        <v/>
      </c>
      <c r="G1170" s="85" t="str">
        <f>IF('Informe Kelly'!H1163=$A$3,'Informe Kelly'!F1163,"")</f>
        <v/>
      </c>
      <c r="H1170" s="85">
        <f>IF(C1170=C1168,0,IF(D1170=D1169,0,(HLOOKUP(C1170,Ingreso!$AN$10:$AU$260,VLOOKUP(A1170,Ingreso!$AL$11:$AM$260,2,FALSE)))/24))</f>
        <v>0</v>
      </c>
      <c r="I1170" s="77">
        <f t="shared" si="37"/>
        <v>0</v>
      </c>
    </row>
    <row r="1171" spans="1:9">
      <c r="A1171" s="85" t="e">
        <f>VLOOKUP('Informe Kelly'!A1164,Base!A:B,2,FALSE)</f>
        <v>#N/A</v>
      </c>
      <c r="B1171" s="85" t="e">
        <f>VLOOKUP('Informe Kelly'!A1164,Base!A:G,7,FALSE)</f>
        <v>#N/A</v>
      </c>
      <c r="C1171" s="91">
        <f>'Informe Kelly'!E1164</f>
        <v>0</v>
      </c>
      <c r="D1171" s="96">
        <f t="shared" si="36"/>
        <v>591</v>
      </c>
      <c r="E1171" s="85" t="e">
        <f>VLOOKUP(A1171,Ingreso!K:P,6,FALSE)</f>
        <v>#N/A</v>
      </c>
      <c r="F1171" s="85" t="str">
        <f>IF('Informe Kelly'!H1164=$A$2,'Informe Kelly'!F1164,"")</f>
        <v/>
      </c>
      <c r="G1171" s="85" t="str">
        <f>IF('Informe Kelly'!H1164=$A$3,'Informe Kelly'!F1164,"")</f>
        <v/>
      </c>
      <c r="H1171" s="85">
        <f>IF(C1171=C1169,0,IF(D1171=D1170,0,(HLOOKUP(C1171,Ingreso!$AN$10:$AU$260,VLOOKUP(A1171,Ingreso!$AL$11:$AM$260,2,FALSE)))/24))</f>
        <v>0</v>
      </c>
      <c r="I1171" s="77">
        <f t="shared" si="37"/>
        <v>0</v>
      </c>
    </row>
    <row r="1172" spans="1:9">
      <c r="A1172" s="85" t="e">
        <f>VLOOKUP('Informe Kelly'!A1165,Base!A:B,2,FALSE)</f>
        <v>#N/A</v>
      </c>
      <c r="B1172" s="85" t="e">
        <f>VLOOKUP('Informe Kelly'!A1165,Base!A:G,7,FALSE)</f>
        <v>#N/A</v>
      </c>
      <c r="C1172" s="91">
        <f>'Informe Kelly'!E1165</f>
        <v>0</v>
      </c>
      <c r="D1172" s="96">
        <f t="shared" si="36"/>
        <v>591</v>
      </c>
      <c r="E1172" s="85" t="e">
        <f>VLOOKUP(A1172,Ingreso!K:P,6,FALSE)</f>
        <v>#N/A</v>
      </c>
      <c r="F1172" s="85" t="str">
        <f>IF('Informe Kelly'!H1165=$A$2,'Informe Kelly'!F1165,"")</f>
        <v/>
      </c>
      <c r="G1172" s="85" t="str">
        <f>IF('Informe Kelly'!H1165=$A$3,'Informe Kelly'!F1165,"")</f>
        <v/>
      </c>
      <c r="H1172" s="85">
        <f>IF(C1172=C1170,0,IF(D1172=D1171,0,(HLOOKUP(C1172,Ingreso!$AN$10:$AU$260,VLOOKUP(A1172,Ingreso!$AL$11:$AM$260,2,FALSE)))/24))</f>
        <v>0</v>
      </c>
      <c r="I1172" s="77">
        <f t="shared" si="37"/>
        <v>0</v>
      </c>
    </row>
    <row r="1173" spans="1:9">
      <c r="A1173" s="85" t="e">
        <f>VLOOKUP('Informe Kelly'!A1166,Base!A:B,2,FALSE)</f>
        <v>#N/A</v>
      </c>
      <c r="B1173" s="85" t="e">
        <f>VLOOKUP('Informe Kelly'!A1166,Base!A:G,7,FALSE)</f>
        <v>#N/A</v>
      </c>
      <c r="C1173" s="91">
        <f>'Informe Kelly'!E1166</f>
        <v>0</v>
      </c>
      <c r="D1173" s="96">
        <f t="shared" si="36"/>
        <v>591</v>
      </c>
      <c r="E1173" s="85" t="e">
        <f>VLOOKUP(A1173,Ingreso!K:P,6,FALSE)</f>
        <v>#N/A</v>
      </c>
      <c r="F1173" s="85" t="str">
        <f>IF('Informe Kelly'!H1166=$A$2,'Informe Kelly'!F1166,"")</f>
        <v/>
      </c>
      <c r="G1173" s="85" t="str">
        <f>IF('Informe Kelly'!H1166=$A$3,'Informe Kelly'!F1166,"")</f>
        <v/>
      </c>
      <c r="H1173" s="85">
        <f>IF(C1173=C1171,0,IF(D1173=D1172,0,(HLOOKUP(C1173,Ingreso!$AN$10:$AU$260,VLOOKUP(A1173,Ingreso!$AL$11:$AM$260,2,FALSE)))/24))</f>
        <v>0</v>
      </c>
      <c r="I1173" s="77">
        <f t="shared" si="37"/>
        <v>0</v>
      </c>
    </row>
    <row r="1174" spans="1:9">
      <c r="A1174" s="85" t="e">
        <f>VLOOKUP('Informe Kelly'!A1167,Base!A:B,2,FALSE)</f>
        <v>#N/A</v>
      </c>
      <c r="B1174" s="85" t="e">
        <f>VLOOKUP('Informe Kelly'!A1167,Base!A:G,7,FALSE)</f>
        <v>#N/A</v>
      </c>
      <c r="C1174" s="91">
        <f>'Informe Kelly'!E1167</f>
        <v>0</v>
      </c>
      <c r="D1174" s="96">
        <f t="shared" si="36"/>
        <v>591</v>
      </c>
      <c r="E1174" s="85" t="e">
        <f>VLOOKUP(A1174,Ingreso!K:P,6,FALSE)</f>
        <v>#N/A</v>
      </c>
      <c r="F1174" s="85" t="str">
        <f>IF('Informe Kelly'!H1167=$A$2,'Informe Kelly'!F1167,"")</f>
        <v/>
      </c>
      <c r="G1174" s="85" t="str">
        <f>IF('Informe Kelly'!H1167=$A$3,'Informe Kelly'!F1167,"")</f>
        <v/>
      </c>
      <c r="H1174" s="85">
        <f>IF(C1174=C1172,0,IF(D1174=D1173,0,(HLOOKUP(C1174,Ingreso!$AN$10:$AU$260,VLOOKUP(A1174,Ingreso!$AL$11:$AM$260,2,FALSE)))/24))</f>
        <v>0</v>
      </c>
      <c r="I1174" s="77">
        <f t="shared" si="37"/>
        <v>0</v>
      </c>
    </row>
    <row r="1175" spans="1:9">
      <c r="A1175" s="85" t="e">
        <f>VLOOKUP('Informe Kelly'!A1168,Base!A:B,2,FALSE)</f>
        <v>#N/A</v>
      </c>
      <c r="B1175" s="85" t="e">
        <f>VLOOKUP('Informe Kelly'!A1168,Base!A:G,7,FALSE)</f>
        <v>#N/A</v>
      </c>
      <c r="C1175" s="91">
        <f>'Informe Kelly'!E1168</f>
        <v>0</v>
      </c>
      <c r="D1175" s="96">
        <f t="shared" si="36"/>
        <v>591</v>
      </c>
      <c r="E1175" s="85" t="e">
        <f>VLOOKUP(A1175,Ingreso!K:P,6,FALSE)</f>
        <v>#N/A</v>
      </c>
      <c r="F1175" s="85" t="str">
        <f>IF('Informe Kelly'!H1168=$A$2,'Informe Kelly'!F1168,"")</f>
        <v/>
      </c>
      <c r="G1175" s="85" t="str">
        <f>IF('Informe Kelly'!H1168=$A$3,'Informe Kelly'!F1168,"")</f>
        <v/>
      </c>
      <c r="H1175" s="85">
        <f>IF(C1175=C1173,0,IF(D1175=D1174,0,(HLOOKUP(C1175,Ingreso!$AN$10:$AU$260,VLOOKUP(A1175,Ingreso!$AL$11:$AM$260,2,FALSE)))/24))</f>
        <v>0</v>
      </c>
      <c r="I1175" s="77">
        <f t="shared" si="37"/>
        <v>0</v>
      </c>
    </row>
    <row r="1176" spans="1:9">
      <c r="A1176" s="85" t="e">
        <f>VLOOKUP('Informe Kelly'!A1169,Base!A:B,2,FALSE)</f>
        <v>#N/A</v>
      </c>
      <c r="B1176" s="85" t="e">
        <f>VLOOKUP('Informe Kelly'!A1169,Base!A:G,7,FALSE)</f>
        <v>#N/A</v>
      </c>
      <c r="C1176" s="91">
        <f>'Informe Kelly'!E1169</f>
        <v>0</v>
      </c>
      <c r="D1176" s="96">
        <f t="shared" si="36"/>
        <v>591</v>
      </c>
      <c r="E1176" s="85" t="e">
        <f>VLOOKUP(A1176,Ingreso!K:P,6,FALSE)</f>
        <v>#N/A</v>
      </c>
      <c r="F1176" s="85" t="str">
        <f>IF('Informe Kelly'!H1169=$A$2,'Informe Kelly'!F1169,"")</f>
        <v/>
      </c>
      <c r="G1176" s="85" t="str">
        <f>IF('Informe Kelly'!H1169=$A$3,'Informe Kelly'!F1169,"")</f>
        <v/>
      </c>
      <c r="H1176" s="85">
        <f>IF(C1176=C1174,0,IF(D1176=D1175,0,(HLOOKUP(C1176,Ingreso!$AN$10:$AU$260,VLOOKUP(A1176,Ingreso!$AL$11:$AM$260,2,FALSE)))/24))</f>
        <v>0</v>
      </c>
      <c r="I1176" s="77">
        <f t="shared" si="37"/>
        <v>0</v>
      </c>
    </row>
    <row r="1177" spans="1:9">
      <c r="A1177" s="85" t="e">
        <f>VLOOKUP('Informe Kelly'!A1170,Base!A:B,2,FALSE)</f>
        <v>#N/A</v>
      </c>
      <c r="B1177" s="85" t="e">
        <f>VLOOKUP('Informe Kelly'!A1170,Base!A:G,7,FALSE)</f>
        <v>#N/A</v>
      </c>
      <c r="C1177" s="91">
        <f>'Informe Kelly'!E1170</f>
        <v>0</v>
      </c>
      <c r="D1177" s="96">
        <f t="shared" si="36"/>
        <v>591</v>
      </c>
      <c r="E1177" s="85" t="e">
        <f>VLOOKUP(A1177,Ingreso!K:P,6,FALSE)</f>
        <v>#N/A</v>
      </c>
      <c r="F1177" s="85" t="str">
        <f>IF('Informe Kelly'!H1170=$A$2,'Informe Kelly'!F1170,"")</f>
        <v/>
      </c>
      <c r="G1177" s="85" t="str">
        <f>IF('Informe Kelly'!H1170=$A$3,'Informe Kelly'!F1170,"")</f>
        <v/>
      </c>
      <c r="H1177" s="85">
        <f>IF(C1177=C1175,0,IF(D1177=D1176,0,(HLOOKUP(C1177,Ingreso!$AN$10:$AU$260,VLOOKUP(A1177,Ingreso!$AL$11:$AM$260,2,FALSE)))/24))</f>
        <v>0</v>
      </c>
      <c r="I1177" s="77">
        <f t="shared" si="37"/>
        <v>0</v>
      </c>
    </row>
    <row r="1178" spans="1:9">
      <c r="A1178" s="85" t="e">
        <f>VLOOKUP('Informe Kelly'!A1171,Base!A:B,2,FALSE)</f>
        <v>#N/A</v>
      </c>
      <c r="B1178" s="85" t="e">
        <f>VLOOKUP('Informe Kelly'!A1171,Base!A:G,7,FALSE)</f>
        <v>#N/A</v>
      </c>
      <c r="C1178" s="91">
        <f>'Informe Kelly'!E1171</f>
        <v>0</v>
      </c>
      <c r="D1178" s="96">
        <f t="shared" si="36"/>
        <v>591</v>
      </c>
      <c r="E1178" s="85" t="e">
        <f>VLOOKUP(A1178,Ingreso!K:P,6,FALSE)</f>
        <v>#N/A</v>
      </c>
      <c r="F1178" s="85" t="str">
        <f>IF('Informe Kelly'!H1171=$A$2,'Informe Kelly'!F1171,"")</f>
        <v/>
      </c>
      <c r="G1178" s="85" t="str">
        <f>IF('Informe Kelly'!H1171=$A$3,'Informe Kelly'!F1171,"")</f>
        <v/>
      </c>
      <c r="H1178" s="85">
        <f>IF(C1178=C1176,0,IF(D1178=D1177,0,(HLOOKUP(C1178,Ingreso!$AN$10:$AU$260,VLOOKUP(A1178,Ingreso!$AL$11:$AM$260,2,FALSE)))/24))</f>
        <v>0</v>
      </c>
      <c r="I1178" s="77">
        <f t="shared" si="37"/>
        <v>0</v>
      </c>
    </row>
    <row r="1179" spans="1:9">
      <c r="A1179" s="85" t="e">
        <f>VLOOKUP('Informe Kelly'!A1172,Base!A:B,2,FALSE)</f>
        <v>#N/A</v>
      </c>
      <c r="B1179" s="85" t="e">
        <f>VLOOKUP('Informe Kelly'!A1172,Base!A:G,7,FALSE)</f>
        <v>#N/A</v>
      </c>
      <c r="C1179" s="91">
        <f>'Informe Kelly'!E1172</f>
        <v>0</v>
      </c>
      <c r="D1179" s="96">
        <f t="shared" si="36"/>
        <v>591</v>
      </c>
      <c r="E1179" s="85" t="e">
        <f>VLOOKUP(A1179,Ingreso!K:P,6,FALSE)</f>
        <v>#N/A</v>
      </c>
      <c r="F1179" s="85" t="str">
        <f>IF('Informe Kelly'!H1172=$A$2,'Informe Kelly'!F1172,"")</f>
        <v/>
      </c>
      <c r="G1179" s="85" t="str">
        <f>IF('Informe Kelly'!H1172=$A$3,'Informe Kelly'!F1172,"")</f>
        <v/>
      </c>
      <c r="H1179" s="85">
        <f>IF(C1179=C1177,0,IF(D1179=D1178,0,(HLOOKUP(C1179,Ingreso!$AN$10:$AU$260,VLOOKUP(A1179,Ingreso!$AL$11:$AM$260,2,FALSE)))/24))</f>
        <v>0</v>
      </c>
      <c r="I1179" s="77">
        <f t="shared" si="37"/>
        <v>0</v>
      </c>
    </row>
    <row r="1180" spans="1:9">
      <c r="A1180" s="85" t="e">
        <f>VLOOKUP('Informe Kelly'!A1173,Base!A:B,2,FALSE)</f>
        <v>#N/A</v>
      </c>
      <c r="B1180" s="85" t="e">
        <f>VLOOKUP('Informe Kelly'!A1173,Base!A:G,7,FALSE)</f>
        <v>#N/A</v>
      </c>
      <c r="C1180" s="91">
        <f>'Informe Kelly'!E1173</f>
        <v>0</v>
      </c>
      <c r="D1180" s="96">
        <f t="shared" si="36"/>
        <v>591</v>
      </c>
      <c r="E1180" s="85" t="e">
        <f>VLOOKUP(A1180,Ingreso!K:P,6,FALSE)</f>
        <v>#N/A</v>
      </c>
      <c r="F1180" s="85" t="str">
        <f>IF('Informe Kelly'!H1173=$A$2,'Informe Kelly'!F1173,"")</f>
        <v/>
      </c>
      <c r="G1180" s="85" t="str">
        <f>IF('Informe Kelly'!H1173=$A$3,'Informe Kelly'!F1173,"")</f>
        <v/>
      </c>
      <c r="H1180" s="85">
        <f>IF(C1180=C1178,0,IF(D1180=D1179,0,(HLOOKUP(C1180,Ingreso!$AN$10:$AU$260,VLOOKUP(A1180,Ingreso!$AL$11:$AM$260,2,FALSE)))/24))</f>
        <v>0</v>
      </c>
      <c r="I1180" s="77">
        <f t="shared" si="37"/>
        <v>0</v>
      </c>
    </row>
    <row r="1181" spans="1:9">
      <c r="A1181" s="85" t="e">
        <f>VLOOKUP('Informe Kelly'!A1174,Base!A:B,2,FALSE)</f>
        <v>#N/A</v>
      </c>
      <c r="B1181" s="85" t="e">
        <f>VLOOKUP('Informe Kelly'!A1174,Base!A:G,7,FALSE)</f>
        <v>#N/A</v>
      </c>
      <c r="C1181" s="91">
        <f>'Informe Kelly'!E1174</f>
        <v>0</v>
      </c>
      <c r="D1181" s="96">
        <f t="shared" si="36"/>
        <v>591</v>
      </c>
      <c r="E1181" s="85" t="e">
        <f>VLOOKUP(A1181,Ingreso!K:P,6,FALSE)</f>
        <v>#N/A</v>
      </c>
      <c r="F1181" s="85" t="str">
        <f>IF('Informe Kelly'!H1174=$A$2,'Informe Kelly'!F1174,"")</f>
        <v/>
      </c>
      <c r="G1181" s="85" t="str">
        <f>IF('Informe Kelly'!H1174=$A$3,'Informe Kelly'!F1174,"")</f>
        <v/>
      </c>
      <c r="H1181" s="85">
        <f>IF(C1181=C1179,0,IF(D1181=D1180,0,(HLOOKUP(C1181,Ingreso!$AN$10:$AU$260,VLOOKUP(A1181,Ingreso!$AL$11:$AM$260,2,FALSE)))/24))</f>
        <v>0</v>
      </c>
      <c r="I1181" s="77">
        <f t="shared" si="37"/>
        <v>0</v>
      </c>
    </row>
    <row r="1182" spans="1:9">
      <c r="A1182" s="85" t="e">
        <f>VLOOKUP('Informe Kelly'!A1175,Base!A:B,2,FALSE)</f>
        <v>#N/A</v>
      </c>
      <c r="B1182" s="85" t="e">
        <f>VLOOKUP('Informe Kelly'!A1175,Base!A:G,7,FALSE)</f>
        <v>#N/A</v>
      </c>
      <c r="C1182" s="91">
        <f>'Informe Kelly'!E1175</f>
        <v>0</v>
      </c>
      <c r="D1182" s="96">
        <f t="shared" si="36"/>
        <v>591</v>
      </c>
      <c r="E1182" s="85" t="e">
        <f>VLOOKUP(A1182,Ingreso!K:P,6,FALSE)</f>
        <v>#N/A</v>
      </c>
      <c r="F1182" s="85" t="str">
        <f>IF('Informe Kelly'!H1175=$A$2,'Informe Kelly'!F1175,"")</f>
        <v/>
      </c>
      <c r="G1182" s="85" t="str">
        <f>IF('Informe Kelly'!H1175=$A$3,'Informe Kelly'!F1175,"")</f>
        <v/>
      </c>
      <c r="H1182" s="85">
        <f>IF(C1182=C1180,0,IF(D1182=D1181,0,(HLOOKUP(C1182,Ingreso!$AN$10:$AU$260,VLOOKUP(A1182,Ingreso!$AL$11:$AM$260,2,FALSE)))/24))</f>
        <v>0</v>
      </c>
      <c r="I1182" s="77">
        <f t="shared" si="37"/>
        <v>0</v>
      </c>
    </row>
    <row r="1183" spans="1:9">
      <c r="A1183" s="85" t="e">
        <f>VLOOKUP('Informe Kelly'!A1176,Base!A:B,2,FALSE)</f>
        <v>#N/A</v>
      </c>
      <c r="B1183" s="85" t="e">
        <f>VLOOKUP('Informe Kelly'!A1176,Base!A:G,7,FALSE)</f>
        <v>#N/A</v>
      </c>
      <c r="C1183" s="91">
        <f>'Informe Kelly'!E1176</f>
        <v>0</v>
      </c>
      <c r="D1183" s="96">
        <f t="shared" si="36"/>
        <v>591</v>
      </c>
      <c r="E1183" s="85" t="e">
        <f>VLOOKUP(A1183,Ingreso!K:P,6,FALSE)</f>
        <v>#N/A</v>
      </c>
      <c r="F1183" s="85" t="str">
        <f>IF('Informe Kelly'!H1176=$A$2,'Informe Kelly'!F1176,"")</f>
        <v/>
      </c>
      <c r="G1183" s="85" t="str">
        <f>IF('Informe Kelly'!H1176=$A$3,'Informe Kelly'!F1176,"")</f>
        <v/>
      </c>
      <c r="H1183" s="85">
        <f>IF(C1183=C1181,0,IF(D1183=D1182,0,(HLOOKUP(C1183,Ingreso!$AN$10:$AU$260,VLOOKUP(A1183,Ingreso!$AL$11:$AM$260,2,FALSE)))/24))</f>
        <v>0</v>
      </c>
      <c r="I1183" s="77">
        <f t="shared" si="37"/>
        <v>0</v>
      </c>
    </row>
    <row r="1184" spans="1:9">
      <c r="A1184" s="85" t="e">
        <f>VLOOKUP('Informe Kelly'!A1177,Base!A:B,2,FALSE)</f>
        <v>#N/A</v>
      </c>
      <c r="B1184" s="85" t="e">
        <f>VLOOKUP('Informe Kelly'!A1177,Base!A:G,7,FALSE)</f>
        <v>#N/A</v>
      </c>
      <c r="C1184" s="91">
        <f>'Informe Kelly'!E1177</f>
        <v>0</v>
      </c>
      <c r="D1184" s="96">
        <f t="shared" si="36"/>
        <v>591</v>
      </c>
      <c r="E1184" s="85" t="e">
        <f>VLOOKUP(A1184,Ingreso!K:P,6,FALSE)</f>
        <v>#N/A</v>
      </c>
      <c r="F1184" s="85" t="str">
        <f>IF('Informe Kelly'!H1177=$A$2,'Informe Kelly'!F1177,"")</f>
        <v/>
      </c>
      <c r="G1184" s="85" t="str">
        <f>IF('Informe Kelly'!H1177=$A$3,'Informe Kelly'!F1177,"")</f>
        <v/>
      </c>
      <c r="H1184" s="85">
        <f>IF(C1184=C1182,0,IF(D1184=D1183,0,(HLOOKUP(C1184,Ingreso!$AN$10:$AU$260,VLOOKUP(A1184,Ingreso!$AL$11:$AM$260,2,FALSE)))/24))</f>
        <v>0</v>
      </c>
      <c r="I1184" s="77">
        <f t="shared" si="37"/>
        <v>0</v>
      </c>
    </row>
    <row r="1185" spans="1:9">
      <c r="A1185" s="85" t="e">
        <f>VLOOKUP('Informe Kelly'!A1178,Base!A:B,2,FALSE)</f>
        <v>#N/A</v>
      </c>
      <c r="B1185" s="85" t="e">
        <f>VLOOKUP('Informe Kelly'!A1178,Base!A:G,7,FALSE)</f>
        <v>#N/A</v>
      </c>
      <c r="C1185" s="91">
        <f>'Informe Kelly'!E1178</f>
        <v>0</v>
      </c>
      <c r="D1185" s="96">
        <f t="shared" si="36"/>
        <v>591</v>
      </c>
      <c r="E1185" s="85" t="e">
        <f>VLOOKUP(A1185,Ingreso!K:P,6,FALSE)</f>
        <v>#N/A</v>
      </c>
      <c r="F1185" s="85" t="str">
        <f>IF('Informe Kelly'!H1178=$A$2,'Informe Kelly'!F1178,"")</f>
        <v/>
      </c>
      <c r="G1185" s="85" t="str">
        <f>IF('Informe Kelly'!H1178=$A$3,'Informe Kelly'!F1178,"")</f>
        <v/>
      </c>
      <c r="H1185" s="85">
        <f>IF(C1185=C1183,0,IF(D1185=D1184,0,(HLOOKUP(C1185,Ingreso!$AN$10:$AU$260,VLOOKUP(A1185,Ingreso!$AL$11:$AM$260,2,FALSE)))/24))</f>
        <v>0</v>
      </c>
      <c r="I1185" s="77">
        <f t="shared" si="37"/>
        <v>0</v>
      </c>
    </row>
    <row r="1186" spans="1:9">
      <c r="A1186" s="85" t="e">
        <f>VLOOKUP('Informe Kelly'!A1179,Base!A:B,2,FALSE)</f>
        <v>#N/A</v>
      </c>
      <c r="B1186" s="85" t="e">
        <f>VLOOKUP('Informe Kelly'!A1179,Base!A:G,7,FALSE)</f>
        <v>#N/A</v>
      </c>
      <c r="C1186" s="91">
        <f>'Informe Kelly'!E1179</f>
        <v>0</v>
      </c>
      <c r="D1186" s="96">
        <f t="shared" si="36"/>
        <v>591</v>
      </c>
      <c r="E1186" s="85" t="e">
        <f>VLOOKUP(A1186,Ingreso!K:P,6,FALSE)</f>
        <v>#N/A</v>
      </c>
      <c r="F1186" s="85" t="str">
        <f>IF('Informe Kelly'!H1179=$A$2,'Informe Kelly'!F1179,"")</f>
        <v/>
      </c>
      <c r="G1186" s="85" t="str">
        <f>IF('Informe Kelly'!H1179=$A$3,'Informe Kelly'!F1179,"")</f>
        <v/>
      </c>
      <c r="H1186" s="85">
        <f>IF(C1186=C1184,0,IF(D1186=D1185,0,(HLOOKUP(C1186,Ingreso!$AN$10:$AU$260,VLOOKUP(A1186,Ingreso!$AL$11:$AM$260,2,FALSE)))/24))</f>
        <v>0</v>
      </c>
      <c r="I1186" s="77">
        <f t="shared" si="37"/>
        <v>0</v>
      </c>
    </row>
    <row r="1187" spans="1:9">
      <c r="A1187" s="85" t="e">
        <f>VLOOKUP('Informe Kelly'!A1180,Base!A:B,2,FALSE)</f>
        <v>#N/A</v>
      </c>
      <c r="B1187" s="85" t="e">
        <f>VLOOKUP('Informe Kelly'!A1180,Base!A:G,7,FALSE)</f>
        <v>#N/A</v>
      </c>
      <c r="C1187" s="91">
        <f>'Informe Kelly'!E1180</f>
        <v>0</v>
      </c>
      <c r="D1187" s="96">
        <f t="shared" si="36"/>
        <v>591</v>
      </c>
      <c r="E1187" s="85" t="e">
        <f>VLOOKUP(A1187,Ingreso!K:P,6,FALSE)</f>
        <v>#N/A</v>
      </c>
      <c r="F1187" s="85" t="str">
        <f>IF('Informe Kelly'!H1180=$A$2,'Informe Kelly'!F1180,"")</f>
        <v/>
      </c>
      <c r="G1187" s="85" t="str">
        <f>IF('Informe Kelly'!H1180=$A$3,'Informe Kelly'!F1180,"")</f>
        <v/>
      </c>
      <c r="H1187" s="85">
        <f>IF(C1187=C1185,0,IF(D1187=D1186,0,(HLOOKUP(C1187,Ingreso!$AN$10:$AU$260,VLOOKUP(A1187,Ingreso!$AL$11:$AM$260,2,FALSE)))/24))</f>
        <v>0</v>
      </c>
      <c r="I1187" s="77">
        <f t="shared" si="37"/>
        <v>0</v>
      </c>
    </row>
    <row r="1188" spans="1:9">
      <c r="A1188" s="85" t="e">
        <f>VLOOKUP('Informe Kelly'!A1181,Base!A:B,2,FALSE)</f>
        <v>#N/A</v>
      </c>
      <c r="B1188" s="85" t="e">
        <f>VLOOKUP('Informe Kelly'!A1181,Base!A:G,7,FALSE)</f>
        <v>#N/A</v>
      </c>
      <c r="C1188" s="91">
        <f>'Informe Kelly'!E1181</f>
        <v>0</v>
      </c>
      <c r="D1188" s="96">
        <f t="shared" si="36"/>
        <v>591</v>
      </c>
      <c r="E1188" s="85" t="e">
        <f>VLOOKUP(A1188,Ingreso!K:P,6,FALSE)</f>
        <v>#N/A</v>
      </c>
      <c r="F1188" s="85" t="str">
        <f>IF('Informe Kelly'!H1181=$A$2,'Informe Kelly'!F1181,"")</f>
        <v/>
      </c>
      <c r="G1188" s="85" t="str">
        <f>IF('Informe Kelly'!H1181=$A$3,'Informe Kelly'!F1181,"")</f>
        <v/>
      </c>
      <c r="H1188" s="85">
        <f>IF(C1188=C1186,0,IF(D1188=D1187,0,(HLOOKUP(C1188,Ingreso!$AN$10:$AU$260,VLOOKUP(A1188,Ingreso!$AL$11:$AM$260,2,FALSE)))/24))</f>
        <v>0</v>
      </c>
      <c r="I1188" s="77">
        <f t="shared" si="37"/>
        <v>0</v>
      </c>
    </row>
    <row r="1189" spans="1:9">
      <c r="A1189" s="85" t="e">
        <f>VLOOKUP('Informe Kelly'!A1182,Base!A:B,2,FALSE)</f>
        <v>#N/A</v>
      </c>
      <c r="B1189" s="85" t="e">
        <f>VLOOKUP('Informe Kelly'!A1182,Base!A:G,7,FALSE)</f>
        <v>#N/A</v>
      </c>
      <c r="C1189" s="91">
        <f>'Informe Kelly'!E1182</f>
        <v>0</v>
      </c>
      <c r="D1189" s="96">
        <f t="shared" si="36"/>
        <v>591</v>
      </c>
      <c r="E1189" s="85" t="e">
        <f>VLOOKUP(A1189,Ingreso!K:P,6,FALSE)</f>
        <v>#N/A</v>
      </c>
      <c r="F1189" s="85" t="str">
        <f>IF('Informe Kelly'!H1182=$A$2,'Informe Kelly'!F1182,"")</f>
        <v/>
      </c>
      <c r="G1189" s="85" t="str">
        <f>IF('Informe Kelly'!H1182=$A$3,'Informe Kelly'!F1182,"")</f>
        <v/>
      </c>
      <c r="H1189" s="85">
        <f>IF(C1189=C1187,0,IF(D1189=D1188,0,(HLOOKUP(C1189,Ingreso!$AN$10:$AU$260,VLOOKUP(A1189,Ingreso!$AL$11:$AM$260,2,FALSE)))/24))</f>
        <v>0</v>
      </c>
      <c r="I1189" s="77">
        <f t="shared" si="37"/>
        <v>0</v>
      </c>
    </row>
    <row r="1190" spans="1:9">
      <c r="A1190" s="85" t="e">
        <f>VLOOKUP('Informe Kelly'!A1183,Base!A:B,2,FALSE)</f>
        <v>#N/A</v>
      </c>
      <c r="B1190" s="85" t="e">
        <f>VLOOKUP('Informe Kelly'!A1183,Base!A:G,7,FALSE)</f>
        <v>#N/A</v>
      </c>
      <c r="C1190" s="91">
        <f>'Informe Kelly'!E1183</f>
        <v>0</v>
      </c>
      <c r="D1190" s="96">
        <f t="shared" si="36"/>
        <v>591</v>
      </c>
      <c r="E1190" s="85" t="e">
        <f>VLOOKUP(A1190,Ingreso!K:P,6,FALSE)</f>
        <v>#N/A</v>
      </c>
      <c r="F1190" s="85" t="str">
        <f>IF('Informe Kelly'!H1183=$A$2,'Informe Kelly'!F1183,"")</f>
        <v/>
      </c>
      <c r="G1190" s="85" t="str">
        <f>IF('Informe Kelly'!H1183=$A$3,'Informe Kelly'!F1183,"")</f>
        <v/>
      </c>
      <c r="H1190" s="85">
        <f>IF(C1190=C1188,0,IF(D1190=D1189,0,(HLOOKUP(C1190,Ingreso!$AN$10:$AU$260,VLOOKUP(A1190,Ingreso!$AL$11:$AM$260,2,FALSE)))/24))</f>
        <v>0</v>
      </c>
      <c r="I1190" s="77">
        <f t="shared" si="37"/>
        <v>0</v>
      </c>
    </row>
    <row r="1191" spans="1:9">
      <c r="A1191" s="85" t="e">
        <f>VLOOKUP('Informe Kelly'!A1184,Base!A:B,2,FALSE)</f>
        <v>#N/A</v>
      </c>
      <c r="B1191" s="85" t="e">
        <f>VLOOKUP('Informe Kelly'!A1184,Base!A:G,7,FALSE)</f>
        <v>#N/A</v>
      </c>
      <c r="C1191" s="91">
        <f>'Informe Kelly'!E1184</f>
        <v>0</v>
      </c>
      <c r="D1191" s="96">
        <f t="shared" si="36"/>
        <v>591</v>
      </c>
      <c r="E1191" s="85" t="e">
        <f>VLOOKUP(A1191,Ingreso!K:P,6,FALSE)</f>
        <v>#N/A</v>
      </c>
      <c r="F1191" s="85" t="str">
        <f>IF('Informe Kelly'!H1184=$A$2,'Informe Kelly'!F1184,"")</f>
        <v/>
      </c>
      <c r="G1191" s="85" t="str">
        <f>IF('Informe Kelly'!H1184=$A$3,'Informe Kelly'!F1184,"")</f>
        <v/>
      </c>
      <c r="H1191" s="85">
        <f>IF(C1191=C1189,0,IF(D1191=D1190,0,(HLOOKUP(C1191,Ingreso!$AN$10:$AU$260,VLOOKUP(A1191,Ingreso!$AL$11:$AM$260,2,FALSE)))/24))</f>
        <v>0</v>
      </c>
      <c r="I1191" s="77">
        <f t="shared" si="37"/>
        <v>0</v>
      </c>
    </row>
    <row r="1192" spans="1:9">
      <c r="A1192" s="85" t="e">
        <f>VLOOKUP('Informe Kelly'!A1185,Base!A:B,2,FALSE)</f>
        <v>#N/A</v>
      </c>
      <c r="B1192" s="85" t="e">
        <f>VLOOKUP('Informe Kelly'!A1185,Base!A:G,7,FALSE)</f>
        <v>#N/A</v>
      </c>
      <c r="C1192" s="91">
        <f>'Informe Kelly'!E1185</f>
        <v>0</v>
      </c>
      <c r="D1192" s="96">
        <f t="shared" si="36"/>
        <v>591</v>
      </c>
      <c r="E1192" s="85" t="e">
        <f>VLOOKUP(A1192,Ingreso!K:P,6,FALSE)</f>
        <v>#N/A</v>
      </c>
      <c r="F1192" s="85" t="str">
        <f>IF('Informe Kelly'!H1185=$A$2,'Informe Kelly'!F1185,"")</f>
        <v/>
      </c>
      <c r="G1192" s="85" t="str">
        <f>IF('Informe Kelly'!H1185=$A$3,'Informe Kelly'!F1185,"")</f>
        <v/>
      </c>
      <c r="H1192" s="85">
        <f>IF(C1192=C1190,0,IF(D1192=D1191,0,(HLOOKUP(C1192,Ingreso!$AN$10:$AU$260,VLOOKUP(A1192,Ingreso!$AL$11:$AM$260,2,FALSE)))/24))</f>
        <v>0</v>
      </c>
      <c r="I1192" s="77">
        <f t="shared" si="37"/>
        <v>0</v>
      </c>
    </row>
    <row r="1193" spans="1:9">
      <c r="A1193" s="85" t="e">
        <f>VLOOKUP('Informe Kelly'!A1186,Base!A:B,2,FALSE)</f>
        <v>#N/A</v>
      </c>
      <c r="B1193" s="85" t="e">
        <f>VLOOKUP('Informe Kelly'!A1186,Base!A:G,7,FALSE)</f>
        <v>#N/A</v>
      </c>
      <c r="C1193" s="91">
        <f>'Informe Kelly'!E1186</f>
        <v>0</v>
      </c>
      <c r="D1193" s="96">
        <f t="shared" si="36"/>
        <v>591</v>
      </c>
      <c r="E1193" s="85" t="e">
        <f>VLOOKUP(A1193,Ingreso!K:P,6,FALSE)</f>
        <v>#N/A</v>
      </c>
      <c r="F1193" s="85" t="str">
        <f>IF('Informe Kelly'!H1186=$A$2,'Informe Kelly'!F1186,"")</f>
        <v/>
      </c>
      <c r="G1193" s="85" t="str">
        <f>IF('Informe Kelly'!H1186=$A$3,'Informe Kelly'!F1186,"")</f>
        <v/>
      </c>
      <c r="H1193" s="85">
        <f>IF(C1193=C1191,0,IF(D1193=D1192,0,(HLOOKUP(C1193,Ingreso!$AN$10:$AU$260,VLOOKUP(A1193,Ingreso!$AL$11:$AM$260,2,FALSE)))/24))</f>
        <v>0</v>
      </c>
      <c r="I1193" s="77">
        <f t="shared" si="37"/>
        <v>0</v>
      </c>
    </row>
    <row r="1194" spans="1:9">
      <c r="A1194" s="85" t="e">
        <f>VLOOKUP('Informe Kelly'!A1187,Base!A:B,2,FALSE)</f>
        <v>#N/A</v>
      </c>
      <c r="B1194" s="85" t="e">
        <f>VLOOKUP('Informe Kelly'!A1187,Base!A:G,7,FALSE)</f>
        <v>#N/A</v>
      </c>
      <c r="C1194" s="91">
        <f>'Informe Kelly'!E1187</f>
        <v>0</v>
      </c>
      <c r="D1194" s="96">
        <f t="shared" si="36"/>
        <v>591</v>
      </c>
      <c r="E1194" s="85" t="e">
        <f>VLOOKUP(A1194,Ingreso!K:P,6,FALSE)</f>
        <v>#N/A</v>
      </c>
      <c r="F1194" s="85" t="str">
        <f>IF('Informe Kelly'!H1187=$A$2,'Informe Kelly'!F1187,"")</f>
        <v/>
      </c>
      <c r="G1194" s="85" t="str">
        <f>IF('Informe Kelly'!H1187=$A$3,'Informe Kelly'!F1187,"")</f>
        <v/>
      </c>
      <c r="H1194" s="85">
        <f>IF(C1194=C1192,0,IF(D1194=D1193,0,(HLOOKUP(C1194,Ingreso!$AN$10:$AU$260,VLOOKUP(A1194,Ingreso!$AL$11:$AM$260,2,FALSE)))/24))</f>
        <v>0</v>
      </c>
      <c r="I1194" s="77">
        <f t="shared" si="37"/>
        <v>0</v>
      </c>
    </row>
    <row r="1195" spans="1:9">
      <c r="A1195" s="85" t="e">
        <f>VLOOKUP('Informe Kelly'!A1188,Base!A:B,2,FALSE)</f>
        <v>#N/A</v>
      </c>
      <c r="B1195" s="85" t="e">
        <f>VLOOKUP('Informe Kelly'!A1188,Base!A:G,7,FALSE)</f>
        <v>#N/A</v>
      </c>
      <c r="C1195" s="91">
        <f>'Informe Kelly'!E1188</f>
        <v>0</v>
      </c>
      <c r="D1195" s="96">
        <f t="shared" si="36"/>
        <v>591</v>
      </c>
      <c r="E1195" s="85" t="e">
        <f>VLOOKUP(A1195,Ingreso!K:P,6,FALSE)</f>
        <v>#N/A</v>
      </c>
      <c r="F1195" s="85" t="str">
        <f>IF('Informe Kelly'!H1188=$A$2,'Informe Kelly'!F1188,"")</f>
        <v/>
      </c>
      <c r="G1195" s="85" t="str">
        <f>IF('Informe Kelly'!H1188=$A$3,'Informe Kelly'!F1188,"")</f>
        <v/>
      </c>
      <c r="H1195" s="85">
        <f>IF(C1195=C1193,0,IF(D1195=D1194,0,(HLOOKUP(C1195,Ingreso!$AN$10:$AU$260,VLOOKUP(A1195,Ingreso!$AL$11:$AM$260,2,FALSE)))/24))</f>
        <v>0</v>
      </c>
      <c r="I1195" s="77">
        <f t="shared" si="37"/>
        <v>0</v>
      </c>
    </row>
    <row r="1196" spans="1:9">
      <c r="A1196" s="85" t="e">
        <f>VLOOKUP('Informe Kelly'!A1189,Base!A:B,2,FALSE)</f>
        <v>#N/A</v>
      </c>
      <c r="B1196" s="85" t="e">
        <f>VLOOKUP('Informe Kelly'!A1189,Base!A:G,7,FALSE)</f>
        <v>#N/A</v>
      </c>
      <c r="C1196" s="91">
        <f>'Informe Kelly'!E1189</f>
        <v>0</v>
      </c>
      <c r="D1196" s="96">
        <f t="shared" si="36"/>
        <v>591</v>
      </c>
      <c r="E1196" s="85" t="e">
        <f>VLOOKUP(A1196,Ingreso!K:P,6,FALSE)</f>
        <v>#N/A</v>
      </c>
      <c r="F1196" s="85" t="str">
        <f>IF('Informe Kelly'!H1189=$A$2,'Informe Kelly'!F1189,"")</f>
        <v/>
      </c>
      <c r="G1196" s="85" t="str">
        <f>IF('Informe Kelly'!H1189=$A$3,'Informe Kelly'!F1189,"")</f>
        <v/>
      </c>
      <c r="H1196" s="85">
        <f>IF(C1196=C1194,0,IF(D1196=D1195,0,(HLOOKUP(C1196,Ingreso!$AN$10:$AU$260,VLOOKUP(A1196,Ingreso!$AL$11:$AM$260,2,FALSE)))/24))</f>
        <v>0</v>
      </c>
      <c r="I1196" s="77">
        <f t="shared" si="37"/>
        <v>0</v>
      </c>
    </row>
    <row r="1197" spans="1:9">
      <c r="A1197" s="85" t="e">
        <f>VLOOKUP('Informe Kelly'!A1190,Base!A:B,2,FALSE)</f>
        <v>#N/A</v>
      </c>
      <c r="B1197" s="85" t="e">
        <f>VLOOKUP('Informe Kelly'!A1190,Base!A:G,7,FALSE)</f>
        <v>#N/A</v>
      </c>
      <c r="C1197" s="91">
        <f>'Informe Kelly'!E1190</f>
        <v>0</v>
      </c>
      <c r="D1197" s="96">
        <f t="shared" si="36"/>
        <v>591</v>
      </c>
      <c r="E1197" s="85" t="e">
        <f>VLOOKUP(A1197,Ingreso!K:P,6,FALSE)</f>
        <v>#N/A</v>
      </c>
      <c r="F1197" s="85" t="str">
        <f>IF('Informe Kelly'!H1190=$A$2,'Informe Kelly'!F1190,"")</f>
        <v/>
      </c>
      <c r="G1197" s="85" t="str">
        <f>IF('Informe Kelly'!H1190=$A$3,'Informe Kelly'!F1190,"")</f>
        <v/>
      </c>
      <c r="H1197" s="85">
        <f>IF(C1197=C1195,0,IF(D1197=D1196,0,(HLOOKUP(C1197,Ingreso!$AN$10:$AU$260,VLOOKUP(A1197,Ingreso!$AL$11:$AM$260,2,FALSE)))/24))</f>
        <v>0</v>
      </c>
      <c r="I1197" s="77">
        <f t="shared" si="37"/>
        <v>0</v>
      </c>
    </row>
    <row r="1198" spans="1:9">
      <c r="A1198" s="85" t="e">
        <f>VLOOKUP('Informe Kelly'!A1191,Base!A:B,2,FALSE)</f>
        <v>#N/A</v>
      </c>
      <c r="B1198" s="85" t="e">
        <f>VLOOKUP('Informe Kelly'!A1191,Base!A:G,7,FALSE)</f>
        <v>#N/A</v>
      </c>
      <c r="C1198" s="91">
        <f>'Informe Kelly'!E1191</f>
        <v>0</v>
      </c>
      <c r="D1198" s="96">
        <f t="shared" si="36"/>
        <v>591</v>
      </c>
      <c r="E1198" s="85" t="e">
        <f>VLOOKUP(A1198,Ingreso!K:P,6,FALSE)</f>
        <v>#N/A</v>
      </c>
      <c r="F1198" s="85" t="str">
        <f>IF('Informe Kelly'!H1191=$A$2,'Informe Kelly'!F1191,"")</f>
        <v/>
      </c>
      <c r="G1198" s="85" t="str">
        <f>IF('Informe Kelly'!H1191=$A$3,'Informe Kelly'!F1191,"")</f>
        <v/>
      </c>
      <c r="H1198" s="85">
        <f>IF(C1198=C1196,0,IF(D1198=D1197,0,(HLOOKUP(C1198,Ingreso!$AN$10:$AU$260,VLOOKUP(A1198,Ingreso!$AL$11:$AM$260,2,FALSE)))/24))</f>
        <v>0</v>
      </c>
      <c r="I1198" s="77">
        <f t="shared" si="37"/>
        <v>0</v>
      </c>
    </row>
    <row r="1199" spans="1:9">
      <c r="A1199" s="85" t="e">
        <f>VLOOKUP('Informe Kelly'!A1192,Base!A:B,2,FALSE)</f>
        <v>#N/A</v>
      </c>
      <c r="B1199" s="85" t="e">
        <f>VLOOKUP('Informe Kelly'!A1192,Base!A:G,7,FALSE)</f>
        <v>#N/A</v>
      </c>
      <c r="C1199" s="91">
        <f>'Informe Kelly'!E1192</f>
        <v>0</v>
      </c>
      <c r="D1199" s="96">
        <f t="shared" si="36"/>
        <v>591</v>
      </c>
      <c r="E1199" s="85" t="e">
        <f>VLOOKUP(A1199,Ingreso!K:P,6,FALSE)</f>
        <v>#N/A</v>
      </c>
      <c r="F1199" s="85" t="str">
        <f>IF('Informe Kelly'!H1192=$A$2,'Informe Kelly'!F1192,"")</f>
        <v/>
      </c>
      <c r="G1199" s="85" t="str">
        <f>IF('Informe Kelly'!H1192=$A$3,'Informe Kelly'!F1192,"")</f>
        <v/>
      </c>
      <c r="H1199" s="85">
        <f>IF(C1199=C1197,0,IF(D1199=D1198,0,(HLOOKUP(C1199,Ingreso!$AN$10:$AU$260,VLOOKUP(A1199,Ingreso!$AL$11:$AM$260,2,FALSE)))/24))</f>
        <v>0</v>
      </c>
      <c r="I1199" s="77">
        <f t="shared" si="37"/>
        <v>0</v>
      </c>
    </row>
    <row r="1200" spans="1:9">
      <c r="A1200" s="85" t="e">
        <f>VLOOKUP('Informe Kelly'!A1193,Base!A:B,2,FALSE)</f>
        <v>#N/A</v>
      </c>
      <c r="B1200" s="85" t="e">
        <f>VLOOKUP('Informe Kelly'!A1193,Base!A:G,7,FALSE)</f>
        <v>#N/A</v>
      </c>
      <c r="C1200" s="91">
        <f>'Informe Kelly'!E1193</f>
        <v>0</v>
      </c>
      <c r="D1200" s="96">
        <f t="shared" si="36"/>
        <v>591</v>
      </c>
      <c r="E1200" s="85" t="e">
        <f>VLOOKUP(A1200,Ingreso!K:P,6,FALSE)</f>
        <v>#N/A</v>
      </c>
      <c r="F1200" s="85" t="str">
        <f>IF('Informe Kelly'!H1193=$A$2,'Informe Kelly'!F1193,"")</f>
        <v/>
      </c>
      <c r="G1200" s="85" t="str">
        <f>IF('Informe Kelly'!H1193=$A$3,'Informe Kelly'!F1193,"")</f>
        <v/>
      </c>
      <c r="H1200" s="85">
        <f>IF(C1200=C1198,0,IF(D1200=D1199,0,(HLOOKUP(C1200,Ingreso!$AN$10:$AU$260,VLOOKUP(A1200,Ingreso!$AL$11:$AM$260,2,FALSE)))/24))</f>
        <v>0</v>
      </c>
      <c r="I1200" s="77">
        <f t="shared" si="37"/>
        <v>0</v>
      </c>
    </row>
    <row r="1201" spans="1:9">
      <c r="A1201" s="85" t="e">
        <f>VLOOKUP('Informe Kelly'!A1194,Base!A:B,2,FALSE)</f>
        <v>#N/A</v>
      </c>
      <c r="B1201" s="85" t="e">
        <f>VLOOKUP('Informe Kelly'!A1194,Base!A:G,7,FALSE)</f>
        <v>#N/A</v>
      </c>
      <c r="C1201" s="91">
        <f>'Informe Kelly'!E1194</f>
        <v>0</v>
      </c>
      <c r="D1201" s="96">
        <f t="shared" si="36"/>
        <v>591</v>
      </c>
      <c r="E1201" s="85" t="e">
        <f>VLOOKUP(A1201,Ingreso!K:P,6,FALSE)</f>
        <v>#N/A</v>
      </c>
      <c r="F1201" s="85" t="str">
        <f>IF('Informe Kelly'!H1194=$A$2,'Informe Kelly'!F1194,"")</f>
        <v/>
      </c>
      <c r="G1201" s="85" t="str">
        <f>IF('Informe Kelly'!H1194=$A$3,'Informe Kelly'!F1194,"")</f>
        <v/>
      </c>
      <c r="H1201" s="85">
        <f>IF(C1201=C1199,0,IF(D1201=D1200,0,(HLOOKUP(C1201,Ingreso!$AN$10:$AU$260,VLOOKUP(A1201,Ingreso!$AL$11:$AM$260,2,FALSE)))/24))</f>
        <v>0</v>
      </c>
      <c r="I1201" s="77">
        <f t="shared" si="37"/>
        <v>0</v>
      </c>
    </row>
    <row r="1202" spans="1:9">
      <c r="A1202" s="85" t="e">
        <f>VLOOKUP('Informe Kelly'!A1195,Base!A:B,2,FALSE)</f>
        <v>#N/A</v>
      </c>
      <c r="B1202" s="85" t="e">
        <f>VLOOKUP('Informe Kelly'!A1195,Base!A:G,7,FALSE)</f>
        <v>#N/A</v>
      </c>
      <c r="C1202" s="91">
        <f>'Informe Kelly'!E1195</f>
        <v>0</v>
      </c>
      <c r="D1202" s="96">
        <f t="shared" si="36"/>
        <v>591</v>
      </c>
      <c r="E1202" s="85" t="e">
        <f>VLOOKUP(A1202,Ingreso!K:P,6,FALSE)</f>
        <v>#N/A</v>
      </c>
      <c r="F1202" s="85" t="str">
        <f>IF('Informe Kelly'!H1195=$A$2,'Informe Kelly'!F1195,"")</f>
        <v/>
      </c>
      <c r="G1202" s="85" t="str">
        <f>IF('Informe Kelly'!H1195=$A$3,'Informe Kelly'!F1195,"")</f>
        <v/>
      </c>
      <c r="H1202" s="85">
        <f>IF(C1202=C1200,0,IF(D1202=D1201,0,(HLOOKUP(C1202,Ingreso!$AN$10:$AU$260,VLOOKUP(A1202,Ingreso!$AL$11:$AM$260,2,FALSE)))/24))</f>
        <v>0</v>
      </c>
      <c r="I1202" s="77">
        <f t="shared" si="37"/>
        <v>0</v>
      </c>
    </row>
    <row r="1203" spans="1:9">
      <c r="A1203" s="85" t="e">
        <f>VLOOKUP('Informe Kelly'!A1196,Base!A:B,2,FALSE)</f>
        <v>#N/A</v>
      </c>
      <c r="B1203" s="85" t="e">
        <f>VLOOKUP('Informe Kelly'!A1196,Base!A:G,7,FALSE)</f>
        <v>#N/A</v>
      </c>
      <c r="C1203" s="91">
        <f>'Informe Kelly'!E1196</f>
        <v>0</v>
      </c>
      <c r="D1203" s="96">
        <f t="shared" si="36"/>
        <v>591</v>
      </c>
      <c r="E1203" s="85" t="e">
        <f>VLOOKUP(A1203,Ingreso!K:P,6,FALSE)</f>
        <v>#N/A</v>
      </c>
      <c r="F1203" s="85" t="str">
        <f>IF('Informe Kelly'!H1196=$A$2,'Informe Kelly'!F1196,"")</f>
        <v/>
      </c>
      <c r="G1203" s="85" t="str">
        <f>IF('Informe Kelly'!H1196=$A$3,'Informe Kelly'!F1196,"")</f>
        <v/>
      </c>
      <c r="H1203" s="85">
        <f>IF(C1203=C1201,0,IF(D1203=D1202,0,(HLOOKUP(C1203,Ingreso!$AN$10:$AU$260,VLOOKUP(A1203,Ingreso!$AL$11:$AM$260,2,FALSE)))/24))</f>
        <v>0</v>
      </c>
      <c r="I1203" s="77">
        <f t="shared" si="37"/>
        <v>0</v>
      </c>
    </row>
    <row r="1204" spans="1:9">
      <c r="A1204" s="85" t="e">
        <f>VLOOKUP('Informe Kelly'!A1197,Base!A:B,2,FALSE)</f>
        <v>#N/A</v>
      </c>
      <c r="B1204" s="85" t="e">
        <f>VLOOKUP('Informe Kelly'!A1197,Base!A:G,7,FALSE)</f>
        <v>#N/A</v>
      </c>
      <c r="C1204" s="91">
        <f>'Informe Kelly'!E1197</f>
        <v>0</v>
      </c>
      <c r="D1204" s="96">
        <f t="shared" si="36"/>
        <v>591</v>
      </c>
      <c r="E1204" s="85" t="e">
        <f>VLOOKUP(A1204,Ingreso!K:P,6,FALSE)</f>
        <v>#N/A</v>
      </c>
      <c r="F1204" s="85" t="str">
        <f>IF('Informe Kelly'!H1197=$A$2,'Informe Kelly'!F1197,"")</f>
        <v/>
      </c>
      <c r="G1204" s="85" t="str">
        <f>IF('Informe Kelly'!H1197=$A$3,'Informe Kelly'!F1197,"")</f>
        <v/>
      </c>
      <c r="H1204" s="85">
        <f>IF(C1204=C1202,0,IF(D1204=D1203,0,(HLOOKUP(C1204,Ingreso!$AN$10:$AU$260,VLOOKUP(A1204,Ingreso!$AL$11:$AM$260,2,FALSE)))/24))</f>
        <v>0</v>
      </c>
      <c r="I1204" s="77">
        <f t="shared" si="37"/>
        <v>0</v>
      </c>
    </row>
    <row r="1205" spans="1:9">
      <c r="A1205" s="85" t="e">
        <f>VLOOKUP('Informe Kelly'!A1198,Base!A:B,2,FALSE)</f>
        <v>#N/A</v>
      </c>
      <c r="B1205" s="85" t="e">
        <f>VLOOKUP('Informe Kelly'!A1198,Base!A:G,7,FALSE)</f>
        <v>#N/A</v>
      </c>
      <c r="C1205" s="91">
        <f>'Informe Kelly'!E1198</f>
        <v>0</v>
      </c>
      <c r="D1205" s="96">
        <f t="shared" si="36"/>
        <v>591</v>
      </c>
      <c r="E1205" s="85" t="e">
        <f>VLOOKUP(A1205,Ingreso!K:P,6,FALSE)</f>
        <v>#N/A</v>
      </c>
      <c r="F1205" s="85" t="str">
        <f>IF('Informe Kelly'!H1198=$A$2,'Informe Kelly'!F1198,"")</f>
        <v/>
      </c>
      <c r="G1205" s="85" t="str">
        <f>IF('Informe Kelly'!H1198=$A$3,'Informe Kelly'!F1198,"")</f>
        <v/>
      </c>
      <c r="H1205" s="85">
        <f>IF(C1205=C1203,0,IF(D1205=D1204,0,(HLOOKUP(C1205,Ingreso!$AN$10:$AU$260,VLOOKUP(A1205,Ingreso!$AL$11:$AM$260,2,FALSE)))/24))</f>
        <v>0</v>
      </c>
      <c r="I1205" s="77">
        <f t="shared" si="37"/>
        <v>0</v>
      </c>
    </row>
    <row r="1206" spans="1:9">
      <c r="A1206" s="85" t="e">
        <f>VLOOKUP('Informe Kelly'!A1199,Base!A:B,2,FALSE)</f>
        <v>#N/A</v>
      </c>
      <c r="B1206" s="85" t="e">
        <f>VLOOKUP('Informe Kelly'!A1199,Base!A:G,7,FALSE)</f>
        <v>#N/A</v>
      </c>
      <c r="C1206" s="91">
        <f>'Informe Kelly'!E1199</f>
        <v>0</v>
      </c>
      <c r="D1206" s="96">
        <f t="shared" si="36"/>
        <v>591</v>
      </c>
      <c r="E1206" s="85" t="e">
        <f>VLOOKUP(A1206,Ingreso!K:P,6,FALSE)</f>
        <v>#N/A</v>
      </c>
      <c r="F1206" s="85" t="str">
        <f>IF('Informe Kelly'!H1199=$A$2,'Informe Kelly'!F1199,"")</f>
        <v/>
      </c>
      <c r="G1206" s="85" t="str">
        <f>IF('Informe Kelly'!H1199=$A$3,'Informe Kelly'!F1199,"")</f>
        <v/>
      </c>
      <c r="H1206" s="85">
        <f>IF(C1206=C1204,0,IF(D1206=D1205,0,(HLOOKUP(C1206,Ingreso!$AN$10:$AU$260,VLOOKUP(A1206,Ingreso!$AL$11:$AM$260,2,FALSE)))/24))</f>
        <v>0</v>
      </c>
      <c r="I1206" s="77">
        <f t="shared" si="37"/>
        <v>0</v>
      </c>
    </row>
    <row r="1207" spans="1:9">
      <c r="A1207" s="85" t="e">
        <f>VLOOKUP('Informe Kelly'!A1200,Base!A:B,2,FALSE)</f>
        <v>#N/A</v>
      </c>
      <c r="B1207" s="85" t="e">
        <f>VLOOKUP('Informe Kelly'!A1200,Base!A:G,7,FALSE)</f>
        <v>#N/A</v>
      </c>
      <c r="C1207" s="91">
        <f>'Informe Kelly'!E1200</f>
        <v>0</v>
      </c>
      <c r="D1207" s="96">
        <f t="shared" si="36"/>
        <v>591</v>
      </c>
      <c r="E1207" s="85" t="e">
        <f>VLOOKUP(A1207,Ingreso!K:P,6,FALSE)</f>
        <v>#N/A</v>
      </c>
      <c r="F1207" s="85" t="str">
        <f>IF('Informe Kelly'!H1200=$A$2,'Informe Kelly'!F1200,"")</f>
        <v/>
      </c>
      <c r="G1207" s="85" t="str">
        <f>IF('Informe Kelly'!H1200=$A$3,'Informe Kelly'!F1200,"")</f>
        <v/>
      </c>
      <c r="H1207" s="85">
        <f>IF(C1207=C1205,0,IF(D1207=D1206,0,(HLOOKUP(C1207,Ingreso!$AN$10:$AU$260,VLOOKUP(A1207,Ingreso!$AL$11:$AM$260,2,FALSE)))/24))</f>
        <v>0</v>
      </c>
      <c r="I1207" s="77">
        <f t="shared" si="37"/>
        <v>0</v>
      </c>
    </row>
    <row r="1208" spans="1:9">
      <c r="A1208" s="85" t="e">
        <f>VLOOKUP('Informe Kelly'!A1201,Base!A:B,2,FALSE)</f>
        <v>#N/A</v>
      </c>
      <c r="B1208" s="85" t="e">
        <f>VLOOKUP('Informe Kelly'!A1201,Base!A:G,7,FALSE)</f>
        <v>#N/A</v>
      </c>
      <c r="C1208" s="91">
        <f>'Informe Kelly'!E1201</f>
        <v>0</v>
      </c>
      <c r="D1208" s="96">
        <f t="shared" si="36"/>
        <v>591</v>
      </c>
      <c r="E1208" s="85" t="e">
        <f>VLOOKUP(A1208,Ingreso!K:P,6,FALSE)</f>
        <v>#N/A</v>
      </c>
      <c r="F1208" s="85" t="str">
        <f>IF('Informe Kelly'!H1201=$A$2,'Informe Kelly'!F1201,"")</f>
        <v/>
      </c>
      <c r="G1208" s="85" t="str">
        <f>IF('Informe Kelly'!H1201=$A$3,'Informe Kelly'!F1201,"")</f>
        <v/>
      </c>
      <c r="H1208" s="85">
        <f>IF(C1208=C1206,0,IF(D1208=D1207,0,(HLOOKUP(C1208,Ingreso!$AN$10:$AU$260,VLOOKUP(A1208,Ingreso!$AL$11:$AM$260,2,FALSE)))/24))</f>
        <v>0</v>
      </c>
      <c r="I1208" s="77">
        <f t="shared" si="37"/>
        <v>0</v>
      </c>
    </row>
    <row r="1209" spans="1:9">
      <c r="A1209" s="85" t="e">
        <f>VLOOKUP('Informe Kelly'!A1202,Base!A:B,2,FALSE)</f>
        <v>#N/A</v>
      </c>
      <c r="B1209" s="85" t="e">
        <f>VLOOKUP('Informe Kelly'!A1202,Base!A:G,7,FALSE)</f>
        <v>#N/A</v>
      </c>
      <c r="C1209" s="91">
        <f>'Informe Kelly'!E1202</f>
        <v>0</v>
      </c>
      <c r="D1209" s="96">
        <f t="shared" si="36"/>
        <v>591</v>
      </c>
      <c r="E1209" s="85" t="e">
        <f>VLOOKUP(A1209,Ingreso!K:P,6,FALSE)</f>
        <v>#N/A</v>
      </c>
      <c r="F1209" s="85" t="str">
        <f>IF('Informe Kelly'!H1202=$A$2,'Informe Kelly'!F1202,"")</f>
        <v/>
      </c>
      <c r="G1209" s="85" t="str">
        <f>IF('Informe Kelly'!H1202=$A$3,'Informe Kelly'!F1202,"")</f>
        <v/>
      </c>
      <c r="H1209" s="85">
        <f>IF(C1209=C1207,0,IF(D1209=D1208,0,(HLOOKUP(C1209,Ingreso!$AN$10:$AU$260,VLOOKUP(A1209,Ingreso!$AL$11:$AM$260,2,FALSE)))/24))</f>
        <v>0</v>
      </c>
      <c r="I1209" s="77">
        <f t="shared" si="37"/>
        <v>0</v>
      </c>
    </row>
    <row r="1210" spans="1:9">
      <c r="A1210" s="85" t="e">
        <f>VLOOKUP('Informe Kelly'!A1203,Base!A:B,2,FALSE)</f>
        <v>#N/A</v>
      </c>
      <c r="B1210" s="85" t="e">
        <f>VLOOKUP('Informe Kelly'!A1203,Base!A:G,7,FALSE)</f>
        <v>#N/A</v>
      </c>
      <c r="C1210" s="91">
        <f>'Informe Kelly'!E1203</f>
        <v>0</v>
      </c>
      <c r="D1210" s="96">
        <f t="shared" si="36"/>
        <v>591</v>
      </c>
      <c r="E1210" s="85" t="e">
        <f>VLOOKUP(A1210,Ingreso!K:P,6,FALSE)</f>
        <v>#N/A</v>
      </c>
      <c r="F1210" s="85" t="str">
        <f>IF('Informe Kelly'!H1203=$A$2,'Informe Kelly'!F1203,"")</f>
        <v/>
      </c>
      <c r="G1210" s="85" t="str">
        <f>IF('Informe Kelly'!H1203=$A$3,'Informe Kelly'!F1203,"")</f>
        <v/>
      </c>
      <c r="H1210" s="85">
        <f>IF(C1210=C1208,0,IF(D1210=D1209,0,(HLOOKUP(C1210,Ingreso!$AN$10:$AU$260,VLOOKUP(A1210,Ingreso!$AL$11:$AM$260,2,FALSE)))/24))</f>
        <v>0</v>
      </c>
      <c r="I1210" s="77">
        <f t="shared" si="37"/>
        <v>0</v>
      </c>
    </row>
    <row r="1211" spans="1:9">
      <c r="A1211" s="85" t="e">
        <f>VLOOKUP('Informe Kelly'!A1204,Base!A:B,2,FALSE)</f>
        <v>#N/A</v>
      </c>
      <c r="B1211" s="85" t="e">
        <f>VLOOKUP('Informe Kelly'!A1204,Base!A:G,7,FALSE)</f>
        <v>#N/A</v>
      </c>
      <c r="C1211" s="91">
        <f>'Informe Kelly'!E1204</f>
        <v>0</v>
      </c>
      <c r="D1211" s="96">
        <f t="shared" si="36"/>
        <v>591</v>
      </c>
      <c r="E1211" s="85" t="e">
        <f>VLOOKUP(A1211,Ingreso!K:P,6,FALSE)</f>
        <v>#N/A</v>
      </c>
      <c r="F1211" s="85" t="str">
        <f>IF('Informe Kelly'!H1204=$A$2,'Informe Kelly'!F1204,"")</f>
        <v/>
      </c>
      <c r="G1211" s="85" t="str">
        <f>IF('Informe Kelly'!H1204=$A$3,'Informe Kelly'!F1204,"")</f>
        <v/>
      </c>
      <c r="H1211" s="85">
        <f>IF(C1211=C1209,0,IF(D1211=D1210,0,(HLOOKUP(C1211,Ingreso!$AN$10:$AU$260,VLOOKUP(A1211,Ingreso!$AL$11:$AM$260,2,FALSE)))/24))</f>
        <v>0</v>
      </c>
      <c r="I1211" s="77">
        <f t="shared" si="37"/>
        <v>0</v>
      </c>
    </row>
    <row r="1212" spans="1:9">
      <c r="A1212" s="85" t="e">
        <f>VLOOKUP('Informe Kelly'!A1205,Base!A:B,2,FALSE)</f>
        <v>#N/A</v>
      </c>
      <c r="B1212" s="85" t="e">
        <f>VLOOKUP('Informe Kelly'!A1205,Base!A:G,7,FALSE)</f>
        <v>#N/A</v>
      </c>
      <c r="C1212" s="91">
        <f>'Informe Kelly'!E1205</f>
        <v>0</v>
      </c>
      <c r="D1212" s="96">
        <f t="shared" si="36"/>
        <v>591</v>
      </c>
      <c r="E1212" s="85" t="e">
        <f>VLOOKUP(A1212,Ingreso!K:P,6,FALSE)</f>
        <v>#N/A</v>
      </c>
      <c r="F1212" s="85" t="str">
        <f>IF('Informe Kelly'!H1205=$A$2,'Informe Kelly'!F1205,"")</f>
        <v/>
      </c>
      <c r="G1212" s="85" t="str">
        <f>IF('Informe Kelly'!H1205=$A$3,'Informe Kelly'!F1205,"")</f>
        <v/>
      </c>
      <c r="H1212" s="85">
        <f>IF(C1212=C1210,0,IF(D1212=D1211,0,(HLOOKUP(C1212,Ingreso!$AN$10:$AU$260,VLOOKUP(A1212,Ingreso!$AL$11:$AM$260,2,FALSE)))/24))</f>
        <v>0</v>
      </c>
      <c r="I1212" s="77">
        <f t="shared" si="37"/>
        <v>0</v>
      </c>
    </row>
    <row r="1213" spans="1:9">
      <c r="A1213" s="85" t="e">
        <f>VLOOKUP('Informe Kelly'!A1206,Base!A:B,2,FALSE)</f>
        <v>#N/A</v>
      </c>
      <c r="B1213" s="85" t="e">
        <f>VLOOKUP('Informe Kelly'!A1206,Base!A:G,7,FALSE)</f>
        <v>#N/A</v>
      </c>
      <c r="C1213" s="91">
        <f>'Informe Kelly'!E1206</f>
        <v>0</v>
      </c>
      <c r="D1213" s="96">
        <f t="shared" si="36"/>
        <v>591</v>
      </c>
      <c r="E1213" s="85" t="e">
        <f>VLOOKUP(A1213,Ingreso!K:P,6,FALSE)</f>
        <v>#N/A</v>
      </c>
      <c r="F1213" s="85" t="str">
        <f>IF('Informe Kelly'!H1206=$A$2,'Informe Kelly'!F1206,"")</f>
        <v/>
      </c>
      <c r="G1213" s="85" t="str">
        <f>IF('Informe Kelly'!H1206=$A$3,'Informe Kelly'!F1206,"")</f>
        <v/>
      </c>
      <c r="H1213" s="85">
        <f>IF(C1213=C1211,0,IF(D1213=D1212,0,(HLOOKUP(C1213,Ingreso!$AN$10:$AU$260,VLOOKUP(A1213,Ingreso!$AL$11:$AM$260,2,FALSE)))/24))</f>
        <v>0</v>
      </c>
      <c r="I1213" s="77">
        <f t="shared" si="37"/>
        <v>0</v>
      </c>
    </row>
    <row r="1214" spans="1:9">
      <c r="A1214" s="85" t="e">
        <f>VLOOKUP('Informe Kelly'!A1207,Base!A:B,2,FALSE)</f>
        <v>#N/A</v>
      </c>
      <c r="B1214" s="85" t="e">
        <f>VLOOKUP('Informe Kelly'!A1207,Base!A:G,7,FALSE)</f>
        <v>#N/A</v>
      </c>
      <c r="C1214" s="91">
        <f>'Informe Kelly'!E1207</f>
        <v>0</v>
      </c>
      <c r="D1214" s="96">
        <f t="shared" si="36"/>
        <v>591</v>
      </c>
      <c r="E1214" s="85" t="e">
        <f>VLOOKUP(A1214,Ingreso!K:P,6,FALSE)</f>
        <v>#N/A</v>
      </c>
      <c r="F1214" s="85" t="str">
        <f>IF('Informe Kelly'!H1207=$A$2,'Informe Kelly'!F1207,"")</f>
        <v/>
      </c>
      <c r="G1214" s="85" t="str">
        <f>IF('Informe Kelly'!H1207=$A$3,'Informe Kelly'!F1207,"")</f>
        <v/>
      </c>
      <c r="H1214" s="85">
        <f>IF(C1214=C1212,0,IF(D1214=D1213,0,(HLOOKUP(C1214,Ingreso!$AN$10:$AU$260,VLOOKUP(A1214,Ingreso!$AL$11:$AM$260,2,FALSE)))/24))</f>
        <v>0</v>
      </c>
      <c r="I1214" s="77">
        <f t="shared" si="37"/>
        <v>0</v>
      </c>
    </row>
    <row r="1215" spans="1:9">
      <c r="A1215" s="85" t="e">
        <f>VLOOKUP('Informe Kelly'!A1208,Base!A:B,2,FALSE)</f>
        <v>#N/A</v>
      </c>
      <c r="B1215" s="85" t="e">
        <f>VLOOKUP('Informe Kelly'!A1208,Base!A:G,7,FALSE)</f>
        <v>#N/A</v>
      </c>
      <c r="C1215" s="91">
        <f>'Informe Kelly'!E1208</f>
        <v>0</v>
      </c>
      <c r="D1215" s="96">
        <f t="shared" si="36"/>
        <v>591</v>
      </c>
      <c r="E1215" s="85" t="e">
        <f>VLOOKUP(A1215,Ingreso!K:P,6,FALSE)</f>
        <v>#N/A</v>
      </c>
      <c r="F1215" s="85" t="str">
        <f>IF('Informe Kelly'!H1208=$A$2,'Informe Kelly'!F1208,"")</f>
        <v/>
      </c>
      <c r="G1215" s="85" t="str">
        <f>IF('Informe Kelly'!H1208=$A$3,'Informe Kelly'!F1208,"")</f>
        <v/>
      </c>
      <c r="H1215" s="85">
        <f>IF(C1215=C1213,0,IF(D1215=D1214,0,(HLOOKUP(C1215,Ingreso!$AN$10:$AU$260,VLOOKUP(A1215,Ingreso!$AL$11:$AM$260,2,FALSE)))/24))</f>
        <v>0</v>
      </c>
      <c r="I1215" s="77">
        <f t="shared" si="37"/>
        <v>0</v>
      </c>
    </row>
    <row r="1216" spans="1:9">
      <c r="A1216" s="85" t="e">
        <f>VLOOKUP('Informe Kelly'!A1209,Base!A:B,2,FALSE)</f>
        <v>#N/A</v>
      </c>
      <c r="B1216" s="85" t="e">
        <f>VLOOKUP('Informe Kelly'!A1209,Base!A:G,7,FALSE)</f>
        <v>#N/A</v>
      </c>
      <c r="C1216" s="91">
        <f>'Informe Kelly'!E1209</f>
        <v>0</v>
      </c>
      <c r="D1216" s="96">
        <f t="shared" si="36"/>
        <v>591</v>
      </c>
      <c r="E1216" s="85" t="e">
        <f>VLOOKUP(A1216,Ingreso!K:P,6,FALSE)</f>
        <v>#N/A</v>
      </c>
      <c r="F1216" s="85" t="str">
        <f>IF('Informe Kelly'!H1209=$A$2,'Informe Kelly'!F1209,"")</f>
        <v/>
      </c>
      <c r="G1216" s="85" t="str">
        <f>IF('Informe Kelly'!H1209=$A$3,'Informe Kelly'!F1209,"")</f>
        <v/>
      </c>
      <c r="H1216" s="85">
        <f>IF(C1216=C1214,0,IF(D1216=D1215,0,(HLOOKUP(C1216,Ingreso!$AN$10:$AU$260,VLOOKUP(A1216,Ingreso!$AL$11:$AM$260,2,FALSE)))/24))</f>
        <v>0</v>
      </c>
      <c r="I1216" s="77">
        <f t="shared" si="37"/>
        <v>0</v>
      </c>
    </row>
    <row r="1217" spans="1:9">
      <c r="A1217" s="85" t="e">
        <f>VLOOKUP('Informe Kelly'!A1210,Base!A:B,2,FALSE)</f>
        <v>#N/A</v>
      </c>
      <c r="B1217" s="85" t="e">
        <f>VLOOKUP('Informe Kelly'!A1210,Base!A:G,7,FALSE)</f>
        <v>#N/A</v>
      </c>
      <c r="C1217" s="91">
        <f>'Informe Kelly'!E1210</f>
        <v>0</v>
      </c>
      <c r="D1217" s="96">
        <f t="shared" si="36"/>
        <v>591</v>
      </c>
      <c r="E1217" s="85" t="e">
        <f>VLOOKUP(A1217,Ingreso!K:P,6,FALSE)</f>
        <v>#N/A</v>
      </c>
      <c r="F1217" s="85" t="str">
        <f>IF('Informe Kelly'!H1210=$A$2,'Informe Kelly'!F1210,"")</f>
        <v/>
      </c>
      <c r="G1217" s="85" t="str">
        <f>IF('Informe Kelly'!H1210=$A$3,'Informe Kelly'!F1210,"")</f>
        <v/>
      </c>
      <c r="H1217" s="85">
        <f>IF(C1217=C1215,0,IF(D1217=D1216,0,(HLOOKUP(C1217,Ingreso!$AN$10:$AU$260,VLOOKUP(A1217,Ingreso!$AL$11:$AM$260,2,FALSE)))/24))</f>
        <v>0</v>
      </c>
      <c r="I1217" s="77">
        <f t="shared" si="37"/>
        <v>0</v>
      </c>
    </row>
    <row r="1218" spans="1:9">
      <c r="A1218" s="85" t="e">
        <f>VLOOKUP('Informe Kelly'!A1211,Base!A:B,2,FALSE)</f>
        <v>#N/A</v>
      </c>
      <c r="B1218" s="85" t="e">
        <f>VLOOKUP('Informe Kelly'!A1211,Base!A:G,7,FALSE)</f>
        <v>#N/A</v>
      </c>
      <c r="C1218" s="91">
        <f>'Informe Kelly'!E1211</f>
        <v>0</v>
      </c>
      <c r="D1218" s="96">
        <f t="shared" si="36"/>
        <v>591</v>
      </c>
      <c r="E1218" s="85" t="e">
        <f>VLOOKUP(A1218,Ingreso!K:P,6,FALSE)</f>
        <v>#N/A</v>
      </c>
      <c r="F1218" s="85" t="str">
        <f>IF('Informe Kelly'!H1211=$A$2,'Informe Kelly'!F1211,"")</f>
        <v/>
      </c>
      <c r="G1218" s="85" t="str">
        <f>IF('Informe Kelly'!H1211=$A$3,'Informe Kelly'!F1211,"")</f>
        <v/>
      </c>
      <c r="H1218" s="85">
        <f>IF(C1218=C1216,0,IF(D1218=D1217,0,(HLOOKUP(C1218,Ingreso!$AN$10:$AU$260,VLOOKUP(A1218,Ingreso!$AL$11:$AM$260,2,FALSE)))/24))</f>
        <v>0</v>
      </c>
      <c r="I1218" s="77">
        <f t="shared" si="37"/>
        <v>0</v>
      </c>
    </row>
    <row r="1219" spans="1:9">
      <c r="A1219" s="85" t="e">
        <f>VLOOKUP('Informe Kelly'!A1212,Base!A:B,2,FALSE)</f>
        <v>#N/A</v>
      </c>
      <c r="B1219" s="85" t="e">
        <f>VLOOKUP('Informe Kelly'!A1212,Base!A:G,7,FALSE)</f>
        <v>#N/A</v>
      </c>
      <c r="C1219" s="91">
        <f>'Informe Kelly'!E1212</f>
        <v>0</v>
      </c>
      <c r="D1219" s="96">
        <f t="shared" si="36"/>
        <v>591</v>
      </c>
      <c r="E1219" s="85" t="e">
        <f>VLOOKUP(A1219,Ingreso!K:P,6,FALSE)</f>
        <v>#N/A</v>
      </c>
      <c r="F1219" s="85" t="str">
        <f>IF('Informe Kelly'!H1212=$A$2,'Informe Kelly'!F1212,"")</f>
        <v/>
      </c>
      <c r="G1219" s="85" t="str">
        <f>IF('Informe Kelly'!H1212=$A$3,'Informe Kelly'!F1212,"")</f>
        <v/>
      </c>
      <c r="H1219" s="85">
        <f>IF(C1219=C1217,0,IF(D1219=D1218,0,(HLOOKUP(C1219,Ingreso!$AN$10:$AU$260,VLOOKUP(A1219,Ingreso!$AL$11:$AM$260,2,FALSE)))/24))</f>
        <v>0</v>
      </c>
      <c r="I1219" s="77">
        <f t="shared" si="37"/>
        <v>0</v>
      </c>
    </row>
    <row r="1220" spans="1:9">
      <c r="A1220" s="85" t="e">
        <f>VLOOKUP('Informe Kelly'!A1213,Base!A:B,2,FALSE)</f>
        <v>#N/A</v>
      </c>
      <c r="B1220" s="85" t="e">
        <f>VLOOKUP('Informe Kelly'!A1213,Base!A:G,7,FALSE)</f>
        <v>#N/A</v>
      </c>
      <c r="C1220" s="91">
        <f>'Informe Kelly'!E1213</f>
        <v>0</v>
      </c>
      <c r="D1220" s="96">
        <f t="shared" si="36"/>
        <v>591</v>
      </c>
      <c r="E1220" s="85" t="e">
        <f>VLOOKUP(A1220,Ingreso!K:P,6,FALSE)</f>
        <v>#N/A</v>
      </c>
      <c r="F1220" s="85" t="str">
        <f>IF('Informe Kelly'!H1213=$A$2,'Informe Kelly'!F1213,"")</f>
        <v/>
      </c>
      <c r="G1220" s="85" t="str">
        <f>IF('Informe Kelly'!H1213=$A$3,'Informe Kelly'!F1213,"")</f>
        <v/>
      </c>
      <c r="H1220" s="85">
        <f>IF(C1220=C1218,0,IF(D1220=D1219,0,(HLOOKUP(C1220,Ingreso!$AN$10:$AU$260,VLOOKUP(A1220,Ingreso!$AL$11:$AM$260,2,FALSE)))/24))</f>
        <v>0</v>
      </c>
      <c r="I1220" s="77">
        <f t="shared" si="37"/>
        <v>0</v>
      </c>
    </row>
    <row r="1221" spans="1:9">
      <c r="A1221" s="85" t="e">
        <f>VLOOKUP('Informe Kelly'!A1214,Base!A:B,2,FALSE)</f>
        <v>#N/A</v>
      </c>
      <c r="B1221" s="85" t="e">
        <f>VLOOKUP('Informe Kelly'!A1214,Base!A:G,7,FALSE)</f>
        <v>#N/A</v>
      </c>
      <c r="C1221" s="91">
        <f>'Informe Kelly'!E1214</f>
        <v>0</v>
      </c>
      <c r="D1221" s="96">
        <f t="shared" si="36"/>
        <v>591</v>
      </c>
      <c r="E1221" s="85" t="e">
        <f>VLOOKUP(A1221,Ingreso!K:P,6,FALSE)</f>
        <v>#N/A</v>
      </c>
      <c r="F1221" s="85" t="str">
        <f>IF('Informe Kelly'!H1214=$A$2,'Informe Kelly'!F1214,"")</f>
        <v/>
      </c>
      <c r="G1221" s="85" t="str">
        <f>IF('Informe Kelly'!H1214=$A$3,'Informe Kelly'!F1214,"")</f>
        <v/>
      </c>
      <c r="H1221" s="85">
        <f>IF(C1221=C1219,0,IF(D1221=D1220,0,(HLOOKUP(C1221,Ingreso!$AN$10:$AU$260,VLOOKUP(A1221,Ingreso!$AL$11:$AM$260,2,FALSE)))/24))</f>
        <v>0</v>
      </c>
      <c r="I1221" s="77">
        <f t="shared" si="37"/>
        <v>0</v>
      </c>
    </row>
    <row r="1222" spans="1:9">
      <c r="A1222" s="85" t="e">
        <f>VLOOKUP('Informe Kelly'!A1215,Base!A:B,2,FALSE)</f>
        <v>#N/A</v>
      </c>
      <c r="B1222" s="85" t="e">
        <f>VLOOKUP('Informe Kelly'!A1215,Base!A:G,7,FALSE)</f>
        <v>#N/A</v>
      </c>
      <c r="C1222" s="91">
        <f>'Informe Kelly'!E1215</f>
        <v>0</v>
      </c>
      <c r="D1222" s="96">
        <f t="shared" si="36"/>
        <v>591</v>
      </c>
      <c r="E1222" s="85" t="e">
        <f>VLOOKUP(A1222,Ingreso!K:P,6,FALSE)</f>
        <v>#N/A</v>
      </c>
      <c r="F1222" s="85" t="str">
        <f>IF('Informe Kelly'!H1215=$A$2,'Informe Kelly'!F1215,"")</f>
        <v/>
      </c>
      <c r="G1222" s="85" t="str">
        <f>IF('Informe Kelly'!H1215=$A$3,'Informe Kelly'!F1215,"")</f>
        <v/>
      </c>
      <c r="H1222" s="85">
        <f>IF(C1222=C1220,0,IF(D1222=D1221,0,(HLOOKUP(C1222,Ingreso!$AN$10:$AU$260,VLOOKUP(A1222,Ingreso!$AL$11:$AM$260,2,FALSE)))/24))</f>
        <v>0</v>
      </c>
      <c r="I1222" s="77">
        <f t="shared" si="37"/>
        <v>0</v>
      </c>
    </row>
    <row r="1223" spans="1:9">
      <c r="A1223" s="85" t="e">
        <f>VLOOKUP('Informe Kelly'!A1216,Base!A:B,2,FALSE)</f>
        <v>#N/A</v>
      </c>
      <c r="B1223" s="85" t="e">
        <f>VLOOKUP('Informe Kelly'!A1216,Base!A:G,7,FALSE)</f>
        <v>#N/A</v>
      </c>
      <c r="C1223" s="91">
        <f>'Informe Kelly'!E1216</f>
        <v>0</v>
      </c>
      <c r="D1223" s="96">
        <f t="shared" si="36"/>
        <v>591</v>
      </c>
      <c r="E1223" s="85" t="e">
        <f>VLOOKUP(A1223,Ingreso!K:P,6,FALSE)</f>
        <v>#N/A</v>
      </c>
      <c r="F1223" s="85" t="str">
        <f>IF('Informe Kelly'!H1216=$A$2,'Informe Kelly'!F1216,"")</f>
        <v/>
      </c>
      <c r="G1223" s="85" t="str">
        <f>IF('Informe Kelly'!H1216=$A$3,'Informe Kelly'!F1216,"")</f>
        <v/>
      </c>
      <c r="H1223" s="85">
        <f>IF(C1223=C1221,0,IF(D1223=D1222,0,(HLOOKUP(C1223,Ingreso!$AN$10:$AU$260,VLOOKUP(A1223,Ingreso!$AL$11:$AM$260,2,FALSE)))/24))</f>
        <v>0</v>
      </c>
      <c r="I1223" s="77">
        <f t="shared" si="37"/>
        <v>0</v>
      </c>
    </row>
    <row r="1224" spans="1:9">
      <c r="A1224" s="85" t="e">
        <f>VLOOKUP('Informe Kelly'!A1217,Base!A:B,2,FALSE)</f>
        <v>#N/A</v>
      </c>
      <c r="B1224" s="85" t="e">
        <f>VLOOKUP('Informe Kelly'!A1217,Base!A:G,7,FALSE)</f>
        <v>#N/A</v>
      </c>
      <c r="C1224" s="91">
        <f>'Informe Kelly'!E1217</f>
        <v>0</v>
      </c>
      <c r="D1224" s="96">
        <f t="shared" si="36"/>
        <v>591</v>
      </c>
      <c r="E1224" s="85" t="e">
        <f>VLOOKUP(A1224,Ingreso!K:P,6,FALSE)</f>
        <v>#N/A</v>
      </c>
      <c r="F1224" s="85" t="str">
        <f>IF('Informe Kelly'!H1217=$A$2,'Informe Kelly'!F1217,"")</f>
        <v/>
      </c>
      <c r="G1224" s="85" t="str">
        <f>IF('Informe Kelly'!H1217=$A$3,'Informe Kelly'!F1217,"")</f>
        <v/>
      </c>
      <c r="H1224" s="85">
        <f>IF(C1224=C1222,0,IF(D1224=D1223,0,(HLOOKUP(C1224,Ingreso!$AN$10:$AU$260,VLOOKUP(A1224,Ingreso!$AL$11:$AM$260,2,FALSE)))/24))</f>
        <v>0</v>
      </c>
      <c r="I1224" s="77">
        <f t="shared" si="37"/>
        <v>0</v>
      </c>
    </row>
    <row r="1225" spans="1:9">
      <c r="A1225" s="85" t="e">
        <f>VLOOKUP('Informe Kelly'!A1218,Base!A:B,2,FALSE)</f>
        <v>#N/A</v>
      </c>
      <c r="B1225" s="85" t="e">
        <f>VLOOKUP('Informe Kelly'!A1218,Base!A:G,7,FALSE)</f>
        <v>#N/A</v>
      </c>
      <c r="C1225" s="91">
        <f>'Informe Kelly'!E1218</f>
        <v>0</v>
      </c>
      <c r="D1225" s="96">
        <f t="shared" ref="D1225:D1288" si="38">IF(C1224=C1225,IF(C1225=C1222,D1224,IF(C1225=C1223,D1224+1,D1224)),D1224+1)</f>
        <v>591</v>
      </c>
      <c r="E1225" s="85" t="e">
        <f>VLOOKUP(A1225,Ingreso!K:P,6,FALSE)</f>
        <v>#N/A</v>
      </c>
      <c r="F1225" s="85" t="str">
        <f>IF('Informe Kelly'!H1218=$A$2,'Informe Kelly'!F1218,"")</f>
        <v/>
      </c>
      <c r="G1225" s="85" t="str">
        <f>IF('Informe Kelly'!H1218=$A$3,'Informe Kelly'!F1218,"")</f>
        <v/>
      </c>
      <c r="H1225" s="85">
        <f>IF(C1225=C1223,0,IF(D1225=D1224,0,(HLOOKUP(C1225,Ingreso!$AN$10:$AU$260,VLOOKUP(A1225,Ingreso!$AL$11:$AM$260,2,FALSE)))/24))</f>
        <v>0</v>
      </c>
      <c r="I1225" s="77">
        <f t="shared" si="37"/>
        <v>0</v>
      </c>
    </row>
    <row r="1226" spans="1:9">
      <c r="A1226" s="85" t="e">
        <f>VLOOKUP('Informe Kelly'!A1219,Base!A:B,2,FALSE)</f>
        <v>#N/A</v>
      </c>
      <c r="B1226" s="85" t="e">
        <f>VLOOKUP('Informe Kelly'!A1219,Base!A:G,7,FALSE)</f>
        <v>#N/A</v>
      </c>
      <c r="C1226" s="91">
        <f>'Informe Kelly'!E1219</f>
        <v>0</v>
      </c>
      <c r="D1226" s="96">
        <f t="shared" si="38"/>
        <v>591</v>
      </c>
      <c r="E1226" s="85" t="e">
        <f>VLOOKUP(A1226,Ingreso!K:P,6,FALSE)</f>
        <v>#N/A</v>
      </c>
      <c r="F1226" s="85" t="str">
        <f>IF('Informe Kelly'!H1219=$A$2,'Informe Kelly'!F1219,"")</f>
        <v/>
      </c>
      <c r="G1226" s="85" t="str">
        <f>IF('Informe Kelly'!H1219=$A$3,'Informe Kelly'!F1219,"")</f>
        <v/>
      </c>
      <c r="H1226" s="85">
        <f>IF(C1226=C1224,0,IF(D1226=D1225,0,(HLOOKUP(C1226,Ingreso!$AN$10:$AU$260,VLOOKUP(A1226,Ingreso!$AL$11:$AM$260,2,FALSE)))/24))</f>
        <v>0</v>
      </c>
      <c r="I1226" s="77">
        <f t="shared" ref="I1226:I1289" si="39">IF(C1226=C1224,0,IF(D1226=D1225,0,(VLOOKUP(E1226,$C$2:$D$5,2,FALSE))))</f>
        <v>0</v>
      </c>
    </row>
    <row r="1227" spans="1:9">
      <c r="A1227" s="85" t="e">
        <f>VLOOKUP('Informe Kelly'!A1220,Base!A:B,2,FALSE)</f>
        <v>#N/A</v>
      </c>
      <c r="B1227" s="85" t="e">
        <f>VLOOKUP('Informe Kelly'!A1220,Base!A:G,7,FALSE)</f>
        <v>#N/A</v>
      </c>
      <c r="C1227" s="91">
        <f>'Informe Kelly'!E1220</f>
        <v>0</v>
      </c>
      <c r="D1227" s="96">
        <f t="shared" si="38"/>
        <v>591</v>
      </c>
      <c r="E1227" s="85" t="e">
        <f>VLOOKUP(A1227,Ingreso!K:P,6,FALSE)</f>
        <v>#N/A</v>
      </c>
      <c r="F1227" s="85" t="str">
        <f>IF('Informe Kelly'!H1220=$A$2,'Informe Kelly'!F1220,"")</f>
        <v/>
      </c>
      <c r="G1227" s="85" t="str">
        <f>IF('Informe Kelly'!H1220=$A$3,'Informe Kelly'!F1220,"")</f>
        <v/>
      </c>
      <c r="H1227" s="85">
        <f>IF(C1227=C1225,0,IF(D1227=D1226,0,(HLOOKUP(C1227,Ingreso!$AN$10:$AU$260,VLOOKUP(A1227,Ingreso!$AL$11:$AM$260,2,FALSE)))/24))</f>
        <v>0</v>
      </c>
      <c r="I1227" s="77">
        <f t="shared" si="39"/>
        <v>0</v>
      </c>
    </row>
    <row r="1228" spans="1:9">
      <c r="A1228" s="85" t="e">
        <f>VLOOKUP('Informe Kelly'!A1221,Base!A:B,2,FALSE)</f>
        <v>#N/A</v>
      </c>
      <c r="B1228" s="85" t="e">
        <f>VLOOKUP('Informe Kelly'!A1221,Base!A:G,7,FALSE)</f>
        <v>#N/A</v>
      </c>
      <c r="C1228" s="91">
        <f>'Informe Kelly'!E1221</f>
        <v>0</v>
      </c>
      <c r="D1228" s="96">
        <f t="shared" si="38"/>
        <v>591</v>
      </c>
      <c r="E1228" s="85" t="e">
        <f>VLOOKUP(A1228,Ingreso!K:P,6,FALSE)</f>
        <v>#N/A</v>
      </c>
      <c r="F1228" s="85" t="str">
        <f>IF('Informe Kelly'!H1221=$A$2,'Informe Kelly'!F1221,"")</f>
        <v/>
      </c>
      <c r="G1228" s="85" t="str">
        <f>IF('Informe Kelly'!H1221=$A$3,'Informe Kelly'!F1221,"")</f>
        <v/>
      </c>
      <c r="H1228" s="85">
        <f>IF(C1228=C1226,0,IF(D1228=D1227,0,(HLOOKUP(C1228,Ingreso!$AN$10:$AU$260,VLOOKUP(A1228,Ingreso!$AL$11:$AM$260,2,FALSE)))/24))</f>
        <v>0</v>
      </c>
      <c r="I1228" s="77">
        <f t="shared" si="39"/>
        <v>0</v>
      </c>
    </row>
    <row r="1229" spans="1:9">
      <c r="A1229" s="85" t="e">
        <f>VLOOKUP('Informe Kelly'!A1222,Base!A:B,2,FALSE)</f>
        <v>#N/A</v>
      </c>
      <c r="B1229" s="85" t="e">
        <f>VLOOKUP('Informe Kelly'!A1222,Base!A:G,7,FALSE)</f>
        <v>#N/A</v>
      </c>
      <c r="C1229" s="91">
        <f>'Informe Kelly'!E1222</f>
        <v>0</v>
      </c>
      <c r="D1229" s="96">
        <f t="shared" si="38"/>
        <v>591</v>
      </c>
      <c r="E1229" s="85" t="e">
        <f>VLOOKUP(A1229,Ingreso!K:P,6,FALSE)</f>
        <v>#N/A</v>
      </c>
      <c r="F1229" s="85" t="str">
        <f>IF('Informe Kelly'!H1222=$A$2,'Informe Kelly'!F1222,"")</f>
        <v/>
      </c>
      <c r="G1229" s="85" t="str">
        <f>IF('Informe Kelly'!H1222=$A$3,'Informe Kelly'!F1222,"")</f>
        <v/>
      </c>
      <c r="H1229" s="85">
        <f>IF(C1229=C1227,0,IF(D1229=D1228,0,(HLOOKUP(C1229,Ingreso!$AN$10:$AU$260,VLOOKUP(A1229,Ingreso!$AL$11:$AM$260,2,FALSE)))/24))</f>
        <v>0</v>
      </c>
      <c r="I1229" s="77">
        <f t="shared" si="39"/>
        <v>0</v>
      </c>
    </row>
    <row r="1230" spans="1:9">
      <c r="A1230" s="85" t="e">
        <f>VLOOKUP('Informe Kelly'!A1223,Base!A:B,2,FALSE)</f>
        <v>#N/A</v>
      </c>
      <c r="B1230" s="85" t="e">
        <f>VLOOKUP('Informe Kelly'!A1223,Base!A:G,7,FALSE)</f>
        <v>#N/A</v>
      </c>
      <c r="C1230" s="91">
        <f>'Informe Kelly'!E1223</f>
        <v>0</v>
      </c>
      <c r="D1230" s="96">
        <f t="shared" si="38"/>
        <v>591</v>
      </c>
      <c r="E1230" s="85" t="e">
        <f>VLOOKUP(A1230,Ingreso!K:P,6,FALSE)</f>
        <v>#N/A</v>
      </c>
      <c r="F1230" s="85" t="str">
        <f>IF('Informe Kelly'!H1223=$A$2,'Informe Kelly'!F1223,"")</f>
        <v/>
      </c>
      <c r="G1230" s="85" t="str">
        <f>IF('Informe Kelly'!H1223=$A$3,'Informe Kelly'!F1223,"")</f>
        <v/>
      </c>
      <c r="H1230" s="85">
        <f>IF(C1230=C1228,0,IF(D1230=D1229,0,(HLOOKUP(C1230,Ingreso!$AN$10:$AU$260,VLOOKUP(A1230,Ingreso!$AL$11:$AM$260,2,FALSE)))/24))</f>
        <v>0</v>
      </c>
      <c r="I1230" s="77">
        <f t="shared" si="39"/>
        <v>0</v>
      </c>
    </row>
    <row r="1231" spans="1:9">
      <c r="A1231" s="85" t="e">
        <f>VLOOKUP('Informe Kelly'!A1224,Base!A:B,2,FALSE)</f>
        <v>#N/A</v>
      </c>
      <c r="B1231" s="85" t="e">
        <f>VLOOKUP('Informe Kelly'!A1224,Base!A:G,7,FALSE)</f>
        <v>#N/A</v>
      </c>
      <c r="C1231" s="91">
        <f>'Informe Kelly'!E1224</f>
        <v>0</v>
      </c>
      <c r="D1231" s="96">
        <f t="shared" si="38"/>
        <v>591</v>
      </c>
      <c r="E1231" s="85" t="e">
        <f>VLOOKUP(A1231,Ingreso!K:P,6,FALSE)</f>
        <v>#N/A</v>
      </c>
      <c r="F1231" s="85" t="str">
        <f>IF('Informe Kelly'!H1224=$A$2,'Informe Kelly'!F1224,"")</f>
        <v/>
      </c>
      <c r="G1231" s="85" t="str">
        <f>IF('Informe Kelly'!H1224=$A$3,'Informe Kelly'!F1224,"")</f>
        <v/>
      </c>
      <c r="H1231" s="85">
        <f>IF(C1231=C1229,0,IF(D1231=D1230,0,(HLOOKUP(C1231,Ingreso!$AN$10:$AU$260,VLOOKUP(A1231,Ingreso!$AL$11:$AM$260,2,FALSE)))/24))</f>
        <v>0</v>
      </c>
      <c r="I1231" s="77">
        <f t="shared" si="39"/>
        <v>0</v>
      </c>
    </row>
    <row r="1232" spans="1:9">
      <c r="A1232" s="85" t="e">
        <f>VLOOKUP('Informe Kelly'!A1225,Base!A:B,2,FALSE)</f>
        <v>#N/A</v>
      </c>
      <c r="B1232" s="85" t="e">
        <f>VLOOKUP('Informe Kelly'!A1225,Base!A:G,7,FALSE)</f>
        <v>#N/A</v>
      </c>
      <c r="C1232" s="91">
        <f>'Informe Kelly'!E1225</f>
        <v>0</v>
      </c>
      <c r="D1232" s="96">
        <f t="shared" si="38"/>
        <v>591</v>
      </c>
      <c r="E1232" s="85" t="e">
        <f>VLOOKUP(A1232,Ingreso!K:P,6,FALSE)</f>
        <v>#N/A</v>
      </c>
      <c r="F1232" s="85" t="str">
        <f>IF('Informe Kelly'!H1225=$A$2,'Informe Kelly'!F1225,"")</f>
        <v/>
      </c>
      <c r="G1232" s="85" t="str">
        <f>IF('Informe Kelly'!H1225=$A$3,'Informe Kelly'!F1225,"")</f>
        <v/>
      </c>
      <c r="H1232" s="85">
        <f>IF(C1232=C1230,0,IF(D1232=D1231,0,(HLOOKUP(C1232,Ingreso!$AN$10:$AU$260,VLOOKUP(A1232,Ingreso!$AL$11:$AM$260,2,FALSE)))/24))</f>
        <v>0</v>
      </c>
      <c r="I1232" s="77">
        <f t="shared" si="39"/>
        <v>0</v>
      </c>
    </row>
    <row r="1233" spans="1:9">
      <c r="A1233" s="85" t="e">
        <f>VLOOKUP('Informe Kelly'!A1226,Base!A:B,2,FALSE)</f>
        <v>#N/A</v>
      </c>
      <c r="B1233" s="85" t="e">
        <f>VLOOKUP('Informe Kelly'!A1226,Base!A:G,7,FALSE)</f>
        <v>#N/A</v>
      </c>
      <c r="C1233" s="91">
        <f>'Informe Kelly'!E1226</f>
        <v>0</v>
      </c>
      <c r="D1233" s="96">
        <f t="shared" si="38"/>
        <v>591</v>
      </c>
      <c r="E1233" s="85" t="e">
        <f>VLOOKUP(A1233,Ingreso!K:P,6,FALSE)</f>
        <v>#N/A</v>
      </c>
      <c r="F1233" s="85" t="str">
        <f>IF('Informe Kelly'!H1226=$A$2,'Informe Kelly'!F1226,"")</f>
        <v/>
      </c>
      <c r="G1233" s="85" t="str">
        <f>IF('Informe Kelly'!H1226=$A$3,'Informe Kelly'!F1226,"")</f>
        <v/>
      </c>
      <c r="H1233" s="85">
        <f>IF(C1233=C1231,0,IF(D1233=D1232,0,(HLOOKUP(C1233,Ingreso!$AN$10:$AU$260,VLOOKUP(A1233,Ingreso!$AL$11:$AM$260,2,FALSE)))/24))</f>
        <v>0</v>
      </c>
      <c r="I1233" s="77">
        <f t="shared" si="39"/>
        <v>0</v>
      </c>
    </row>
    <row r="1234" spans="1:9">
      <c r="A1234" s="85" t="e">
        <f>VLOOKUP('Informe Kelly'!A1227,Base!A:B,2,FALSE)</f>
        <v>#N/A</v>
      </c>
      <c r="B1234" s="85" t="e">
        <f>VLOOKUP('Informe Kelly'!A1227,Base!A:G,7,FALSE)</f>
        <v>#N/A</v>
      </c>
      <c r="C1234" s="91">
        <f>'Informe Kelly'!E1227</f>
        <v>0</v>
      </c>
      <c r="D1234" s="96">
        <f t="shared" si="38"/>
        <v>591</v>
      </c>
      <c r="E1234" s="85" t="e">
        <f>VLOOKUP(A1234,Ingreso!K:P,6,FALSE)</f>
        <v>#N/A</v>
      </c>
      <c r="F1234" s="85" t="str">
        <f>IF('Informe Kelly'!H1227=$A$2,'Informe Kelly'!F1227,"")</f>
        <v/>
      </c>
      <c r="G1234" s="85" t="str">
        <f>IF('Informe Kelly'!H1227=$A$3,'Informe Kelly'!F1227,"")</f>
        <v/>
      </c>
      <c r="H1234" s="85">
        <f>IF(C1234=C1232,0,IF(D1234=D1233,0,(HLOOKUP(C1234,Ingreso!$AN$10:$AU$260,VLOOKUP(A1234,Ingreso!$AL$11:$AM$260,2,FALSE)))/24))</f>
        <v>0</v>
      </c>
      <c r="I1234" s="77">
        <f t="shared" si="39"/>
        <v>0</v>
      </c>
    </row>
    <row r="1235" spans="1:9">
      <c r="A1235" s="85" t="e">
        <f>VLOOKUP('Informe Kelly'!A1228,Base!A:B,2,FALSE)</f>
        <v>#N/A</v>
      </c>
      <c r="B1235" s="85" t="e">
        <f>VLOOKUP('Informe Kelly'!A1228,Base!A:G,7,FALSE)</f>
        <v>#N/A</v>
      </c>
      <c r="C1235" s="91">
        <f>'Informe Kelly'!E1228</f>
        <v>0</v>
      </c>
      <c r="D1235" s="96">
        <f t="shared" si="38"/>
        <v>591</v>
      </c>
      <c r="E1235" s="85" t="e">
        <f>VLOOKUP(A1235,Ingreso!K:P,6,FALSE)</f>
        <v>#N/A</v>
      </c>
      <c r="F1235" s="85" t="str">
        <f>IF('Informe Kelly'!H1228=$A$2,'Informe Kelly'!F1228,"")</f>
        <v/>
      </c>
      <c r="G1235" s="85" t="str">
        <f>IF('Informe Kelly'!H1228=$A$3,'Informe Kelly'!F1228,"")</f>
        <v/>
      </c>
      <c r="H1235" s="85">
        <f>IF(C1235=C1233,0,IF(D1235=D1234,0,(HLOOKUP(C1235,Ingreso!$AN$10:$AU$260,VLOOKUP(A1235,Ingreso!$AL$11:$AM$260,2,FALSE)))/24))</f>
        <v>0</v>
      </c>
      <c r="I1235" s="77">
        <f t="shared" si="39"/>
        <v>0</v>
      </c>
    </row>
    <row r="1236" spans="1:9">
      <c r="A1236" s="85" t="e">
        <f>VLOOKUP('Informe Kelly'!A1229,Base!A:B,2,FALSE)</f>
        <v>#N/A</v>
      </c>
      <c r="B1236" s="85" t="e">
        <f>VLOOKUP('Informe Kelly'!A1229,Base!A:G,7,FALSE)</f>
        <v>#N/A</v>
      </c>
      <c r="C1236" s="91">
        <f>'Informe Kelly'!E1229</f>
        <v>0</v>
      </c>
      <c r="D1236" s="96">
        <f t="shared" si="38"/>
        <v>591</v>
      </c>
      <c r="E1236" s="85" t="e">
        <f>VLOOKUP(A1236,Ingreso!K:P,6,FALSE)</f>
        <v>#N/A</v>
      </c>
      <c r="F1236" s="85" t="str">
        <f>IF('Informe Kelly'!H1229=$A$2,'Informe Kelly'!F1229,"")</f>
        <v/>
      </c>
      <c r="G1236" s="85" t="str">
        <f>IF('Informe Kelly'!H1229=$A$3,'Informe Kelly'!F1229,"")</f>
        <v/>
      </c>
      <c r="H1236" s="85">
        <f>IF(C1236=C1234,0,IF(D1236=D1235,0,(HLOOKUP(C1236,Ingreso!$AN$10:$AU$260,VLOOKUP(A1236,Ingreso!$AL$11:$AM$260,2,FALSE)))/24))</f>
        <v>0</v>
      </c>
      <c r="I1236" s="77">
        <f t="shared" si="39"/>
        <v>0</v>
      </c>
    </row>
    <row r="1237" spans="1:9">
      <c r="A1237" s="85" t="e">
        <f>VLOOKUP('Informe Kelly'!A1230,Base!A:B,2,FALSE)</f>
        <v>#N/A</v>
      </c>
      <c r="B1237" s="85" t="e">
        <f>VLOOKUP('Informe Kelly'!A1230,Base!A:G,7,FALSE)</f>
        <v>#N/A</v>
      </c>
      <c r="C1237" s="91">
        <f>'Informe Kelly'!E1230</f>
        <v>0</v>
      </c>
      <c r="D1237" s="96">
        <f t="shared" si="38"/>
        <v>591</v>
      </c>
      <c r="E1237" s="85" t="e">
        <f>VLOOKUP(A1237,Ingreso!K:P,6,FALSE)</f>
        <v>#N/A</v>
      </c>
      <c r="F1237" s="85" t="str">
        <f>IF('Informe Kelly'!H1230=$A$2,'Informe Kelly'!F1230,"")</f>
        <v/>
      </c>
      <c r="G1237" s="85" t="str">
        <f>IF('Informe Kelly'!H1230=$A$3,'Informe Kelly'!F1230,"")</f>
        <v/>
      </c>
      <c r="H1237" s="85">
        <f>IF(C1237=C1235,0,IF(D1237=D1236,0,(HLOOKUP(C1237,Ingreso!$AN$10:$AU$260,VLOOKUP(A1237,Ingreso!$AL$11:$AM$260,2,FALSE)))/24))</f>
        <v>0</v>
      </c>
      <c r="I1237" s="77">
        <f t="shared" si="39"/>
        <v>0</v>
      </c>
    </row>
    <row r="1238" spans="1:9">
      <c r="A1238" s="85" t="e">
        <f>VLOOKUP('Informe Kelly'!A1231,Base!A:B,2,FALSE)</f>
        <v>#N/A</v>
      </c>
      <c r="B1238" s="85" t="e">
        <f>VLOOKUP('Informe Kelly'!A1231,Base!A:G,7,FALSE)</f>
        <v>#N/A</v>
      </c>
      <c r="C1238" s="91">
        <f>'Informe Kelly'!E1231</f>
        <v>0</v>
      </c>
      <c r="D1238" s="96">
        <f t="shared" si="38"/>
        <v>591</v>
      </c>
      <c r="E1238" s="85" t="e">
        <f>VLOOKUP(A1238,Ingreso!K:P,6,FALSE)</f>
        <v>#N/A</v>
      </c>
      <c r="F1238" s="85" t="str">
        <f>IF('Informe Kelly'!H1231=$A$2,'Informe Kelly'!F1231,"")</f>
        <v/>
      </c>
      <c r="G1238" s="85" t="str">
        <f>IF('Informe Kelly'!H1231=$A$3,'Informe Kelly'!F1231,"")</f>
        <v/>
      </c>
      <c r="H1238" s="85">
        <f>IF(C1238=C1236,0,IF(D1238=D1237,0,(HLOOKUP(C1238,Ingreso!$AN$10:$AU$260,VLOOKUP(A1238,Ingreso!$AL$11:$AM$260,2,FALSE)))/24))</f>
        <v>0</v>
      </c>
      <c r="I1238" s="77">
        <f t="shared" si="39"/>
        <v>0</v>
      </c>
    </row>
    <row r="1239" spans="1:9">
      <c r="A1239" s="85" t="e">
        <f>VLOOKUP('Informe Kelly'!A1232,Base!A:B,2,FALSE)</f>
        <v>#N/A</v>
      </c>
      <c r="B1239" s="85" t="e">
        <f>VLOOKUP('Informe Kelly'!A1232,Base!A:G,7,FALSE)</f>
        <v>#N/A</v>
      </c>
      <c r="C1239" s="91">
        <f>'Informe Kelly'!E1232</f>
        <v>0</v>
      </c>
      <c r="D1239" s="96">
        <f t="shared" si="38"/>
        <v>591</v>
      </c>
      <c r="E1239" s="85" t="e">
        <f>VLOOKUP(A1239,Ingreso!K:P,6,FALSE)</f>
        <v>#N/A</v>
      </c>
      <c r="F1239" s="85" t="str">
        <f>IF('Informe Kelly'!H1232=$A$2,'Informe Kelly'!F1232,"")</f>
        <v/>
      </c>
      <c r="G1239" s="85" t="str">
        <f>IF('Informe Kelly'!H1232=$A$3,'Informe Kelly'!F1232,"")</f>
        <v/>
      </c>
      <c r="H1239" s="85">
        <f>IF(C1239=C1237,0,IF(D1239=D1238,0,(HLOOKUP(C1239,Ingreso!$AN$10:$AU$260,VLOOKUP(A1239,Ingreso!$AL$11:$AM$260,2,FALSE)))/24))</f>
        <v>0</v>
      </c>
      <c r="I1239" s="77">
        <f t="shared" si="39"/>
        <v>0</v>
      </c>
    </row>
    <row r="1240" spans="1:9">
      <c r="A1240" s="85" t="e">
        <f>VLOOKUP('Informe Kelly'!A1233,Base!A:B,2,FALSE)</f>
        <v>#N/A</v>
      </c>
      <c r="B1240" s="85" t="e">
        <f>VLOOKUP('Informe Kelly'!A1233,Base!A:G,7,FALSE)</f>
        <v>#N/A</v>
      </c>
      <c r="C1240" s="91">
        <f>'Informe Kelly'!E1233</f>
        <v>0</v>
      </c>
      <c r="D1240" s="96">
        <f t="shared" si="38"/>
        <v>591</v>
      </c>
      <c r="E1240" s="85" t="e">
        <f>VLOOKUP(A1240,Ingreso!K:P,6,FALSE)</f>
        <v>#N/A</v>
      </c>
      <c r="F1240" s="85" t="str">
        <f>IF('Informe Kelly'!H1233=$A$2,'Informe Kelly'!F1233,"")</f>
        <v/>
      </c>
      <c r="G1240" s="85" t="str">
        <f>IF('Informe Kelly'!H1233=$A$3,'Informe Kelly'!F1233,"")</f>
        <v/>
      </c>
      <c r="H1240" s="85">
        <f>IF(C1240=C1238,0,IF(D1240=D1239,0,(HLOOKUP(C1240,Ingreso!$AN$10:$AU$260,VLOOKUP(A1240,Ingreso!$AL$11:$AM$260,2,FALSE)))/24))</f>
        <v>0</v>
      </c>
      <c r="I1240" s="77">
        <f t="shared" si="39"/>
        <v>0</v>
      </c>
    </row>
    <row r="1241" spans="1:9">
      <c r="A1241" s="85" t="e">
        <f>VLOOKUP('Informe Kelly'!A1234,Base!A:B,2,FALSE)</f>
        <v>#N/A</v>
      </c>
      <c r="B1241" s="85" t="e">
        <f>VLOOKUP('Informe Kelly'!A1234,Base!A:G,7,FALSE)</f>
        <v>#N/A</v>
      </c>
      <c r="C1241" s="91">
        <f>'Informe Kelly'!E1234</f>
        <v>0</v>
      </c>
      <c r="D1241" s="96">
        <f t="shared" si="38"/>
        <v>591</v>
      </c>
      <c r="E1241" s="85" t="e">
        <f>VLOOKUP(A1241,Ingreso!K:P,6,FALSE)</f>
        <v>#N/A</v>
      </c>
      <c r="F1241" s="85" t="str">
        <f>IF('Informe Kelly'!H1234=$A$2,'Informe Kelly'!F1234,"")</f>
        <v/>
      </c>
      <c r="G1241" s="85" t="str">
        <f>IF('Informe Kelly'!H1234=$A$3,'Informe Kelly'!F1234,"")</f>
        <v/>
      </c>
      <c r="H1241" s="85">
        <f>IF(C1241=C1239,0,IF(D1241=D1240,0,(HLOOKUP(C1241,Ingreso!$AN$10:$AU$260,VLOOKUP(A1241,Ingreso!$AL$11:$AM$260,2,FALSE)))/24))</f>
        <v>0</v>
      </c>
      <c r="I1241" s="77">
        <f t="shared" si="39"/>
        <v>0</v>
      </c>
    </row>
    <row r="1242" spans="1:9">
      <c r="A1242" s="85" t="e">
        <f>VLOOKUP('Informe Kelly'!A1235,Base!A:B,2,FALSE)</f>
        <v>#N/A</v>
      </c>
      <c r="B1242" s="85" t="e">
        <f>VLOOKUP('Informe Kelly'!A1235,Base!A:G,7,FALSE)</f>
        <v>#N/A</v>
      </c>
      <c r="C1242" s="91">
        <f>'Informe Kelly'!E1235</f>
        <v>0</v>
      </c>
      <c r="D1242" s="96">
        <f t="shared" si="38"/>
        <v>591</v>
      </c>
      <c r="E1242" s="85" t="e">
        <f>VLOOKUP(A1242,Ingreso!K:P,6,FALSE)</f>
        <v>#N/A</v>
      </c>
      <c r="F1242" s="85" t="str">
        <f>IF('Informe Kelly'!H1235=$A$2,'Informe Kelly'!F1235,"")</f>
        <v/>
      </c>
      <c r="G1242" s="85" t="str">
        <f>IF('Informe Kelly'!H1235=$A$3,'Informe Kelly'!F1235,"")</f>
        <v/>
      </c>
      <c r="H1242" s="85">
        <f>IF(C1242=C1240,0,IF(D1242=D1241,0,(HLOOKUP(C1242,Ingreso!$AN$10:$AU$260,VLOOKUP(A1242,Ingreso!$AL$11:$AM$260,2,FALSE)))/24))</f>
        <v>0</v>
      </c>
      <c r="I1242" s="77">
        <f t="shared" si="39"/>
        <v>0</v>
      </c>
    </row>
    <row r="1243" spans="1:9">
      <c r="A1243" s="85" t="e">
        <f>VLOOKUP('Informe Kelly'!A1236,Base!A:B,2,FALSE)</f>
        <v>#N/A</v>
      </c>
      <c r="B1243" s="85" t="e">
        <f>VLOOKUP('Informe Kelly'!A1236,Base!A:G,7,FALSE)</f>
        <v>#N/A</v>
      </c>
      <c r="C1243" s="91">
        <f>'Informe Kelly'!E1236</f>
        <v>0</v>
      </c>
      <c r="D1243" s="96">
        <f t="shared" si="38"/>
        <v>591</v>
      </c>
      <c r="E1243" s="85" t="e">
        <f>VLOOKUP(A1243,Ingreso!K:P,6,FALSE)</f>
        <v>#N/A</v>
      </c>
      <c r="F1243" s="85" t="str">
        <f>IF('Informe Kelly'!H1236=$A$2,'Informe Kelly'!F1236,"")</f>
        <v/>
      </c>
      <c r="G1243" s="85" t="str">
        <f>IF('Informe Kelly'!H1236=$A$3,'Informe Kelly'!F1236,"")</f>
        <v/>
      </c>
      <c r="H1243" s="85">
        <f>IF(C1243=C1241,0,IF(D1243=D1242,0,(HLOOKUP(C1243,Ingreso!$AN$10:$AU$260,VLOOKUP(A1243,Ingreso!$AL$11:$AM$260,2,FALSE)))/24))</f>
        <v>0</v>
      </c>
      <c r="I1243" s="77">
        <f t="shared" si="39"/>
        <v>0</v>
      </c>
    </row>
    <row r="1244" spans="1:9">
      <c r="A1244" s="85" t="e">
        <f>VLOOKUP('Informe Kelly'!A1237,Base!A:B,2,FALSE)</f>
        <v>#N/A</v>
      </c>
      <c r="B1244" s="85" t="e">
        <f>VLOOKUP('Informe Kelly'!A1237,Base!A:G,7,FALSE)</f>
        <v>#N/A</v>
      </c>
      <c r="C1244" s="91">
        <f>'Informe Kelly'!E1237</f>
        <v>0</v>
      </c>
      <c r="D1244" s="96">
        <f t="shared" si="38"/>
        <v>591</v>
      </c>
      <c r="E1244" s="85" t="e">
        <f>VLOOKUP(A1244,Ingreso!K:P,6,FALSE)</f>
        <v>#N/A</v>
      </c>
      <c r="F1244" s="85" t="str">
        <f>IF('Informe Kelly'!H1237=$A$2,'Informe Kelly'!F1237,"")</f>
        <v/>
      </c>
      <c r="G1244" s="85" t="str">
        <f>IF('Informe Kelly'!H1237=$A$3,'Informe Kelly'!F1237,"")</f>
        <v/>
      </c>
      <c r="H1244" s="85">
        <f>IF(C1244=C1242,0,IF(D1244=D1243,0,(HLOOKUP(C1244,Ingreso!$AN$10:$AU$260,VLOOKUP(A1244,Ingreso!$AL$11:$AM$260,2,FALSE)))/24))</f>
        <v>0</v>
      </c>
      <c r="I1244" s="77">
        <f t="shared" si="39"/>
        <v>0</v>
      </c>
    </row>
    <row r="1245" spans="1:9">
      <c r="A1245" s="85" t="e">
        <f>VLOOKUP('Informe Kelly'!A1238,Base!A:B,2,FALSE)</f>
        <v>#N/A</v>
      </c>
      <c r="B1245" s="85" t="e">
        <f>VLOOKUP('Informe Kelly'!A1238,Base!A:G,7,FALSE)</f>
        <v>#N/A</v>
      </c>
      <c r="C1245" s="91">
        <f>'Informe Kelly'!E1238</f>
        <v>0</v>
      </c>
      <c r="D1245" s="96">
        <f t="shared" si="38"/>
        <v>591</v>
      </c>
      <c r="E1245" s="85" t="e">
        <f>VLOOKUP(A1245,Ingreso!K:P,6,FALSE)</f>
        <v>#N/A</v>
      </c>
      <c r="F1245" s="85" t="str">
        <f>IF('Informe Kelly'!H1238=$A$2,'Informe Kelly'!F1238,"")</f>
        <v/>
      </c>
      <c r="G1245" s="85" t="str">
        <f>IF('Informe Kelly'!H1238=$A$3,'Informe Kelly'!F1238,"")</f>
        <v/>
      </c>
      <c r="H1245" s="85">
        <f>IF(C1245=C1243,0,IF(D1245=D1244,0,(HLOOKUP(C1245,Ingreso!$AN$10:$AU$260,VLOOKUP(A1245,Ingreso!$AL$11:$AM$260,2,FALSE)))/24))</f>
        <v>0</v>
      </c>
      <c r="I1245" s="77">
        <f t="shared" si="39"/>
        <v>0</v>
      </c>
    </row>
    <row r="1246" spans="1:9">
      <c r="A1246" s="85" t="e">
        <f>VLOOKUP('Informe Kelly'!A1239,Base!A:B,2,FALSE)</f>
        <v>#N/A</v>
      </c>
      <c r="B1246" s="85" t="e">
        <f>VLOOKUP('Informe Kelly'!A1239,Base!A:G,7,FALSE)</f>
        <v>#N/A</v>
      </c>
      <c r="C1246" s="91">
        <f>'Informe Kelly'!E1239</f>
        <v>0</v>
      </c>
      <c r="D1246" s="96">
        <f t="shared" si="38"/>
        <v>591</v>
      </c>
      <c r="E1246" s="85" t="e">
        <f>VLOOKUP(A1246,Ingreso!K:P,6,FALSE)</f>
        <v>#N/A</v>
      </c>
      <c r="F1246" s="85" t="str">
        <f>IF('Informe Kelly'!H1239=$A$2,'Informe Kelly'!F1239,"")</f>
        <v/>
      </c>
      <c r="G1246" s="85" t="str">
        <f>IF('Informe Kelly'!H1239=$A$3,'Informe Kelly'!F1239,"")</f>
        <v/>
      </c>
      <c r="H1246" s="85">
        <f>IF(C1246=C1244,0,IF(D1246=D1245,0,(HLOOKUP(C1246,Ingreso!$AN$10:$AU$260,VLOOKUP(A1246,Ingreso!$AL$11:$AM$260,2,FALSE)))/24))</f>
        <v>0</v>
      </c>
      <c r="I1246" s="77">
        <f t="shared" si="39"/>
        <v>0</v>
      </c>
    </row>
    <row r="1247" spans="1:9">
      <c r="A1247" s="85" t="e">
        <f>VLOOKUP('Informe Kelly'!A1240,Base!A:B,2,FALSE)</f>
        <v>#N/A</v>
      </c>
      <c r="B1247" s="85" t="e">
        <f>VLOOKUP('Informe Kelly'!A1240,Base!A:G,7,FALSE)</f>
        <v>#N/A</v>
      </c>
      <c r="C1247" s="91">
        <f>'Informe Kelly'!E1240</f>
        <v>0</v>
      </c>
      <c r="D1247" s="96">
        <f t="shared" si="38"/>
        <v>591</v>
      </c>
      <c r="E1247" s="85" t="e">
        <f>VLOOKUP(A1247,Ingreso!K:P,6,FALSE)</f>
        <v>#N/A</v>
      </c>
      <c r="F1247" s="85" t="str">
        <f>IF('Informe Kelly'!H1240=$A$2,'Informe Kelly'!F1240,"")</f>
        <v/>
      </c>
      <c r="G1247" s="85" t="str">
        <f>IF('Informe Kelly'!H1240=$A$3,'Informe Kelly'!F1240,"")</f>
        <v/>
      </c>
      <c r="H1247" s="85">
        <f>IF(C1247=C1245,0,IF(D1247=D1246,0,(HLOOKUP(C1247,Ingreso!$AN$10:$AU$260,VLOOKUP(A1247,Ingreso!$AL$11:$AM$260,2,FALSE)))/24))</f>
        <v>0</v>
      </c>
      <c r="I1247" s="77">
        <f t="shared" si="39"/>
        <v>0</v>
      </c>
    </row>
    <row r="1248" spans="1:9">
      <c r="A1248" s="85" t="e">
        <f>VLOOKUP('Informe Kelly'!A1241,Base!A:B,2,FALSE)</f>
        <v>#N/A</v>
      </c>
      <c r="B1248" s="85" t="e">
        <f>VLOOKUP('Informe Kelly'!A1241,Base!A:G,7,FALSE)</f>
        <v>#N/A</v>
      </c>
      <c r="C1248" s="91">
        <f>'Informe Kelly'!E1241</f>
        <v>0</v>
      </c>
      <c r="D1248" s="96">
        <f t="shared" si="38"/>
        <v>591</v>
      </c>
      <c r="E1248" s="85" t="e">
        <f>VLOOKUP(A1248,Ingreso!K:P,6,FALSE)</f>
        <v>#N/A</v>
      </c>
      <c r="F1248" s="85" t="str">
        <f>IF('Informe Kelly'!H1241=$A$2,'Informe Kelly'!F1241,"")</f>
        <v/>
      </c>
      <c r="G1248" s="85" t="str">
        <f>IF('Informe Kelly'!H1241=$A$3,'Informe Kelly'!F1241,"")</f>
        <v/>
      </c>
      <c r="H1248" s="85">
        <f>IF(C1248=C1246,0,IF(D1248=D1247,0,(HLOOKUP(C1248,Ingreso!$AN$10:$AU$260,VLOOKUP(A1248,Ingreso!$AL$11:$AM$260,2,FALSE)))/24))</f>
        <v>0</v>
      </c>
      <c r="I1248" s="77">
        <f t="shared" si="39"/>
        <v>0</v>
      </c>
    </row>
    <row r="1249" spans="1:9">
      <c r="A1249" s="85" t="e">
        <f>VLOOKUP('Informe Kelly'!A1242,Base!A:B,2,FALSE)</f>
        <v>#N/A</v>
      </c>
      <c r="B1249" s="85" t="e">
        <f>VLOOKUP('Informe Kelly'!A1242,Base!A:G,7,FALSE)</f>
        <v>#N/A</v>
      </c>
      <c r="C1249" s="91">
        <f>'Informe Kelly'!E1242</f>
        <v>0</v>
      </c>
      <c r="D1249" s="96">
        <f t="shared" si="38"/>
        <v>591</v>
      </c>
      <c r="E1249" s="85" t="e">
        <f>VLOOKUP(A1249,Ingreso!K:P,6,FALSE)</f>
        <v>#N/A</v>
      </c>
      <c r="F1249" s="85" t="str">
        <f>IF('Informe Kelly'!H1242=$A$2,'Informe Kelly'!F1242,"")</f>
        <v/>
      </c>
      <c r="G1249" s="85" t="str">
        <f>IF('Informe Kelly'!H1242=$A$3,'Informe Kelly'!F1242,"")</f>
        <v/>
      </c>
      <c r="H1249" s="85">
        <f>IF(C1249=C1247,0,IF(D1249=D1248,0,(HLOOKUP(C1249,Ingreso!$AN$10:$AU$260,VLOOKUP(A1249,Ingreso!$AL$11:$AM$260,2,FALSE)))/24))</f>
        <v>0</v>
      </c>
      <c r="I1249" s="77">
        <f t="shared" si="39"/>
        <v>0</v>
      </c>
    </row>
    <row r="1250" spans="1:9">
      <c r="A1250" s="85" t="e">
        <f>VLOOKUP('Informe Kelly'!A1243,Base!A:B,2,FALSE)</f>
        <v>#N/A</v>
      </c>
      <c r="B1250" s="85" t="e">
        <f>VLOOKUP('Informe Kelly'!A1243,Base!A:G,7,FALSE)</f>
        <v>#N/A</v>
      </c>
      <c r="C1250" s="91">
        <f>'Informe Kelly'!E1243</f>
        <v>0</v>
      </c>
      <c r="D1250" s="96">
        <f t="shared" si="38"/>
        <v>591</v>
      </c>
      <c r="E1250" s="85" t="e">
        <f>VLOOKUP(A1250,Ingreso!K:P,6,FALSE)</f>
        <v>#N/A</v>
      </c>
      <c r="F1250" s="85" t="str">
        <f>IF('Informe Kelly'!H1243=$A$2,'Informe Kelly'!F1243,"")</f>
        <v/>
      </c>
      <c r="G1250" s="85" t="str">
        <f>IF('Informe Kelly'!H1243=$A$3,'Informe Kelly'!F1243,"")</f>
        <v/>
      </c>
      <c r="H1250" s="85">
        <f>IF(C1250=C1248,0,IF(D1250=D1249,0,(HLOOKUP(C1250,Ingreso!$AN$10:$AU$260,VLOOKUP(A1250,Ingreso!$AL$11:$AM$260,2,FALSE)))/24))</f>
        <v>0</v>
      </c>
      <c r="I1250" s="77">
        <f t="shared" si="39"/>
        <v>0</v>
      </c>
    </row>
    <row r="1251" spans="1:9">
      <c r="A1251" s="85" t="e">
        <f>VLOOKUP('Informe Kelly'!A1244,Base!A:B,2,FALSE)</f>
        <v>#N/A</v>
      </c>
      <c r="B1251" s="85" t="e">
        <f>VLOOKUP('Informe Kelly'!A1244,Base!A:G,7,FALSE)</f>
        <v>#N/A</v>
      </c>
      <c r="C1251" s="91">
        <f>'Informe Kelly'!E1244</f>
        <v>0</v>
      </c>
      <c r="D1251" s="96">
        <f t="shared" si="38"/>
        <v>591</v>
      </c>
      <c r="E1251" s="85" t="e">
        <f>VLOOKUP(A1251,Ingreso!K:P,6,FALSE)</f>
        <v>#N/A</v>
      </c>
      <c r="F1251" s="85" t="str">
        <f>IF('Informe Kelly'!H1244=$A$2,'Informe Kelly'!F1244,"")</f>
        <v/>
      </c>
      <c r="G1251" s="85" t="str">
        <f>IF('Informe Kelly'!H1244=$A$3,'Informe Kelly'!F1244,"")</f>
        <v/>
      </c>
      <c r="H1251" s="85">
        <f>IF(C1251=C1249,0,IF(D1251=D1250,0,(HLOOKUP(C1251,Ingreso!$AN$10:$AU$260,VLOOKUP(A1251,Ingreso!$AL$11:$AM$260,2,FALSE)))/24))</f>
        <v>0</v>
      </c>
      <c r="I1251" s="77">
        <f t="shared" si="39"/>
        <v>0</v>
      </c>
    </row>
    <row r="1252" spans="1:9">
      <c r="A1252" s="85" t="e">
        <f>VLOOKUP('Informe Kelly'!A1245,Base!A:B,2,FALSE)</f>
        <v>#N/A</v>
      </c>
      <c r="B1252" s="85" t="e">
        <f>VLOOKUP('Informe Kelly'!A1245,Base!A:G,7,FALSE)</f>
        <v>#N/A</v>
      </c>
      <c r="C1252" s="91">
        <f>'Informe Kelly'!E1245</f>
        <v>0</v>
      </c>
      <c r="D1252" s="96">
        <f t="shared" si="38"/>
        <v>591</v>
      </c>
      <c r="E1252" s="85" t="e">
        <f>VLOOKUP(A1252,Ingreso!K:P,6,FALSE)</f>
        <v>#N/A</v>
      </c>
      <c r="F1252" s="85" t="str">
        <f>IF('Informe Kelly'!H1245=$A$2,'Informe Kelly'!F1245,"")</f>
        <v/>
      </c>
      <c r="G1252" s="85" t="str">
        <f>IF('Informe Kelly'!H1245=$A$3,'Informe Kelly'!F1245,"")</f>
        <v/>
      </c>
      <c r="H1252" s="85">
        <f>IF(C1252=C1250,0,IF(D1252=D1251,0,(HLOOKUP(C1252,Ingreso!$AN$10:$AU$260,VLOOKUP(A1252,Ingreso!$AL$11:$AM$260,2,FALSE)))/24))</f>
        <v>0</v>
      </c>
      <c r="I1252" s="77">
        <f t="shared" si="39"/>
        <v>0</v>
      </c>
    </row>
    <row r="1253" spans="1:9">
      <c r="A1253" s="85" t="e">
        <f>VLOOKUP('Informe Kelly'!A1246,Base!A:B,2,FALSE)</f>
        <v>#N/A</v>
      </c>
      <c r="B1253" s="85" t="e">
        <f>VLOOKUP('Informe Kelly'!A1246,Base!A:G,7,FALSE)</f>
        <v>#N/A</v>
      </c>
      <c r="C1253" s="91">
        <f>'Informe Kelly'!E1246</f>
        <v>0</v>
      </c>
      <c r="D1253" s="96">
        <f t="shared" si="38"/>
        <v>591</v>
      </c>
      <c r="E1253" s="85" t="e">
        <f>VLOOKUP(A1253,Ingreso!K:P,6,FALSE)</f>
        <v>#N/A</v>
      </c>
      <c r="F1253" s="85" t="str">
        <f>IF('Informe Kelly'!H1246=$A$2,'Informe Kelly'!F1246,"")</f>
        <v/>
      </c>
      <c r="G1253" s="85" t="str">
        <f>IF('Informe Kelly'!H1246=$A$3,'Informe Kelly'!F1246,"")</f>
        <v/>
      </c>
      <c r="H1253" s="85">
        <f>IF(C1253=C1251,0,IF(D1253=D1252,0,(HLOOKUP(C1253,Ingreso!$AN$10:$AU$260,VLOOKUP(A1253,Ingreso!$AL$11:$AM$260,2,FALSE)))/24))</f>
        <v>0</v>
      </c>
      <c r="I1253" s="77">
        <f t="shared" si="39"/>
        <v>0</v>
      </c>
    </row>
    <row r="1254" spans="1:9">
      <c r="A1254" s="85" t="e">
        <f>VLOOKUP('Informe Kelly'!A1247,Base!A:B,2,FALSE)</f>
        <v>#N/A</v>
      </c>
      <c r="B1254" s="85" t="e">
        <f>VLOOKUP('Informe Kelly'!A1247,Base!A:G,7,FALSE)</f>
        <v>#N/A</v>
      </c>
      <c r="C1254" s="91">
        <f>'Informe Kelly'!E1247</f>
        <v>0</v>
      </c>
      <c r="D1254" s="96">
        <f t="shared" si="38"/>
        <v>591</v>
      </c>
      <c r="E1254" s="85" t="e">
        <f>VLOOKUP(A1254,Ingreso!K:P,6,FALSE)</f>
        <v>#N/A</v>
      </c>
      <c r="F1254" s="85" t="str">
        <f>IF('Informe Kelly'!H1247=$A$2,'Informe Kelly'!F1247,"")</f>
        <v/>
      </c>
      <c r="G1254" s="85" t="str">
        <f>IF('Informe Kelly'!H1247=$A$3,'Informe Kelly'!F1247,"")</f>
        <v/>
      </c>
      <c r="H1254" s="85">
        <f>IF(C1254=C1252,0,IF(D1254=D1253,0,(HLOOKUP(C1254,Ingreso!$AN$10:$AU$260,VLOOKUP(A1254,Ingreso!$AL$11:$AM$260,2,FALSE)))/24))</f>
        <v>0</v>
      </c>
      <c r="I1254" s="77">
        <f t="shared" si="39"/>
        <v>0</v>
      </c>
    </row>
    <row r="1255" spans="1:9">
      <c r="A1255" s="85" t="e">
        <f>VLOOKUP('Informe Kelly'!A1248,Base!A:B,2,FALSE)</f>
        <v>#N/A</v>
      </c>
      <c r="B1255" s="85" t="e">
        <f>VLOOKUP('Informe Kelly'!A1248,Base!A:G,7,FALSE)</f>
        <v>#N/A</v>
      </c>
      <c r="C1255" s="91">
        <f>'Informe Kelly'!E1248</f>
        <v>0</v>
      </c>
      <c r="D1255" s="96">
        <f t="shared" si="38"/>
        <v>591</v>
      </c>
      <c r="E1255" s="85" t="e">
        <f>VLOOKUP(A1255,Ingreso!K:P,6,FALSE)</f>
        <v>#N/A</v>
      </c>
      <c r="F1255" s="85" t="str">
        <f>IF('Informe Kelly'!H1248=$A$2,'Informe Kelly'!F1248,"")</f>
        <v/>
      </c>
      <c r="G1255" s="85" t="str">
        <f>IF('Informe Kelly'!H1248=$A$3,'Informe Kelly'!F1248,"")</f>
        <v/>
      </c>
      <c r="H1255" s="85">
        <f>IF(C1255=C1253,0,IF(D1255=D1254,0,(HLOOKUP(C1255,Ingreso!$AN$10:$AU$260,VLOOKUP(A1255,Ingreso!$AL$11:$AM$260,2,FALSE)))/24))</f>
        <v>0</v>
      </c>
      <c r="I1255" s="77">
        <f t="shared" si="39"/>
        <v>0</v>
      </c>
    </row>
    <row r="1256" spans="1:9">
      <c r="A1256" s="85" t="e">
        <f>VLOOKUP('Informe Kelly'!A1249,Base!A:B,2,FALSE)</f>
        <v>#N/A</v>
      </c>
      <c r="B1256" s="85" t="e">
        <f>VLOOKUP('Informe Kelly'!A1249,Base!A:G,7,FALSE)</f>
        <v>#N/A</v>
      </c>
      <c r="C1256" s="91">
        <f>'Informe Kelly'!E1249</f>
        <v>0</v>
      </c>
      <c r="D1256" s="96">
        <f t="shared" si="38"/>
        <v>591</v>
      </c>
      <c r="E1256" s="85" t="e">
        <f>VLOOKUP(A1256,Ingreso!K:P,6,FALSE)</f>
        <v>#N/A</v>
      </c>
      <c r="F1256" s="85" t="str">
        <f>IF('Informe Kelly'!H1249=$A$2,'Informe Kelly'!F1249,"")</f>
        <v/>
      </c>
      <c r="G1256" s="85" t="str">
        <f>IF('Informe Kelly'!H1249=$A$3,'Informe Kelly'!F1249,"")</f>
        <v/>
      </c>
      <c r="H1256" s="85">
        <f>IF(C1256=C1254,0,IF(D1256=D1255,0,(HLOOKUP(C1256,Ingreso!$AN$10:$AU$260,VLOOKUP(A1256,Ingreso!$AL$11:$AM$260,2,FALSE)))/24))</f>
        <v>0</v>
      </c>
      <c r="I1256" s="77">
        <f t="shared" si="39"/>
        <v>0</v>
      </c>
    </row>
    <row r="1257" spans="1:9">
      <c r="A1257" s="85" t="e">
        <f>VLOOKUP('Informe Kelly'!A1250,Base!A:B,2,FALSE)</f>
        <v>#N/A</v>
      </c>
      <c r="B1257" s="85" t="e">
        <f>VLOOKUP('Informe Kelly'!A1250,Base!A:G,7,FALSE)</f>
        <v>#N/A</v>
      </c>
      <c r="C1257" s="91">
        <f>'Informe Kelly'!E1250</f>
        <v>0</v>
      </c>
      <c r="D1257" s="96">
        <f t="shared" si="38"/>
        <v>591</v>
      </c>
      <c r="E1257" s="85" t="e">
        <f>VLOOKUP(A1257,Ingreso!K:P,6,FALSE)</f>
        <v>#N/A</v>
      </c>
      <c r="F1257" s="85" t="str">
        <f>IF('Informe Kelly'!H1250=$A$2,'Informe Kelly'!F1250,"")</f>
        <v/>
      </c>
      <c r="G1257" s="85" t="str">
        <f>IF('Informe Kelly'!H1250=$A$3,'Informe Kelly'!F1250,"")</f>
        <v/>
      </c>
      <c r="H1257" s="85">
        <f>IF(C1257=C1255,0,IF(D1257=D1256,0,(HLOOKUP(C1257,Ingreso!$AN$10:$AU$260,VLOOKUP(A1257,Ingreso!$AL$11:$AM$260,2,FALSE)))/24))</f>
        <v>0</v>
      </c>
      <c r="I1257" s="77">
        <f t="shared" si="39"/>
        <v>0</v>
      </c>
    </row>
    <row r="1258" spans="1:9">
      <c r="A1258" s="85" t="e">
        <f>VLOOKUP('Informe Kelly'!A1251,Base!A:B,2,FALSE)</f>
        <v>#N/A</v>
      </c>
      <c r="B1258" s="85" t="e">
        <f>VLOOKUP('Informe Kelly'!A1251,Base!A:G,7,FALSE)</f>
        <v>#N/A</v>
      </c>
      <c r="C1258" s="91">
        <f>'Informe Kelly'!E1251</f>
        <v>0</v>
      </c>
      <c r="D1258" s="96">
        <f t="shared" si="38"/>
        <v>591</v>
      </c>
      <c r="E1258" s="85" t="e">
        <f>VLOOKUP(A1258,Ingreso!K:P,6,FALSE)</f>
        <v>#N/A</v>
      </c>
      <c r="F1258" s="85" t="str">
        <f>IF('Informe Kelly'!H1251=$A$2,'Informe Kelly'!F1251,"")</f>
        <v/>
      </c>
      <c r="G1258" s="85" t="str">
        <f>IF('Informe Kelly'!H1251=$A$3,'Informe Kelly'!F1251,"")</f>
        <v/>
      </c>
      <c r="H1258" s="85">
        <f>IF(C1258=C1256,0,IF(D1258=D1257,0,(HLOOKUP(C1258,Ingreso!$AN$10:$AU$260,VLOOKUP(A1258,Ingreso!$AL$11:$AM$260,2,FALSE)))/24))</f>
        <v>0</v>
      </c>
      <c r="I1258" s="77">
        <f t="shared" si="39"/>
        <v>0</v>
      </c>
    </row>
    <row r="1259" spans="1:9">
      <c r="A1259" s="85" t="e">
        <f>VLOOKUP('Informe Kelly'!A1252,Base!A:B,2,FALSE)</f>
        <v>#N/A</v>
      </c>
      <c r="B1259" s="85" t="e">
        <f>VLOOKUP('Informe Kelly'!A1252,Base!A:G,7,FALSE)</f>
        <v>#N/A</v>
      </c>
      <c r="C1259" s="91">
        <f>'Informe Kelly'!E1252</f>
        <v>0</v>
      </c>
      <c r="D1259" s="96">
        <f t="shared" si="38"/>
        <v>591</v>
      </c>
      <c r="E1259" s="85" t="e">
        <f>VLOOKUP(A1259,Ingreso!K:P,6,FALSE)</f>
        <v>#N/A</v>
      </c>
      <c r="F1259" s="85" t="str">
        <f>IF('Informe Kelly'!H1252=$A$2,'Informe Kelly'!F1252,"")</f>
        <v/>
      </c>
      <c r="G1259" s="85" t="str">
        <f>IF('Informe Kelly'!H1252=$A$3,'Informe Kelly'!F1252,"")</f>
        <v/>
      </c>
      <c r="H1259" s="85">
        <f>IF(C1259=C1257,0,IF(D1259=D1258,0,(HLOOKUP(C1259,Ingreso!$AN$10:$AU$260,VLOOKUP(A1259,Ingreso!$AL$11:$AM$260,2,FALSE)))/24))</f>
        <v>0</v>
      </c>
      <c r="I1259" s="77">
        <f t="shared" si="39"/>
        <v>0</v>
      </c>
    </row>
    <row r="1260" spans="1:9">
      <c r="A1260" s="85" t="e">
        <f>VLOOKUP('Informe Kelly'!A1253,Base!A:B,2,FALSE)</f>
        <v>#N/A</v>
      </c>
      <c r="B1260" s="85" t="e">
        <f>VLOOKUP('Informe Kelly'!A1253,Base!A:G,7,FALSE)</f>
        <v>#N/A</v>
      </c>
      <c r="C1260" s="91">
        <f>'Informe Kelly'!E1253</f>
        <v>0</v>
      </c>
      <c r="D1260" s="96">
        <f t="shared" si="38"/>
        <v>591</v>
      </c>
      <c r="E1260" s="85" t="e">
        <f>VLOOKUP(A1260,Ingreso!K:P,6,FALSE)</f>
        <v>#N/A</v>
      </c>
      <c r="F1260" s="85" t="str">
        <f>IF('Informe Kelly'!H1253=$A$2,'Informe Kelly'!F1253,"")</f>
        <v/>
      </c>
      <c r="G1260" s="85" t="str">
        <f>IF('Informe Kelly'!H1253=$A$3,'Informe Kelly'!F1253,"")</f>
        <v/>
      </c>
      <c r="H1260" s="85">
        <f>IF(C1260=C1258,0,IF(D1260=D1259,0,(HLOOKUP(C1260,Ingreso!$AN$10:$AU$260,VLOOKUP(A1260,Ingreso!$AL$11:$AM$260,2,FALSE)))/24))</f>
        <v>0</v>
      </c>
      <c r="I1260" s="77">
        <f t="shared" si="39"/>
        <v>0</v>
      </c>
    </row>
    <row r="1261" spans="1:9">
      <c r="A1261" s="85" t="e">
        <f>VLOOKUP('Informe Kelly'!A1254,Base!A:B,2,FALSE)</f>
        <v>#N/A</v>
      </c>
      <c r="B1261" s="85" t="e">
        <f>VLOOKUP('Informe Kelly'!A1254,Base!A:G,7,FALSE)</f>
        <v>#N/A</v>
      </c>
      <c r="C1261" s="91">
        <f>'Informe Kelly'!E1254</f>
        <v>0</v>
      </c>
      <c r="D1261" s="96">
        <f t="shared" si="38"/>
        <v>591</v>
      </c>
      <c r="E1261" s="85" t="e">
        <f>VLOOKUP(A1261,Ingreso!K:P,6,FALSE)</f>
        <v>#N/A</v>
      </c>
      <c r="F1261" s="85" t="str">
        <f>IF('Informe Kelly'!H1254=$A$2,'Informe Kelly'!F1254,"")</f>
        <v/>
      </c>
      <c r="G1261" s="85" t="str">
        <f>IF('Informe Kelly'!H1254=$A$3,'Informe Kelly'!F1254,"")</f>
        <v/>
      </c>
      <c r="H1261" s="85">
        <f>IF(C1261=C1259,0,IF(D1261=D1260,0,(HLOOKUP(C1261,Ingreso!$AN$10:$AU$260,VLOOKUP(A1261,Ingreso!$AL$11:$AM$260,2,FALSE)))/24))</f>
        <v>0</v>
      </c>
      <c r="I1261" s="77">
        <f t="shared" si="39"/>
        <v>0</v>
      </c>
    </row>
    <row r="1262" spans="1:9">
      <c r="A1262" s="85" t="e">
        <f>VLOOKUP('Informe Kelly'!A1255,Base!A:B,2,FALSE)</f>
        <v>#N/A</v>
      </c>
      <c r="B1262" s="85" t="e">
        <f>VLOOKUP('Informe Kelly'!A1255,Base!A:G,7,FALSE)</f>
        <v>#N/A</v>
      </c>
      <c r="C1262" s="91">
        <f>'Informe Kelly'!E1255</f>
        <v>0</v>
      </c>
      <c r="D1262" s="96">
        <f t="shared" si="38"/>
        <v>591</v>
      </c>
      <c r="E1262" s="85" t="e">
        <f>VLOOKUP(A1262,Ingreso!K:P,6,FALSE)</f>
        <v>#N/A</v>
      </c>
      <c r="F1262" s="85" t="str">
        <f>IF('Informe Kelly'!H1255=$A$2,'Informe Kelly'!F1255,"")</f>
        <v/>
      </c>
      <c r="G1262" s="85" t="str">
        <f>IF('Informe Kelly'!H1255=$A$3,'Informe Kelly'!F1255,"")</f>
        <v/>
      </c>
      <c r="H1262" s="85">
        <f>IF(C1262=C1260,0,IF(D1262=D1261,0,(HLOOKUP(C1262,Ingreso!$AN$10:$AU$260,VLOOKUP(A1262,Ingreso!$AL$11:$AM$260,2,FALSE)))/24))</f>
        <v>0</v>
      </c>
      <c r="I1262" s="77">
        <f t="shared" si="39"/>
        <v>0</v>
      </c>
    </row>
    <row r="1263" spans="1:9">
      <c r="A1263" s="85" t="e">
        <f>VLOOKUP('Informe Kelly'!A1256,Base!A:B,2,FALSE)</f>
        <v>#N/A</v>
      </c>
      <c r="B1263" s="85" t="e">
        <f>VLOOKUP('Informe Kelly'!A1256,Base!A:G,7,FALSE)</f>
        <v>#N/A</v>
      </c>
      <c r="C1263" s="91">
        <f>'Informe Kelly'!E1256</f>
        <v>0</v>
      </c>
      <c r="D1263" s="96">
        <f t="shared" si="38"/>
        <v>591</v>
      </c>
      <c r="E1263" s="85" t="e">
        <f>VLOOKUP(A1263,Ingreso!K:P,6,FALSE)</f>
        <v>#N/A</v>
      </c>
      <c r="F1263" s="85" t="str">
        <f>IF('Informe Kelly'!H1256=$A$2,'Informe Kelly'!F1256,"")</f>
        <v/>
      </c>
      <c r="G1263" s="85" t="str">
        <f>IF('Informe Kelly'!H1256=$A$3,'Informe Kelly'!F1256,"")</f>
        <v/>
      </c>
      <c r="H1263" s="85">
        <f>IF(C1263=C1261,0,IF(D1263=D1262,0,(HLOOKUP(C1263,Ingreso!$AN$10:$AU$260,VLOOKUP(A1263,Ingreso!$AL$11:$AM$260,2,FALSE)))/24))</f>
        <v>0</v>
      </c>
      <c r="I1263" s="77">
        <f t="shared" si="39"/>
        <v>0</v>
      </c>
    </row>
    <row r="1264" spans="1:9">
      <c r="A1264" s="85" t="e">
        <f>VLOOKUP('Informe Kelly'!A1257,Base!A:B,2,FALSE)</f>
        <v>#N/A</v>
      </c>
      <c r="B1264" s="85" t="e">
        <f>VLOOKUP('Informe Kelly'!A1257,Base!A:G,7,FALSE)</f>
        <v>#N/A</v>
      </c>
      <c r="C1264" s="91">
        <f>'Informe Kelly'!E1257</f>
        <v>0</v>
      </c>
      <c r="D1264" s="96">
        <f t="shared" si="38"/>
        <v>591</v>
      </c>
      <c r="E1264" s="85" t="e">
        <f>VLOOKUP(A1264,Ingreso!K:P,6,FALSE)</f>
        <v>#N/A</v>
      </c>
      <c r="F1264" s="85" t="str">
        <f>IF('Informe Kelly'!H1257=$A$2,'Informe Kelly'!F1257,"")</f>
        <v/>
      </c>
      <c r="G1264" s="85" t="str">
        <f>IF('Informe Kelly'!H1257=$A$3,'Informe Kelly'!F1257,"")</f>
        <v/>
      </c>
      <c r="H1264" s="85">
        <f>IF(C1264=C1262,0,IF(D1264=D1263,0,(HLOOKUP(C1264,Ingreso!$AN$10:$AU$260,VLOOKUP(A1264,Ingreso!$AL$11:$AM$260,2,FALSE)))/24))</f>
        <v>0</v>
      </c>
      <c r="I1264" s="77">
        <f t="shared" si="39"/>
        <v>0</v>
      </c>
    </row>
    <row r="1265" spans="1:9">
      <c r="A1265" s="85" t="e">
        <f>VLOOKUP('Informe Kelly'!A1258,Base!A:B,2,FALSE)</f>
        <v>#N/A</v>
      </c>
      <c r="B1265" s="85" t="e">
        <f>VLOOKUP('Informe Kelly'!A1258,Base!A:G,7,FALSE)</f>
        <v>#N/A</v>
      </c>
      <c r="C1265" s="91">
        <f>'Informe Kelly'!E1258</f>
        <v>0</v>
      </c>
      <c r="D1265" s="96">
        <f t="shared" si="38"/>
        <v>591</v>
      </c>
      <c r="E1265" s="85" t="e">
        <f>VLOOKUP(A1265,Ingreso!K:P,6,FALSE)</f>
        <v>#N/A</v>
      </c>
      <c r="F1265" s="85" t="str">
        <f>IF('Informe Kelly'!H1258=$A$2,'Informe Kelly'!F1258,"")</f>
        <v/>
      </c>
      <c r="G1265" s="85" t="str">
        <f>IF('Informe Kelly'!H1258=$A$3,'Informe Kelly'!F1258,"")</f>
        <v/>
      </c>
      <c r="H1265" s="85">
        <f>IF(C1265=C1263,0,IF(D1265=D1264,0,(HLOOKUP(C1265,Ingreso!$AN$10:$AU$260,VLOOKUP(A1265,Ingreso!$AL$11:$AM$260,2,FALSE)))/24))</f>
        <v>0</v>
      </c>
      <c r="I1265" s="77">
        <f t="shared" si="39"/>
        <v>0</v>
      </c>
    </row>
    <row r="1266" spans="1:9">
      <c r="A1266" s="85" t="e">
        <f>VLOOKUP('Informe Kelly'!A1259,Base!A:B,2,FALSE)</f>
        <v>#N/A</v>
      </c>
      <c r="B1266" s="85" t="e">
        <f>VLOOKUP('Informe Kelly'!A1259,Base!A:G,7,FALSE)</f>
        <v>#N/A</v>
      </c>
      <c r="C1266" s="91">
        <f>'Informe Kelly'!E1259</f>
        <v>0</v>
      </c>
      <c r="D1266" s="96">
        <f t="shared" si="38"/>
        <v>591</v>
      </c>
      <c r="E1266" s="85" t="e">
        <f>VLOOKUP(A1266,Ingreso!K:P,6,FALSE)</f>
        <v>#N/A</v>
      </c>
      <c r="F1266" s="85" t="str">
        <f>IF('Informe Kelly'!H1259=$A$2,'Informe Kelly'!F1259,"")</f>
        <v/>
      </c>
      <c r="G1266" s="85" t="str">
        <f>IF('Informe Kelly'!H1259=$A$3,'Informe Kelly'!F1259,"")</f>
        <v/>
      </c>
      <c r="H1266" s="85">
        <f>IF(C1266=C1264,0,IF(D1266=D1265,0,(HLOOKUP(C1266,Ingreso!$AN$10:$AU$260,VLOOKUP(A1266,Ingreso!$AL$11:$AM$260,2,FALSE)))/24))</f>
        <v>0</v>
      </c>
      <c r="I1266" s="77">
        <f t="shared" si="39"/>
        <v>0</v>
      </c>
    </row>
    <row r="1267" spans="1:9">
      <c r="A1267" s="85" t="e">
        <f>VLOOKUP('Informe Kelly'!A1260,Base!A:B,2,FALSE)</f>
        <v>#N/A</v>
      </c>
      <c r="B1267" s="85" t="e">
        <f>VLOOKUP('Informe Kelly'!A1260,Base!A:G,7,FALSE)</f>
        <v>#N/A</v>
      </c>
      <c r="C1267" s="91">
        <f>'Informe Kelly'!E1260</f>
        <v>0</v>
      </c>
      <c r="D1267" s="96">
        <f t="shared" si="38"/>
        <v>591</v>
      </c>
      <c r="E1267" s="85" t="e">
        <f>VLOOKUP(A1267,Ingreso!K:P,6,FALSE)</f>
        <v>#N/A</v>
      </c>
      <c r="F1267" s="85" t="str">
        <f>IF('Informe Kelly'!H1260=$A$2,'Informe Kelly'!F1260,"")</f>
        <v/>
      </c>
      <c r="G1267" s="85" t="str">
        <f>IF('Informe Kelly'!H1260=$A$3,'Informe Kelly'!F1260,"")</f>
        <v/>
      </c>
      <c r="H1267" s="85">
        <f>IF(C1267=C1265,0,IF(D1267=D1266,0,(HLOOKUP(C1267,Ingreso!$AN$10:$AU$260,VLOOKUP(A1267,Ingreso!$AL$11:$AM$260,2,FALSE)))/24))</f>
        <v>0</v>
      </c>
      <c r="I1267" s="77">
        <f t="shared" si="39"/>
        <v>0</v>
      </c>
    </row>
    <row r="1268" spans="1:9">
      <c r="A1268" s="85" t="e">
        <f>VLOOKUP('Informe Kelly'!A1261,Base!A:B,2,FALSE)</f>
        <v>#N/A</v>
      </c>
      <c r="B1268" s="85" t="e">
        <f>VLOOKUP('Informe Kelly'!A1261,Base!A:G,7,FALSE)</f>
        <v>#N/A</v>
      </c>
      <c r="C1268" s="91">
        <f>'Informe Kelly'!E1261</f>
        <v>0</v>
      </c>
      <c r="D1268" s="96">
        <f t="shared" si="38"/>
        <v>591</v>
      </c>
      <c r="E1268" s="85" t="e">
        <f>VLOOKUP(A1268,Ingreso!K:P,6,FALSE)</f>
        <v>#N/A</v>
      </c>
      <c r="F1268" s="85" t="str">
        <f>IF('Informe Kelly'!H1261=$A$2,'Informe Kelly'!F1261,"")</f>
        <v/>
      </c>
      <c r="G1268" s="85" t="str">
        <f>IF('Informe Kelly'!H1261=$A$3,'Informe Kelly'!F1261,"")</f>
        <v/>
      </c>
      <c r="H1268" s="85">
        <f>IF(C1268=C1266,0,IF(D1268=D1267,0,(HLOOKUP(C1268,Ingreso!$AN$10:$AU$260,VLOOKUP(A1268,Ingreso!$AL$11:$AM$260,2,FALSE)))/24))</f>
        <v>0</v>
      </c>
      <c r="I1268" s="77">
        <f t="shared" si="39"/>
        <v>0</v>
      </c>
    </row>
    <row r="1269" spans="1:9">
      <c r="A1269" s="85" t="e">
        <f>VLOOKUP('Informe Kelly'!A1262,Base!A:B,2,FALSE)</f>
        <v>#N/A</v>
      </c>
      <c r="B1269" s="85" t="e">
        <f>VLOOKUP('Informe Kelly'!A1262,Base!A:G,7,FALSE)</f>
        <v>#N/A</v>
      </c>
      <c r="C1269" s="91">
        <f>'Informe Kelly'!E1262</f>
        <v>0</v>
      </c>
      <c r="D1269" s="96">
        <f t="shared" si="38"/>
        <v>591</v>
      </c>
      <c r="E1269" s="85" t="e">
        <f>VLOOKUP(A1269,Ingreso!K:P,6,FALSE)</f>
        <v>#N/A</v>
      </c>
      <c r="F1269" s="85" t="str">
        <f>IF('Informe Kelly'!H1262=$A$2,'Informe Kelly'!F1262,"")</f>
        <v/>
      </c>
      <c r="G1269" s="85" t="str">
        <f>IF('Informe Kelly'!H1262=$A$3,'Informe Kelly'!F1262,"")</f>
        <v/>
      </c>
      <c r="H1269" s="85">
        <f>IF(C1269=C1267,0,IF(D1269=D1268,0,(HLOOKUP(C1269,Ingreso!$AN$10:$AU$260,VLOOKUP(A1269,Ingreso!$AL$11:$AM$260,2,FALSE)))/24))</f>
        <v>0</v>
      </c>
      <c r="I1269" s="77">
        <f t="shared" si="39"/>
        <v>0</v>
      </c>
    </row>
    <row r="1270" spans="1:9">
      <c r="A1270" s="85" t="e">
        <f>VLOOKUP('Informe Kelly'!A1263,Base!A:B,2,FALSE)</f>
        <v>#N/A</v>
      </c>
      <c r="B1270" s="85" t="e">
        <f>VLOOKUP('Informe Kelly'!A1263,Base!A:G,7,FALSE)</f>
        <v>#N/A</v>
      </c>
      <c r="C1270" s="91">
        <f>'Informe Kelly'!E1263</f>
        <v>0</v>
      </c>
      <c r="D1270" s="96">
        <f t="shared" si="38"/>
        <v>591</v>
      </c>
      <c r="E1270" s="85" t="e">
        <f>VLOOKUP(A1270,Ingreso!K:P,6,FALSE)</f>
        <v>#N/A</v>
      </c>
      <c r="F1270" s="85" t="str">
        <f>IF('Informe Kelly'!H1263=$A$2,'Informe Kelly'!F1263,"")</f>
        <v/>
      </c>
      <c r="G1270" s="85" t="str">
        <f>IF('Informe Kelly'!H1263=$A$3,'Informe Kelly'!F1263,"")</f>
        <v/>
      </c>
      <c r="H1270" s="85">
        <f>IF(C1270=C1268,0,IF(D1270=D1269,0,(HLOOKUP(C1270,Ingreso!$AN$10:$AU$260,VLOOKUP(A1270,Ingreso!$AL$11:$AM$260,2,FALSE)))/24))</f>
        <v>0</v>
      </c>
      <c r="I1270" s="77">
        <f t="shared" si="39"/>
        <v>0</v>
      </c>
    </row>
    <row r="1271" spans="1:9">
      <c r="A1271" s="85" t="e">
        <f>VLOOKUP('Informe Kelly'!A1264,Base!A:B,2,FALSE)</f>
        <v>#N/A</v>
      </c>
      <c r="B1271" s="85" t="e">
        <f>VLOOKUP('Informe Kelly'!A1264,Base!A:G,7,FALSE)</f>
        <v>#N/A</v>
      </c>
      <c r="C1271" s="91">
        <f>'Informe Kelly'!E1264</f>
        <v>0</v>
      </c>
      <c r="D1271" s="96">
        <f t="shared" si="38"/>
        <v>591</v>
      </c>
      <c r="E1271" s="85" t="e">
        <f>VLOOKUP(A1271,Ingreso!K:P,6,FALSE)</f>
        <v>#N/A</v>
      </c>
      <c r="F1271" s="85" t="str">
        <f>IF('Informe Kelly'!H1264=$A$2,'Informe Kelly'!F1264,"")</f>
        <v/>
      </c>
      <c r="G1271" s="85" t="str">
        <f>IF('Informe Kelly'!H1264=$A$3,'Informe Kelly'!F1264,"")</f>
        <v/>
      </c>
      <c r="H1271" s="85">
        <f>IF(C1271=C1269,0,IF(D1271=D1270,0,(HLOOKUP(C1271,Ingreso!$AN$10:$AU$260,VLOOKUP(A1271,Ingreso!$AL$11:$AM$260,2,FALSE)))/24))</f>
        <v>0</v>
      </c>
      <c r="I1271" s="77">
        <f t="shared" si="39"/>
        <v>0</v>
      </c>
    </row>
    <row r="1272" spans="1:9">
      <c r="A1272" s="85" t="e">
        <f>VLOOKUP('Informe Kelly'!A1265,Base!A:B,2,FALSE)</f>
        <v>#N/A</v>
      </c>
      <c r="B1272" s="85" t="e">
        <f>VLOOKUP('Informe Kelly'!A1265,Base!A:G,7,FALSE)</f>
        <v>#N/A</v>
      </c>
      <c r="C1272" s="91">
        <f>'Informe Kelly'!E1265</f>
        <v>0</v>
      </c>
      <c r="D1272" s="96">
        <f t="shared" si="38"/>
        <v>591</v>
      </c>
      <c r="E1272" s="85" t="e">
        <f>VLOOKUP(A1272,Ingreso!K:P,6,FALSE)</f>
        <v>#N/A</v>
      </c>
      <c r="F1272" s="85" t="str">
        <f>IF('Informe Kelly'!H1265=$A$2,'Informe Kelly'!F1265,"")</f>
        <v/>
      </c>
      <c r="G1272" s="85" t="str">
        <f>IF('Informe Kelly'!H1265=$A$3,'Informe Kelly'!F1265,"")</f>
        <v/>
      </c>
      <c r="H1272" s="85">
        <f>IF(C1272=C1270,0,IF(D1272=D1271,0,(HLOOKUP(C1272,Ingreso!$AN$10:$AU$260,VLOOKUP(A1272,Ingreso!$AL$11:$AM$260,2,FALSE)))/24))</f>
        <v>0</v>
      </c>
      <c r="I1272" s="77">
        <f t="shared" si="39"/>
        <v>0</v>
      </c>
    </row>
    <row r="1273" spans="1:9">
      <c r="A1273" s="85" t="e">
        <f>VLOOKUP('Informe Kelly'!A1266,Base!A:B,2,FALSE)</f>
        <v>#N/A</v>
      </c>
      <c r="B1273" s="85" t="e">
        <f>VLOOKUP('Informe Kelly'!A1266,Base!A:G,7,FALSE)</f>
        <v>#N/A</v>
      </c>
      <c r="C1273" s="91">
        <f>'Informe Kelly'!E1266</f>
        <v>0</v>
      </c>
      <c r="D1273" s="96">
        <f t="shared" si="38"/>
        <v>591</v>
      </c>
      <c r="E1273" s="85" t="e">
        <f>VLOOKUP(A1273,Ingreso!K:P,6,FALSE)</f>
        <v>#N/A</v>
      </c>
      <c r="F1273" s="85" t="str">
        <f>IF('Informe Kelly'!H1266=$A$2,'Informe Kelly'!F1266,"")</f>
        <v/>
      </c>
      <c r="G1273" s="85" t="str">
        <f>IF('Informe Kelly'!H1266=$A$3,'Informe Kelly'!F1266,"")</f>
        <v/>
      </c>
      <c r="H1273" s="85">
        <f>IF(C1273=C1271,0,IF(D1273=D1272,0,(HLOOKUP(C1273,Ingreso!$AN$10:$AU$260,VLOOKUP(A1273,Ingreso!$AL$11:$AM$260,2,FALSE)))/24))</f>
        <v>0</v>
      </c>
      <c r="I1273" s="77">
        <f t="shared" si="39"/>
        <v>0</v>
      </c>
    </row>
    <row r="1274" spans="1:9">
      <c r="A1274" s="85" t="e">
        <f>VLOOKUP('Informe Kelly'!A1267,Base!A:B,2,FALSE)</f>
        <v>#N/A</v>
      </c>
      <c r="B1274" s="85" t="e">
        <f>VLOOKUP('Informe Kelly'!A1267,Base!A:G,7,FALSE)</f>
        <v>#N/A</v>
      </c>
      <c r="C1274" s="91">
        <f>'Informe Kelly'!E1267</f>
        <v>0</v>
      </c>
      <c r="D1274" s="96">
        <f t="shared" si="38"/>
        <v>591</v>
      </c>
      <c r="E1274" s="85" t="e">
        <f>VLOOKUP(A1274,Ingreso!K:P,6,FALSE)</f>
        <v>#N/A</v>
      </c>
      <c r="F1274" s="85" t="str">
        <f>IF('Informe Kelly'!H1267=$A$2,'Informe Kelly'!F1267,"")</f>
        <v/>
      </c>
      <c r="G1274" s="85" t="str">
        <f>IF('Informe Kelly'!H1267=$A$3,'Informe Kelly'!F1267,"")</f>
        <v/>
      </c>
      <c r="H1274" s="85">
        <f>IF(C1274=C1272,0,IF(D1274=D1273,0,(HLOOKUP(C1274,Ingreso!$AN$10:$AU$260,VLOOKUP(A1274,Ingreso!$AL$11:$AM$260,2,FALSE)))/24))</f>
        <v>0</v>
      </c>
      <c r="I1274" s="77">
        <f t="shared" si="39"/>
        <v>0</v>
      </c>
    </row>
    <row r="1275" spans="1:9">
      <c r="A1275" s="85" t="e">
        <f>VLOOKUP('Informe Kelly'!A1268,Base!A:B,2,FALSE)</f>
        <v>#N/A</v>
      </c>
      <c r="B1275" s="85" t="e">
        <f>VLOOKUP('Informe Kelly'!A1268,Base!A:G,7,FALSE)</f>
        <v>#N/A</v>
      </c>
      <c r="C1275" s="91">
        <f>'Informe Kelly'!E1268</f>
        <v>0</v>
      </c>
      <c r="D1275" s="96">
        <f t="shared" si="38"/>
        <v>591</v>
      </c>
      <c r="E1275" s="85" t="e">
        <f>VLOOKUP(A1275,Ingreso!K:P,6,FALSE)</f>
        <v>#N/A</v>
      </c>
      <c r="F1275" s="85" t="str">
        <f>IF('Informe Kelly'!H1268=$A$2,'Informe Kelly'!F1268,"")</f>
        <v/>
      </c>
      <c r="G1275" s="85" t="str">
        <f>IF('Informe Kelly'!H1268=$A$3,'Informe Kelly'!F1268,"")</f>
        <v/>
      </c>
      <c r="H1275" s="85">
        <f>IF(C1275=C1273,0,IF(D1275=D1274,0,(HLOOKUP(C1275,Ingreso!$AN$10:$AU$260,VLOOKUP(A1275,Ingreso!$AL$11:$AM$260,2,FALSE)))/24))</f>
        <v>0</v>
      </c>
      <c r="I1275" s="77">
        <f t="shared" si="39"/>
        <v>0</v>
      </c>
    </row>
    <row r="1276" spans="1:9">
      <c r="A1276" s="85" t="e">
        <f>VLOOKUP('Informe Kelly'!A1269,Base!A:B,2,FALSE)</f>
        <v>#N/A</v>
      </c>
      <c r="B1276" s="85" t="e">
        <f>VLOOKUP('Informe Kelly'!A1269,Base!A:G,7,FALSE)</f>
        <v>#N/A</v>
      </c>
      <c r="C1276" s="91">
        <f>'Informe Kelly'!E1269</f>
        <v>0</v>
      </c>
      <c r="D1276" s="96">
        <f t="shared" si="38"/>
        <v>591</v>
      </c>
      <c r="E1276" s="85" t="e">
        <f>VLOOKUP(A1276,Ingreso!K:P,6,FALSE)</f>
        <v>#N/A</v>
      </c>
      <c r="F1276" s="85" t="str">
        <f>IF('Informe Kelly'!H1269=$A$2,'Informe Kelly'!F1269,"")</f>
        <v/>
      </c>
      <c r="G1276" s="85" t="str">
        <f>IF('Informe Kelly'!H1269=$A$3,'Informe Kelly'!F1269,"")</f>
        <v/>
      </c>
      <c r="H1276" s="85">
        <f>IF(C1276=C1274,0,IF(D1276=D1275,0,(HLOOKUP(C1276,Ingreso!$AN$10:$AU$260,VLOOKUP(A1276,Ingreso!$AL$11:$AM$260,2,FALSE)))/24))</f>
        <v>0</v>
      </c>
      <c r="I1276" s="77">
        <f t="shared" si="39"/>
        <v>0</v>
      </c>
    </row>
    <row r="1277" spans="1:9">
      <c r="A1277" s="85" t="e">
        <f>VLOOKUP('Informe Kelly'!A1270,Base!A:B,2,FALSE)</f>
        <v>#N/A</v>
      </c>
      <c r="B1277" s="85" t="e">
        <f>VLOOKUP('Informe Kelly'!A1270,Base!A:G,7,FALSE)</f>
        <v>#N/A</v>
      </c>
      <c r="C1277" s="91">
        <f>'Informe Kelly'!E1270</f>
        <v>0</v>
      </c>
      <c r="D1277" s="96">
        <f t="shared" si="38"/>
        <v>591</v>
      </c>
      <c r="E1277" s="85" t="e">
        <f>VLOOKUP(A1277,Ingreso!K:P,6,FALSE)</f>
        <v>#N/A</v>
      </c>
      <c r="F1277" s="85" t="str">
        <f>IF('Informe Kelly'!H1270=$A$2,'Informe Kelly'!F1270,"")</f>
        <v/>
      </c>
      <c r="G1277" s="85" t="str">
        <f>IF('Informe Kelly'!H1270=$A$3,'Informe Kelly'!F1270,"")</f>
        <v/>
      </c>
      <c r="H1277" s="85">
        <f>IF(C1277=C1275,0,IF(D1277=D1276,0,(HLOOKUP(C1277,Ingreso!$AN$10:$AU$260,VLOOKUP(A1277,Ingreso!$AL$11:$AM$260,2,FALSE)))/24))</f>
        <v>0</v>
      </c>
      <c r="I1277" s="77">
        <f t="shared" si="39"/>
        <v>0</v>
      </c>
    </row>
    <row r="1278" spans="1:9">
      <c r="A1278" s="85" t="e">
        <f>VLOOKUP('Informe Kelly'!A1271,Base!A:B,2,FALSE)</f>
        <v>#N/A</v>
      </c>
      <c r="B1278" s="85" t="e">
        <f>VLOOKUP('Informe Kelly'!A1271,Base!A:G,7,FALSE)</f>
        <v>#N/A</v>
      </c>
      <c r="C1278" s="91">
        <f>'Informe Kelly'!E1271</f>
        <v>0</v>
      </c>
      <c r="D1278" s="96">
        <f t="shared" si="38"/>
        <v>591</v>
      </c>
      <c r="E1278" s="85" t="e">
        <f>VLOOKUP(A1278,Ingreso!K:P,6,FALSE)</f>
        <v>#N/A</v>
      </c>
      <c r="F1278" s="85" t="str">
        <f>IF('Informe Kelly'!H1271=$A$2,'Informe Kelly'!F1271,"")</f>
        <v/>
      </c>
      <c r="G1278" s="85" t="str">
        <f>IF('Informe Kelly'!H1271=$A$3,'Informe Kelly'!F1271,"")</f>
        <v/>
      </c>
      <c r="H1278" s="85">
        <f>IF(C1278=C1276,0,IF(D1278=D1277,0,(HLOOKUP(C1278,Ingreso!$AN$10:$AU$260,VLOOKUP(A1278,Ingreso!$AL$11:$AM$260,2,FALSE)))/24))</f>
        <v>0</v>
      </c>
      <c r="I1278" s="77">
        <f t="shared" si="39"/>
        <v>0</v>
      </c>
    </row>
    <row r="1279" spans="1:9">
      <c r="A1279" s="85" t="e">
        <f>VLOOKUP('Informe Kelly'!A1272,Base!A:B,2,FALSE)</f>
        <v>#N/A</v>
      </c>
      <c r="B1279" s="85" t="e">
        <f>VLOOKUP('Informe Kelly'!A1272,Base!A:G,7,FALSE)</f>
        <v>#N/A</v>
      </c>
      <c r="C1279" s="91">
        <f>'Informe Kelly'!E1272</f>
        <v>0</v>
      </c>
      <c r="D1279" s="96">
        <f t="shared" si="38"/>
        <v>591</v>
      </c>
      <c r="E1279" s="85" t="e">
        <f>VLOOKUP(A1279,Ingreso!K:P,6,FALSE)</f>
        <v>#N/A</v>
      </c>
      <c r="F1279" s="85" t="str">
        <f>IF('Informe Kelly'!H1272=$A$2,'Informe Kelly'!F1272,"")</f>
        <v/>
      </c>
      <c r="G1279" s="85" t="str">
        <f>IF('Informe Kelly'!H1272=$A$3,'Informe Kelly'!F1272,"")</f>
        <v/>
      </c>
      <c r="H1279" s="85">
        <f>IF(C1279=C1277,0,IF(D1279=D1278,0,(HLOOKUP(C1279,Ingreso!$AN$10:$AU$260,VLOOKUP(A1279,Ingreso!$AL$11:$AM$260,2,FALSE)))/24))</f>
        <v>0</v>
      </c>
      <c r="I1279" s="77">
        <f t="shared" si="39"/>
        <v>0</v>
      </c>
    </row>
    <row r="1280" spans="1:9">
      <c r="A1280" s="85" t="e">
        <f>VLOOKUP('Informe Kelly'!A1273,Base!A:B,2,FALSE)</f>
        <v>#N/A</v>
      </c>
      <c r="B1280" s="85" t="e">
        <f>VLOOKUP('Informe Kelly'!A1273,Base!A:G,7,FALSE)</f>
        <v>#N/A</v>
      </c>
      <c r="C1280" s="91">
        <f>'Informe Kelly'!E1273</f>
        <v>0</v>
      </c>
      <c r="D1280" s="96">
        <f t="shared" si="38"/>
        <v>591</v>
      </c>
      <c r="E1280" s="85" t="e">
        <f>VLOOKUP(A1280,Ingreso!K:P,6,FALSE)</f>
        <v>#N/A</v>
      </c>
      <c r="F1280" s="85" t="str">
        <f>IF('Informe Kelly'!H1273=$A$2,'Informe Kelly'!F1273,"")</f>
        <v/>
      </c>
      <c r="G1280" s="85" t="str">
        <f>IF('Informe Kelly'!H1273=$A$3,'Informe Kelly'!F1273,"")</f>
        <v/>
      </c>
      <c r="H1280" s="85">
        <f>IF(C1280=C1278,0,IF(D1280=D1279,0,(HLOOKUP(C1280,Ingreso!$AN$10:$AU$260,VLOOKUP(A1280,Ingreso!$AL$11:$AM$260,2,FALSE)))/24))</f>
        <v>0</v>
      </c>
      <c r="I1280" s="77">
        <f t="shared" si="39"/>
        <v>0</v>
      </c>
    </row>
    <row r="1281" spans="1:9">
      <c r="A1281" s="85" t="e">
        <f>VLOOKUP('Informe Kelly'!A1274,Base!A:B,2,FALSE)</f>
        <v>#N/A</v>
      </c>
      <c r="B1281" s="85" t="e">
        <f>VLOOKUP('Informe Kelly'!A1274,Base!A:G,7,FALSE)</f>
        <v>#N/A</v>
      </c>
      <c r="C1281" s="91">
        <f>'Informe Kelly'!E1274</f>
        <v>0</v>
      </c>
      <c r="D1281" s="96">
        <f t="shared" si="38"/>
        <v>591</v>
      </c>
      <c r="E1281" s="85" t="e">
        <f>VLOOKUP(A1281,Ingreso!K:P,6,FALSE)</f>
        <v>#N/A</v>
      </c>
      <c r="F1281" s="85" t="str">
        <f>IF('Informe Kelly'!H1274=$A$2,'Informe Kelly'!F1274,"")</f>
        <v/>
      </c>
      <c r="G1281" s="85" t="str">
        <f>IF('Informe Kelly'!H1274=$A$3,'Informe Kelly'!F1274,"")</f>
        <v/>
      </c>
      <c r="H1281" s="85">
        <f>IF(C1281=C1279,0,IF(D1281=D1280,0,(HLOOKUP(C1281,Ingreso!$AN$10:$AU$260,VLOOKUP(A1281,Ingreso!$AL$11:$AM$260,2,FALSE)))/24))</f>
        <v>0</v>
      </c>
      <c r="I1281" s="77">
        <f t="shared" si="39"/>
        <v>0</v>
      </c>
    </row>
    <row r="1282" spans="1:9">
      <c r="A1282" s="85" t="e">
        <f>VLOOKUP('Informe Kelly'!A1275,Base!A:B,2,FALSE)</f>
        <v>#N/A</v>
      </c>
      <c r="B1282" s="85" t="e">
        <f>VLOOKUP('Informe Kelly'!A1275,Base!A:G,7,FALSE)</f>
        <v>#N/A</v>
      </c>
      <c r="C1282" s="91">
        <f>'Informe Kelly'!E1275</f>
        <v>0</v>
      </c>
      <c r="D1282" s="96">
        <f t="shared" si="38"/>
        <v>591</v>
      </c>
      <c r="E1282" s="85" t="e">
        <f>VLOOKUP(A1282,Ingreso!K:P,6,FALSE)</f>
        <v>#N/A</v>
      </c>
      <c r="F1282" s="85" t="str">
        <f>IF('Informe Kelly'!H1275=$A$2,'Informe Kelly'!F1275,"")</f>
        <v/>
      </c>
      <c r="G1282" s="85" t="str">
        <f>IF('Informe Kelly'!H1275=$A$3,'Informe Kelly'!F1275,"")</f>
        <v/>
      </c>
      <c r="H1282" s="85">
        <f>IF(C1282=C1280,0,IF(D1282=D1281,0,(HLOOKUP(C1282,Ingreso!$AN$10:$AU$260,VLOOKUP(A1282,Ingreso!$AL$11:$AM$260,2,FALSE)))/24))</f>
        <v>0</v>
      </c>
      <c r="I1282" s="77">
        <f t="shared" si="39"/>
        <v>0</v>
      </c>
    </row>
    <row r="1283" spans="1:9">
      <c r="A1283" s="85" t="e">
        <f>VLOOKUP('Informe Kelly'!A1276,Base!A:B,2,FALSE)</f>
        <v>#N/A</v>
      </c>
      <c r="B1283" s="85" t="e">
        <f>VLOOKUP('Informe Kelly'!A1276,Base!A:G,7,FALSE)</f>
        <v>#N/A</v>
      </c>
      <c r="C1283" s="91">
        <f>'Informe Kelly'!E1276</f>
        <v>0</v>
      </c>
      <c r="D1283" s="96">
        <f t="shared" si="38"/>
        <v>591</v>
      </c>
      <c r="E1283" s="85" t="e">
        <f>VLOOKUP(A1283,Ingreso!K:P,6,FALSE)</f>
        <v>#N/A</v>
      </c>
      <c r="F1283" s="85" t="str">
        <f>IF('Informe Kelly'!H1276=$A$2,'Informe Kelly'!F1276,"")</f>
        <v/>
      </c>
      <c r="G1283" s="85" t="str">
        <f>IF('Informe Kelly'!H1276=$A$3,'Informe Kelly'!F1276,"")</f>
        <v/>
      </c>
      <c r="H1283" s="85">
        <f>IF(C1283=C1281,0,IF(D1283=D1282,0,(HLOOKUP(C1283,Ingreso!$AN$10:$AU$260,VLOOKUP(A1283,Ingreso!$AL$11:$AM$260,2,FALSE)))/24))</f>
        <v>0</v>
      </c>
      <c r="I1283" s="77">
        <f t="shared" si="39"/>
        <v>0</v>
      </c>
    </row>
    <row r="1284" spans="1:9">
      <c r="A1284" s="85" t="e">
        <f>VLOOKUP('Informe Kelly'!A1277,Base!A:B,2,FALSE)</f>
        <v>#N/A</v>
      </c>
      <c r="B1284" s="85" t="e">
        <f>VLOOKUP('Informe Kelly'!A1277,Base!A:G,7,FALSE)</f>
        <v>#N/A</v>
      </c>
      <c r="C1284" s="91">
        <f>'Informe Kelly'!E1277</f>
        <v>0</v>
      </c>
      <c r="D1284" s="96">
        <f t="shared" si="38"/>
        <v>591</v>
      </c>
      <c r="E1284" s="85" t="e">
        <f>VLOOKUP(A1284,Ingreso!K:P,6,FALSE)</f>
        <v>#N/A</v>
      </c>
      <c r="F1284" s="85" t="str">
        <f>IF('Informe Kelly'!H1277=$A$2,'Informe Kelly'!F1277,"")</f>
        <v/>
      </c>
      <c r="G1284" s="85" t="str">
        <f>IF('Informe Kelly'!H1277=$A$3,'Informe Kelly'!F1277,"")</f>
        <v/>
      </c>
      <c r="H1284" s="85">
        <f>IF(C1284=C1282,0,IF(D1284=D1283,0,(HLOOKUP(C1284,Ingreso!$AN$10:$AU$260,VLOOKUP(A1284,Ingreso!$AL$11:$AM$260,2,FALSE)))/24))</f>
        <v>0</v>
      </c>
      <c r="I1284" s="77">
        <f t="shared" si="39"/>
        <v>0</v>
      </c>
    </row>
    <row r="1285" spans="1:9">
      <c r="A1285" s="85" t="e">
        <f>VLOOKUP('Informe Kelly'!A1278,Base!A:B,2,FALSE)</f>
        <v>#N/A</v>
      </c>
      <c r="B1285" s="85" t="e">
        <f>VLOOKUP('Informe Kelly'!A1278,Base!A:G,7,FALSE)</f>
        <v>#N/A</v>
      </c>
      <c r="C1285" s="91">
        <f>'Informe Kelly'!E1278</f>
        <v>0</v>
      </c>
      <c r="D1285" s="96">
        <f t="shared" si="38"/>
        <v>591</v>
      </c>
      <c r="E1285" s="85" t="e">
        <f>VLOOKUP(A1285,Ingreso!K:P,6,FALSE)</f>
        <v>#N/A</v>
      </c>
      <c r="F1285" s="85" t="str">
        <f>IF('Informe Kelly'!H1278=$A$2,'Informe Kelly'!F1278,"")</f>
        <v/>
      </c>
      <c r="G1285" s="85" t="str">
        <f>IF('Informe Kelly'!H1278=$A$3,'Informe Kelly'!F1278,"")</f>
        <v/>
      </c>
      <c r="H1285" s="85">
        <f>IF(C1285=C1283,0,IF(D1285=D1284,0,(HLOOKUP(C1285,Ingreso!$AN$10:$AU$260,VLOOKUP(A1285,Ingreso!$AL$11:$AM$260,2,FALSE)))/24))</f>
        <v>0</v>
      </c>
      <c r="I1285" s="77">
        <f t="shared" si="39"/>
        <v>0</v>
      </c>
    </row>
    <row r="1286" spans="1:9">
      <c r="A1286" s="85" t="e">
        <f>VLOOKUP('Informe Kelly'!A1279,Base!A:B,2,FALSE)</f>
        <v>#N/A</v>
      </c>
      <c r="B1286" s="85" t="e">
        <f>VLOOKUP('Informe Kelly'!A1279,Base!A:G,7,FALSE)</f>
        <v>#N/A</v>
      </c>
      <c r="C1286" s="91">
        <f>'Informe Kelly'!E1279</f>
        <v>0</v>
      </c>
      <c r="D1286" s="96">
        <f t="shared" si="38"/>
        <v>591</v>
      </c>
      <c r="E1286" s="85" t="e">
        <f>VLOOKUP(A1286,Ingreso!K:P,6,FALSE)</f>
        <v>#N/A</v>
      </c>
      <c r="F1286" s="85" t="str">
        <f>IF('Informe Kelly'!H1279=$A$2,'Informe Kelly'!F1279,"")</f>
        <v/>
      </c>
      <c r="G1286" s="85" t="str">
        <f>IF('Informe Kelly'!H1279=$A$3,'Informe Kelly'!F1279,"")</f>
        <v/>
      </c>
      <c r="H1286" s="85">
        <f>IF(C1286=C1284,0,IF(D1286=D1285,0,(HLOOKUP(C1286,Ingreso!$AN$10:$AU$260,VLOOKUP(A1286,Ingreso!$AL$11:$AM$260,2,FALSE)))/24))</f>
        <v>0</v>
      </c>
      <c r="I1286" s="77">
        <f t="shared" si="39"/>
        <v>0</v>
      </c>
    </row>
    <row r="1287" spans="1:9">
      <c r="A1287" s="85" t="e">
        <f>VLOOKUP('Informe Kelly'!A1280,Base!A:B,2,FALSE)</f>
        <v>#N/A</v>
      </c>
      <c r="B1287" s="85" t="e">
        <f>VLOOKUP('Informe Kelly'!A1280,Base!A:G,7,FALSE)</f>
        <v>#N/A</v>
      </c>
      <c r="C1287" s="91">
        <f>'Informe Kelly'!E1280</f>
        <v>0</v>
      </c>
      <c r="D1287" s="96">
        <f t="shared" si="38"/>
        <v>591</v>
      </c>
      <c r="E1287" s="85" t="e">
        <f>VLOOKUP(A1287,Ingreso!K:P,6,FALSE)</f>
        <v>#N/A</v>
      </c>
      <c r="F1287" s="85" t="str">
        <f>IF('Informe Kelly'!H1280=$A$2,'Informe Kelly'!F1280,"")</f>
        <v/>
      </c>
      <c r="G1287" s="85" t="str">
        <f>IF('Informe Kelly'!H1280=$A$3,'Informe Kelly'!F1280,"")</f>
        <v/>
      </c>
      <c r="H1287" s="85">
        <f>IF(C1287=C1285,0,IF(D1287=D1286,0,(HLOOKUP(C1287,Ingreso!$AN$10:$AU$260,VLOOKUP(A1287,Ingreso!$AL$11:$AM$260,2,FALSE)))/24))</f>
        <v>0</v>
      </c>
      <c r="I1287" s="77">
        <f t="shared" si="39"/>
        <v>0</v>
      </c>
    </row>
    <row r="1288" spans="1:9">
      <c r="A1288" s="85" t="e">
        <f>VLOOKUP('Informe Kelly'!A1281,Base!A:B,2,FALSE)</f>
        <v>#N/A</v>
      </c>
      <c r="B1288" s="85" t="e">
        <f>VLOOKUP('Informe Kelly'!A1281,Base!A:G,7,FALSE)</f>
        <v>#N/A</v>
      </c>
      <c r="C1288" s="91">
        <f>'Informe Kelly'!E1281</f>
        <v>0</v>
      </c>
      <c r="D1288" s="96">
        <f t="shared" si="38"/>
        <v>591</v>
      </c>
      <c r="E1288" s="85" t="e">
        <f>VLOOKUP(A1288,Ingreso!K:P,6,FALSE)</f>
        <v>#N/A</v>
      </c>
      <c r="F1288" s="85" t="str">
        <f>IF('Informe Kelly'!H1281=$A$2,'Informe Kelly'!F1281,"")</f>
        <v/>
      </c>
      <c r="G1288" s="85" t="str">
        <f>IF('Informe Kelly'!H1281=$A$3,'Informe Kelly'!F1281,"")</f>
        <v/>
      </c>
      <c r="H1288" s="85">
        <f>IF(C1288=C1286,0,IF(D1288=D1287,0,(HLOOKUP(C1288,Ingreso!$AN$10:$AU$260,VLOOKUP(A1288,Ingreso!$AL$11:$AM$260,2,FALSE)))/24))</f>
        <v>0</v>
      </c>
      <c r="I1288" s="77">
        <f t="shared" si="39"/>
        <v>0</v>
      </c>
    </row>
    <row r="1289" spans="1:9">
      <c r="A1289" s="85" t="e">
        <f>VLOOKUP('Informe Kelly'!A1282,Base!A:B,2,FALSE)</f>
        <v>#N/A</v>
      </c>
      <c r="B1289" s="85" t="e">
        <f>VLOOKUP('Informe Kelly'!A1282,Base!A:G,7,FALSE)</f>
        <v>#N/A</v>
      </c>
      <c r="C1289" s="91">
        <f>'Informe Kelly'!E1282</f>
        <v>0</v>
      </c>
      <c r="D1289" s="96">
        <f t="shared" ref="D1289:D1322" si="40">IF(C1288=C1289,IF(C1289=C1286,D1288,IF(C1289=C1287,D1288+1,D1288)),D1288+1)</f>
        <v>591</v>
      </c>
      <c r="E1289" s="85" t="e">
        <f>VLOOKUP(A1289,Ingreso!K:P,6,FALSE)</f>
        <v>#N/A</v>
      </c>
      <c r="F1289" s="85" t="str">
        <f>IF('Informe Kelly'!H1282=$A$2,'Informe Kelly'!F1282,"")</f>
        <v/>
      </c>
      <c r="G1289" s="85" t="str">
        <f>IF('Informe Kelly'!H1282=$A$3,'Informe Kelly'!F1282,"")</f>
        <v/>
      </c>
      <c r="H1289" s="85">
        <f>IF(C1289=C1287,0,IF(D1289=D1288,0,(HLOOKUP(C1289,Ingreso!$AN$10:$AU$260,VLOOKUP(A1289,Ingreso!$AL$11:$AM$260,2,FALSE)))/24))</f>
        <v>0</v>
      </c>
      <c r="I1289" s="77">
        <f t="shared" si="39"/>
        <v>0</v>
      </c>
    </row>
    <row r="1290" spans="1:9">
      <c r="A1290" s="85" t="e">
        <f>VLOOKUP('Informe Kelly'!A1283,Base!A:B,2,FALSE)</f>
        <v>#N/A</v>
      </c>
      <c r="B1290" s="85" t="e">
        <f>VLOOKUP('Informe Kelly'!A1283,Base!A:G,7,FALSE)</f>
        <v>#N/A</v>
      </c>
      <c r="C1290" s="91">
        <f>'Informe Kelly'!E1283</f>
        <v>0</v>
      </c>
      <c r="D1290" s="96">
        <f t="shared" si="40"/>
        <v>591</v>
      </c>
      <c r="E1290" s="85" t="e">
        <f>VLOOKUP(A1290,Ingreso!K:P,6,FALSE)</f>
        <v>#N/A</v>
      </c>
      <c r="F1290" s="85" t="str">
        <f>IF('Informe Kelly'!H1283=$A$2,'Informe Kelly'!F1283,"")</f>
        <v/>
      </c>
      <c r="G1290" s="85" t="str">
        <f>IF('Informe Kelly'!H1283=$A$3,'Informe Kelly'!F1283,"")</f>
        <v/>
      </c>
      <c r="H1290" s="85">
        <f>IF(C1290=C1288,0,IF(D1290=D1289,0,(HLOOKUP(C1290,Ingreso!$AN$10:$AU$260,VLOOKUP(A1290,Ingreso!$AL$11:$AM$260,2,FALSE)))/24))</f>
        <v>0</v>
      </c>
      <c r="I1290" s="77">
        <f t="shared" ref="I1290:I1322" si="41">IF(C1290=C1288,0,IF(D1290=D1289,0,(VLOOKUP(E1290,$C$2:$D$5,2,FALSE))))</f>
        <v>0</v>
      </c>
    </row>
    <row r="1291" spans="1:9">
      <c r="A1291" s="85" t="e">
        <f>VLOOKUP('Informe Kelly'!A1284,Base!A:B,2,FALSE)</f>
        <v>#N/A</v>
      </c>
      <c r="B1291" s="85" t="e">
        <f>VLOOKUP('Informe Kelly'!A1284,Base!A:G,7,FALSE)</f>
        <v>#N/A</v>
      </c>
      <c r="C1291" s="91">
        <f>'Informe Kelly'!E1284</f>
        <v>0</v>
      </c>
      <c r="D1291" s="96">
        <f t="shared" si="40"/>
        <v>591</v>
      </c>
      <c r="E1291" s="85" t="e">
        <f>VLOOKUP(A1291,Ingreso!K:P,6,FALSE)</f>
        <v>#N/A</v>
      </c>
      <c r="F1291" s="85" t="str">
        <f>IF('Informe Kelly'!H1284=$A$2,'Informe Kelly'!F1284,"")</f>
        <v/>
      </c>
      <c r="G1291" s="85" t="str">
        <f>IF('Informe Kelly'!H1284=$A$3,'Informe Kelly'!F1284,"")</f>
        <v/>
      </c>
      <c r="H1291" s="85">
        <f>IF(C1291=C1289,0,IF(D1291=D1290,0,(HLOOKUP(C1291,Ingreso!$AN$10:$AU$260,VLOOKUP(A1291,Ingreso!$AL$11:$AM$260,2,FALSE)))/24))</f>
        <v>0</v>
      </c>
      <c r="I1291" s="77">
        <f t="shared" si="41"/>
        <v>0</v>
      </c>
    </row>
    <row r="1292" spans="1:9">
      <c r="A1292" s="85" t="e">
        <f>VLOOKUP('Informe Kelly'!A1285,Base!A:B,2,FALSE)</f>
        <v>#N/A</v>
      </c>
      <c r="B1292" s="85" t="e">
        <f>VLOOKUP('Informe Kelly'!A1285,Base!A:G,7,FALSE)</f>
        <v>#N/A</v>
      </c>
      <c r="C1292" s="91">
        <f>'Informe Kelly'!E1285</f>
        <v>0</v>
      </c>
      <c r="D1292" s="96">
        <f t="shared" si="40"/>
        <v>591</v>
      </c>
      <c r="E1292" s="85" t="e">
        <f>VLOOKUP(A1292,Ingreso!K:P,6,FALSE)</f>
        <v>#N/A</v>
      </c>
      <c r="F1292" s="85" t="str">
        <f>IF('Informe Kelly'!H1285=$A$2,'Informe Kelly'!F1285,"")</f>
        <v/>
      </c>
      <c r="G1292" s="85" t="str">
        <f>IF('Informe Kelly'!H1285=$A$3,'Informe Kelly'!F1285,"")</f>
        <v/>
      </c>
      <c r="H1292" s="85">
        <f>IF(C1292=C1290,0,IF(D1292=D1291,0,(HLOOKUP(C1292,Ingreso!$AN$10:$AU$260,VLOOKUP(A1292,Ingreso!$AL$11:$AM$260,2,FALSE)))/24))</f>
        <v>0</v>
      </c>
      <c r="I1292" s="77">
        <f t="shared" si="41"/>
        <v>0</v>
      </c>
    </row>
    <row r="1293" spans="1:9">
      <c r="A1293" s="85" t="e">
        <f>VLOOKUP('Informe Kelly'!A1286,Base!A:B,2,FALSE)</f>
        <v>#N/A</v>
      </c>
      <c r="B1293" s="85" t="e">
        <f>VLOOKUP('Informe Kelly'!A1286,Base!A:G,7,FALSE)</f>
        <v>#N/A</v>
      </c>
      <c r="C1293" s="91">
        <f>'Informe Kelly'!E1286</f>
        <v>0</v>
      </c>
      <c r="D1293" s="96">
        <f t="shared" si="40"/>
        <v>591</v>
      </c>
      <c r="E1293" s="85" t="e">
        <f>VLOOKUP(A1293,Ingreso!K:P,6,FALSE)</f>
        <v>#N/A</v>
      </c>
      <c r="F1293" s="85" t="str">
        <f>IF('Informe Kelly'!H1286=$A$2,'Informe Kelly'!F1286,"")</f>
        <v/>
      </c>
      <c r="G1293" s="85" t="str">
        <f>IF('Informe Kelly'!H1286=$A$3,'Informe Kelly'!F1286,"")</f>
        <v/>
      </c>
      <c r="H1293" s="85">
        <f>IF(C1293=C1291,0,IF(D1293=D1292,0,(HLOOKUP(C1293,Ingreso!$AN$10:$AU$260,VLOOKUP(A1293,Ingreso!$AL$11:$AM$260,2,FALSE)))/24))</f>
        <v>0</v>
      </c>
      <c r="I1293" s="77">
        <f t="shared" si="41"/>
        <v>0</v>
      </c>
    </row>
    <row r="1294" spans="1:9">
      <c r="A1294" s="85" t="e">
        <f>VLOOKUP('Informe Kelly'!A1287,Base!A:B,2,FALSE)</f>
        <v>#N/A</v>
      </c>
      <c r="B1294" s="85" t="e">
        <f>VLOOKUP('Informe Kelly'!A1287,Base!A:G,7,FALSE)</f>
        <v>#N/A</v>
      </c>
      <c r="C1294" s="91">
        <f>'Informe Kelly'!E1287</f>
        <v>0</v>
      </c>
      <c r="D1294" s="96">
        <f t="shared" si="40"/>
        <v>591</v>
      </c>
      <c r="E1294" s="85" t="e">
        <f>VLOOKUP(A1294,Ingreso!K:P,6,FALSE)</f>
        <v>#N/A</v>
      </c>
      <c r="F1294" s="85" t="str">
        <f>IF('Informe Kelly'!H1287=$A$2,'Informe Kelly'!F1287,"")</f>
        <v/>
      </c>
      <c r="G1294" s="85" t="str">
        <f>IF('Informe Kelly'!H1287=$A$3,'Informe Kelly'!F1287,"")</f>
        <v/>
      </c>
      <c r="H1294" s="85">
        <f>IF(C1294=C1292,0,IF(D1294=D1293,0,(HLOOKUP(C1294,Ingreso!$AN$10:$AU$260,VLOOKUP(A1294,Ingreso!$AL$11:$AM$260,2,FALSE)))/24))</f>
        <v>0</v>
      </c>
      <c r="I1294" s="77">
        <f t="shared" si="41"/>
        <v>0</v>
      </c>
    </row>
    <row r="1295" spans="1:9">
      <c r="A1295" s="85" t="e">
        <f>VLOOKUP('Informe Kelly'!A1288,Base!A:B,2,FALSE)</f>
        <v>#N/A</v>
      </c>
      <c r="B1295" s="85" t="e">
        <f>VLOOKUP('Informe Kelly'!A1288,Base!A:G,7,FALSE)</f>
        <v>#N/A</v>
      </c>
      <c r="C1295" s="91">
        <f>'Informe Kelly'!E1288</f>
        <v>0</v>
      </c>
      <c r="D1295" s="96">
        <f t="shared" si="40"/>
        <v>591</v>
      </c>
      <c r="E1295" s="85" t="e">
        <f>VLOOKUP(A1295,Ingreso!K:P,6,FALSE)</f>
        <v>#N/A</v>
      </c>
      <c r="F1295" s="85" t="str">
        <f>IF('Informe Kelly'!H1288=$A$2,'Informe Kelly'!F1288,"")</f>
        <v/>
      </c>
      <c r="G1295" s="85" t="str">
        <f>IF('Informe Kelly'!H1288=$A$3,'Informe Kelly'!F1288,"")</f>
        <v/>
      </c>
      <c r="H1295" s="85">
        <f>IF(C1295=C1293,0,IF(D1295=D1294,0,(HLOOKUP(C1295,Ingreso!$AN$10:$AU$260,VLOOKUP(A1295,Ingreso!$AL$11:$AM$260,2,FALSE)))/24))</f>
        <v>0</v>
      </c>
      <c r="I1295" s="77">
        <f t="shared" si="41"/>
        <v>0</v>
      </c>
    </row>
    <row r="1296" spans="1:9">
      <c r="A1296" s="85" t="e">
        <f>VLOOKUP('Informe Kelly'!A1289,Base!A:B,2,FALSE)</f>
        <v>#N/A</v>
      </c>
      <c r="B1296" s="85" t="e">
        <f>VLOOKUP('Informe Kelly'!A1289,Base!A:G,7,FALSE)</f>
        <v>#N/A</v>
      </c>
      <c r="C1296" s="91">
        <f>'Informe Kelly'!E1289</f>
        <v>0</v>
      </c>
      <c r="D1296" s="96">
        <f t="shared" si="40"/>
        <v>591</v>
      </c>
      <c r="E1296" s="85" t="e">
        <f>VLOOKUP(A1296,Ingreso!K:P,6,FALSE)</f>
        <v>#N/A</v>
      </c>
      <c r="F1296" s="85" t="str">
        <f>IF('Informe Kelly'!H1289=$A$2,'Informe Kelly'!F1289,"")</f>
        <v/>
      </c>
      <c r="G1296" s="85" t="str">
        <f>IF('Informe Kelly'!H1289=$A$3,'Informe Kelly'!F1289,"")</f>
        <v/>
      </c>
      <c r="H1296" s="85">
        <f>IF(C1296=C1294,0,IF(D1296=D1295,0,(HLOOKUP(C1296,Ingreso!$AN$10:$AU$260,VLOOKUP(A1296,Ingreso!$AL$11:$AM$260,2,FALSE)))/24))</f>
        <v>0</v>
      </c>
      <c r="I1296" s="77">
        <f t="shared" si="41"/>
        <v>0</v>
      </c>
    </row>
    <row r="1297" spans="1:9">
      <c r="A1297" s="85" t="e">
        <f>VLOOKUP('Informe Kelly'!A1290,Base!A:B,2,FALSE)</f>
        <v>#N/A</v>
      </c>
      <c r="B1297" s="85" t="e">
        <f>VLOOKUP('Informe Kelly'!A1290,Base!A:G,7,FALSE)</f>
        <v>#N/A</v>
      </c>
      <c r="C1297" s="91">
        <f>'Informe Kelly'!E1290</f>
        <v>0</v>
      </c>
      <c r="D1297" s="96">
        <f t="shared" si="40"/>
        <v>591</v>
      </c>
      <c r="E1297" s="85" t="e">
        <f>VLOOKUP(A1297,Ingreso!K:P,6,FALSE)</f>
        <v>#N/A</v>
      </c>
      <c r="F1297" s="85" t="str">
        <f>IF('Informe Kelly'!H1290=$A$2,'Informe Kelly'!F1290,"")</f>
        <v/>
      </c>
      <c r="G1297" s="85" t="str">
        <f>IF('Informe Kelly'!H1290=$A$3,'Informe Kelly'!F1290,"")</f>
        <v/>
      </c>
      <c r="H1297" s="85">
        <f>IF(C1297=C1295,0,IF(D1297=D1296,0,(HLOOKUP(C1297,Ingreso!$AN$10:$AU$260,VLOOKUP(A1297,Ingreso!$AL$11:$AM$260,2,FALSE)))/24))</f>
        <v>0</v>
      </c>
      <c r="I1297" s="77">
        <f t="shared" si="41"/>
        <v>0</v>
      </c>
    </row>
    <row r="1298" spans="1:9">
      <c r="A1298" s="85" t="e">
        <f>VLOOKUP('Informe Kelly'!A1291,Base!A:B,2,FALSE)</f>
        <v>#N/A</v>
      </c>
      <c r="B1298" s="85" t="e">
        <f>VLOOKUP('Informe Kelly'!A1291,Base!A:G,7,FALSE)</f>
        <v>#N/A</v>
      </c>
      <c r="C1298" s="91">
        <f>'Informe Kelly'!E1291</f>
        <v>0</v>
      </c>
      <c r="D1298" s="96">
        <f t="shared" si="40"/>
        <v>591</v>
      </c>
      <c r="E1298" s="85" t="e">
        <f>VLOOKUP(A1298,Ingreso!K:P,6,FALSE)</f>
        <v>#N/A</v>
      </c>
      <c r="F1298" s="85" t="str">
        <f>IF('Informe Kelly'!H1291=$A$2,'Informe Kelly'!F1291,"")</f>
        <v/>
      </c>
      <c r="G1298" s="85" t="str">
        <f>IF('Informe Kelly'!H1291=$A$3,'Informe Kelly'!F1291,"")</f>
        <v/>
      </c>
      <c r="H1298" s="85">
        <f>IF(C1298=C1296,0,IF(D1298=D1297,0,(HLOOKUP(C1298,Ingreso!$AN$10:$AU$260,VLOOKUP(A1298,Ingreso!$AL$11:$AM$260,2,FALSE)))/24))</f>
        <v>0</v>
      </c>
      <c r="I1298" s="77">
        <f t="shared" si="41"/>
        <v>0</v>
      </c>
    </row>
    <row r="1299" spans="1:9">
      <c r="A1299" s="85" t="e">
        <f>VLOOKUP('Informe Kelly'!A1292,Base!A:B,2,FALSE)</f>
        <v>#N/A</v>
      </c>
      <c r="B1299" s="85" t="e">
        <f>VLOOKUP('Informe Kelly'!A1292,Base!A:G,7,FALSE)</f>
        <v>#N/A</v>
      </c>
      <c r="C1299" s="91">
        <f>'Informe Kelly'!E1292</f>
        <v>0</v>
      </c>
      <c r="D1299" s="96">
        <f t="shared" si="40"/>
        <v>591</v>
      </c>
      <c r="E1299" s="85" t="e">
        <f>VLOOKUP(A1299,Ingreso!K:P,6,FALSE)</f>
        <v>#N/A</v>
      </c>
      <c r="F1299" s="85" t="str">
        <f>IF('Informe Kelly'!H1292=$A$2,'Informe Kelly'!F1292,"")</f>
        <v/>
      </c>
      <c r="G1299" s="85" t="str">
        <f>IF('Informe Kelly'!H1292=$A$3,'Informe Kelly'!F1292,"")</f>
        <v/>
      </c>
      <c r="H1299" s="85">
        <f>IF(C1299=C1297,0,IF(D1299=D1298,0,(HLOOKUP(C1299,Ingreso!$AN$10:$AU$260,VLOOKUP(A1299,Ingreso!$AL$11:$AM$260,2,FALSE)))/24))</f>
        <v>0</v>
      </c>
      <c r="I1299" s="77">
        <f t="shared" si="41"/>
        <v>0</v>
      </c>
    </row>
    <row r="1300" spans="1:9">
      <c r="A1300" s="85" t="e">
        <f>VLOOKUP('Informe Kelly'!A1293,Base!A:B,2,FALSE)</f>
        <v>#N/A</v>
      </c>
      <c r="B1300" s="85" t="e">
        <f>VLOOKUP('Informe Kelly'!A1293,Base!A:G,7,FALSE)</f>
        <v>#N/A</v>
      </c>
      <c r="C1300" s="91">
        <f>'Informe Kelly'!E1293</f>
        <v>0</v>
      </c>
      <c r="D1300" s="96">
        <f t="shared" si="40"/>
        <v>591</v>
      </c>
      <c r="E1300" s="85" t="e">
        <f>VLOOKUP(A1300,Ingreso!K:P,6,FALSE)</f>
        <v>#N/A</v>
      </c>
      <c r="F1300" s="85" t="str">
        <f>IF('Informe Kelly'!H1293=$A$2,'Informe Kelly'!F1293,"")</f>
        <v/>
      </c>
      <c r="G1300" s="85" t="str">
        <f>IF('Informe Kelly'!H1293=$A$3,'Informe Kelly'!F1293,"")</f>
        <v/>
      </c>
      <c r="H1300" s="85">
        <f>IF(C1300=C1298,0,IF(D1300=D1299,0,(HLOOKUP(C1300,Ingreso!$AN$10:$AU$260,VLOOKUP(A1300,Ingreso!$AL$11:$AM$260,2,FALSE)))/24))</f>
        <v>0</v>
      </c>
      <c r="I1300" s="77">
        <f t="shared" si="41"/>
        <v>0</v>
      </c>
    </row>
    <row r="1301" spans="1:9">
      <c r="A1301" s="85" t="e">
        <f>VLOOKUP('Informe Kelly'!A1294,Base!A:B,2,FALSE)</f>
        <v>#N/A</v>
      </c>
      <c r="B1301" s="85" t="e">
        <f>VLOOKUP('Informe Kelly'!A1294,Base!A:G,7,FALSE)</f>
        <v>#N/A</v>
      </c>
      <c r="C1301" s="91">
        <f>'Informe Kelly'!E1294</f>
        <v>0</v>
      </c>
      <c r="D1301" s="96">
        <f t="shared" si="40"/>
        <v>591</v>
      </c>
      <c r="E1301" s="85" t="e">
        <f>VLOOKUP(A1301,Ingreso!K:P,6,FALSE)</f>
        <v>#N/A</v>
      </c>
      <c r="F1301" s="85" t="str">
        <f>IF('Informe Kelly'!H1294=$A$2,'Informe Kelly'!F1294,"")</f>
        <v/>
      </c>
      <c r="G1301" s="85" t="str">
        <f>IF('Informe Kelly'!H1294=$A$3,'Informe Kelly'!F1294,"")</f>
        <v/>
      </c>
      <c r="H1301" s="85">
        <f>IF(C1301=C1299,0,IF(D1301=D1300,0,(HLOOKUP(C1301,Ingreso!$AN$10:$AU$260,VLOOKUP(A1301,Ingreso!$AL$11:$AM$260,2,FALSE)))/24))</f>
        <v>0</v>
      </c>
      <c r="I1301" s="77">
        <f t="shared" si="41"/>
        <v>0</v>
      </c>
    </row>
    <row r="1302" spans="1:9">
      <c r="A1302" s="85" t="e">
        <f>VLOOKUP('Informe Kelly'!A1295,Base!A:B,2,FALSE)</f>
        <v>#N/A</v>
      </c>
      <c r="B1302" s="85" t="e">
        <f>VLOOKUP('Informe Kelly'!A1295,Base!A:G,7,FALSE)</f>
        <v>#N/A</v>
      </c>
      <c r="C1302" s="91">
        <f>'Informe Kelly'!E1295</f>
        <v>0</v>
      </c>
      <c r="D1302" s="96">
        <f t="shared" si="40"/>
        <v>591</v>
      </c>
      <c r="E1302" s="85" t="e">
        <f>VLOOKUP(A1302,Ingreso!K:P,6,FALSE)</f>
        <v>#N/A</v>
      </c>
      <c r="F1302" s="85" t="str">
        <f>IF('Informe Kelly'!H1295=$A$2,'Informe Kelly'!F1295,"")</f>
        <v/>
      </c>
      <c r="G1302" s="85" t="str">
        <f>IF('Informe Kelly'!H1295=$A$3,'Informe Kelly'!F1295,"")</f>
        <v/>
      </c>
      <c r="H1302" s="85">
        <f>IF(C1302=C1300,0,IF(D1302=D1301,0,(HLOOKUP(C1302,Ingreso!$AN$10:$AU$260,VLOOKUP(A1302,Ingreso!$AL$11:$AM$260,2,FALSE)))/24))</f>
        <v>0</v>
      </c>
      <c r="I1302" s="77">
        <f t="shared" si="41"/>
        <v>0</v>
      </c>
    </row>
    <row r="1303" spans="1:9">
      <c r="A1303" s="85" t="e">
        <f>VLOOKUP('Informe Kelly'!A1296,Base!A:B,2,FALSE)</f>
        <v>#N/A</v>
      </c>
      <c r="B1303" s="85" t="e">
        <f>VLOOKUP('Informe Kelly'!A1296,Base!A:G,7,FALSE)</f>
        <v>#N/A</v>
      </c>
      <c r="C1303" s="91">
        <f>'Informe Kelly'!E1296</f>
        <v>0</v>
      </c>
      <c r="D1303" s="96">
        <f t="shared" si="40"/>
        <v>591</v>
      </c>
      <c r="E1303" s="85" t="e">
        <f>VLOOKUP(A1303,Ingreso!K:P,6,FALSE)</f>
        <v>#N/A</v>
      </c>
      <c r="F1303" s="85" t="str">
        <f>IF('Informe Kelly'!H1296=$A$2,'Informe Kelly'!F1296,"")</f>
        <v/>
      </c>
      <c r="G1303" s="85" t="str">
        <f>IF('Informe Kelly'!H1296=$A$3,'Informe Kelly'!F1296,"")</f>
        <v/>
      </c>
      <c r="H1303" s="85">
        <f>IF(C1303=C1301,0,IF(D1303=D1302,0,(HLOOKUP(C1303,Ingreso!$AN$10:$AU$260,VLOOKUP(A1303,Ingreso!$AL$11:$AM$260,2,FALSE)))/24))</f>
        <v>0</v>
      </c>
      <c r="I1303" s="77">
        <f t="shared" si="41"/>
        <v>0</v>
      </c>
    </row>
    <row r="1304" spans="1:9">
      <c r="A1304" s="85" t="e">
        <f>VLOOKUP('Informe Kelly'!A1297,Base!A:B,2,FALSE)</f>
        <v>#N/A</v>
      </c>
      <c r="B1304" s="85" t="e">
        <f>VLOOKUP('Informe Kelly'!A1297,Base!A:G,7,FALSE)</f>
        <v>#N/A</v>
      </c>
      <c r="C1304" s="91">
        <f>'Informe Kelly'!E1297</f>
        <v>0</v>
      </c>
      <c r="D1304" s="96">
        <f t="shared" si="40"/>
        <v>591</v>
      </c>
      <c r="E1304" s="85" t="e">
        <f>VLOOKUP(A1304,Ingreso!K:P,6,FALSE)</f>
        <v>#N/A</v>
      </c>
      <c r="F1304" s="85" t="str">
        <f>IF('Informe Kelly'!H1297=$A$2,'Informe Kelly'!F1297,"")</f>
        <v/>
      </c>
      <c r="G1304" s="85" t="str">
        <f>IF('Informe Kelly'!H1297=$A$3,'Informe Kelly'!F1297,"")</f>
        <v/>
      </c>
      <c r="H1304" s="85">
        <f>IF(C1304=C1302,0,IF(D1304=D1303,0,(HLOOKUP(C1304,Ingreso!$AN$10:$AU$260,VLOOKUP(A1304,Ingreso!$AL$11:$AM$260,2,FALSE)))/24))</f>
        <v>0</v>
      </c>
      <c r="I1304" s="77">
        <f t="shared" si="41"/>
        <v>0</v>
      </c>
    </row>
    <row r="1305" spans="1:9">
      <c r="A1305" s="85" t="e">
        <f>VLOOKUP('Informe Kelly'!A1298,Base!A:B,2,FALSE)</f>
        <v>#N/A</v>
      </c>
      <c r="B1305" s="85" t="e">
        <f>VLOOKUP('Informe Kelly'!A1298,Base!A:G,7,FALSE)</f>
        <v>#N/A</v>
      </c>
      <c r="C1305" s="91">
        <f>'Informe Kelly'!E1298</f>
        <v>0</v>
      </c>
      <c r="D1305" s="96">
        <f t="shared" si="40"/>
        <v>591</v>
      </c>
      <c r="E1305" s="85" t="e">
        <f>VLOOKUP(A1305,Ingreso!K:P,6,FALSE)</f>
        <v>#N/A</v>
      </c>
      <c r="F1305" s="85" t="str">
        <f>IF('Informe Kelly'!H1298=$A$2,'Informe Kelly'!F1298,"")</f>
        <v/>
      </c>
      <c r="G1305" s="85" t="str">
        <f>IF('Informe Kelly'!H1298=$A$3,'Informe Kelly'!F1298,"")</f>
        <v/>
      </c>
      <c r="H1305" s="85">
        <f>IF(C1305=C1303,0,IF(D1305=D1304,0,(HLOOKUP(C1305,Ingreso!$AN$10:$AU$260,VLOOKUP(A1305,Ingreso!$AL$11:$AM$260,2,FALSE)))/24))</f>
        <v>0</v>
      </c>
      <c r="I1305" s="77">
        <f t="shared" si="41"/>
        <v>0</v>
      </c>
    </row>
    <row r="1306" spans="1:9">
      <c r="A1306" s="85" t="e">
        <f>VLOOKUP('Informe Kelly'!A1299,Base!A:B,2,FALSE)</f>
        <v>#N/A</v>
      </c>
      <c r="B1306" s="85" t="e">
        <f>VLOOKUP('Informe Kelly'!A1299,Base!A:G,7,FALSE)</f>
        <v>#N/A</v>
      </c>
      <c r="C1306" s="91">
        <f>'Informe Kelly'!E1299</f>
        <v>0</v>
      </c>
      <c r="D1306" s="96">
        <f t="shared" si="40"/>
        <v>591</v>
      </c>
      <c r="E1306" s="85" t="e">
        <f>VLOOKUP(A1306,Ingreso!K:P,6,FALSE)</f>
        <v>#N/A</v>
      </c>
      <c r="F1306" s="85" t="str">
        <f>IF('Informe Kelly'!H1299=$A$2,'Informe Kelly'!F1299,"")</f>
        <v/>
      </c>
      <c r="G1306" s="85" t="str">
        <f>IF('Informe Kelly'!H1299=$A$3,'Informe Kelly'!F1299,"")</f>
        <v/>
      </c>
      <c r="H1306" s="85">
        <f>IF(C1306=C1304,0,IF(D1306=D1305,0,(HLOOKUP(C1306,Ingreso!$AN$10:$AU$260,VLOOKUP(A1306,Ingreso!$AL$11:$AM$260,2,FALSE)))/24))</f>
        <v>0</v>
      </c>
      <c r="I1306" s="77">
        <f t="shared" si="41"/>
        <v>0</v>
      </c>
    </row>
    <row r="1307" spans="1:9">
      <c r="A1307" s="85" t="e">
        <f>VLOOKUP('Informe Kelly'!A1300,Base!A:B,2,FALSE)</f>
        <v>#N/A</v>
      </c>
      <c r="B1307" s="85" t="e">
        <f>VLOOKUP('Informe Kelly'!A1300,Base!A:G,7,FALSE)</f>
        <v>#N/A</v>
      </c>
      <c r="C1307" s="91">
        <f>'Informe Kelly'!E1300</f>
        <v>0</v>
      </c>
      <c r="D1307" s="96">
        <f t="shared" si="40"/>
        <v>591</v>
      </c>
      <c r="E1307" s="85" t="e">
        <f>VLOOKUP(A1307,Ingreso!K:P,6,FALSE)</f>
        <v>#N/A</v>
      </c>
      <c r="F1307" s="85" t="str">
        <f>IF('Informe Kelly'!H1300=$A$2,'Informe Kelly'!F1300,"")</f>
        <v/>
      </c>
      <c r="G1307" s="85" t="str">
        <f>IF('Informe Kelly'!H1300=$A$3,'Informe Kelly'!F1300,"")</f>
        <v/>
      </c>
      <c r="H1307" s="85">
        <f>IF(C1307=C1305,0,IF(D1307=D1306,0,(HLOOKUP(C1307,Ingreso!$AN$10:$AU$260,VLOOKUP(A1307,Ingreso!$AL$11:$AM$260,2,FALSE)))/24))</f>
        <v>0</v>
      </c>
      <c r="I1307" s="77">
        <f t="shared" si="41"/>
        <v>0</v>
      </c>
    </row>
    <row r="1308" spans="1:9">
      <c r="A1308" s="85" t="e">
        <f>VLOOKUP('Informe Kelly'!A1301,Base!A:B,2,FALSE)</f>
        <v>#N/A</v>
      </c>
      <c r="B1308" s="85" t="e">
        <f>VLOOKUP('Informe Kelly'!A1301,Base!A:G,7,FALSE)</f>
        <v>#N/A</v>
      </c>
      <c r="C1308" s="91">
        <f>'Informe Kelly'!E1301</f>
        <v>0</v>
      </c>
      <c r="D1308" s="96">
        <f t="shared" si="40"/>
        <v>591</v>
      </c>
      <c r="E1308" s="85" t="e">
        <f>VLOOKUP(A1308,Ingreso!K:P,6,FALSE)</f>
        <v>#N/A</v>
      </c>
      <c r="F1308" s="85" t="str">
        <f>IF('Informe Kelly'!H1301=$A$2,'Informe Kelly'!F1301,"")</f>
        <v/>
      </c>
      <c r="G1308" s="85" t="str">
        <f>IF('Informe Kelly'!H1301=$A$3,'Informe Kelly'!F1301,"")</f>
        <v/>
      </c>
      <c r="H1308" s="85">
        <f>IF(C1308=C1306,0,IF(D1308=D1307,0,(HLOOKUP(C1308,Ingreso!$AN$10:$AU$260,VLOOKUP(A1308,Ingreso!$AL$11:$AM$260,2,FALSE)))/24))</f>
        <v>0</v>
      </c>
      <c r="I1308" s="77">
        <f t="shared" si="41"/>
        <v>0</v>
      </c>
    </row>
    <row r="1309" spans="1:9">
      <c r="A1309" s="85" t="e">
        <f>VLOOKUP('Informe Kelly'!A1302,Base!A:B,2,FALSE)</f>
        <v>#N/A</v>
      </c>
      <c r="B1309" s="85" t="e">
        <f>VLOOKUP('Informe Kelly'!A1302,Base!A:G,7,FALSE)</f>
        <v>#N/A</v>
      </c>
      <c r="C1309" s="91">
        <f>'Informe Kelly'!E1302</f>
        <v>0</v>
      </c>
      <c r="D1309" s="96">
        <f t="shared" si="40"/>
        <v>591</v>
      </c>
      <c r="E1309" s="85" t="e">
        <f>VLOOKUP(A1309,Ingreso!K:P,6,FALSE)</f>
        <v>#N/A</v>
      </c>
      <c r="F1309" s="85" t="str">
        <f>IF('Informe Kelly'!H1302=$A$2,'Informe Kelly'!F1302,"")</f>
        <v/>
      </c>
      <c r="G1309" s="85" t="str">
        <f>IF('Informe Kelly'!H1302=$A$3,'Informe Kelly'!F1302,"")</f>
        <v/>
      </c>
      <c r="H1309" s="85">
        <f>IF(C1309=C1307,0,IF(D1309=D1308,0,(HLOOKUP(C1309,Ingreso!$AN$10:$AU$260,VLOOKUP(A1309,Ingreso!$AL$11:$AM$260,2,FALSE)))/24))</f>
        <v>0</v>
      </c>
      <c r="I1309" s="77">
        <f t="shared" si="41"/>
        <v>0</v>
      </c>
    </row>
    <row r="1310" spans="1:9">
      <c r="A1310" s="85" t="e">
        <f>VLOOKUP('Informe Kelly'!A1303,Base!A:B,2,FALSE)</f>
        <v>#N/A</v>
      </c>
      <c r="B1310" s="85" t="e">
        <f>VLOOKUP('Informe Kelly'!A1303,Base!A:G,7,FALSE)</f>
        <v>#N/A</v>
      </c>
      <c r="C1310" s="91">
        <f>'Informe Kelly'!E1303</f>
        <v>0</v>
      </c>
      <c r="D1310" s="96">
        <f t="shared" si="40"/>
        <v>591</v>
      </c>
      <c r="E1310" s="85" t="e">
        <f>VLOOKUP(A1310,Ingreso!K:P,6,FALSE)</f>
        <v>#N/A</v>
      </c>
      <c r="F1310" s="85" t="str">
        <f>IF('Informe Kelly'!H1303=$A$2,'Informe Kelly'!F1303,"")</f>
        <v/>
      </c>
      <c r="G1310" s="85" t="str">
        <f>IF('Informe Kelly'!H1303=$A$3,'Informe Kelly'!F1303,"")</f>
        <v/>
      </c>
      <c r="H1310" s="85">
        <f>IF(C1310=C1308,0,IF(D1310=D1309,0,(HLOOKUP(C1310,Ingreso!$AN$10:$AU$260,VLOOKUP(A1310,Ingreso!$AL$11:$AM$260,2,FALSE)))/24))</f>
        <v>0</v>
      </c>
      <c r="I1310" s="77">
        <f t="shared" si="41"/>
        <v>0</v>
      </c>
    </row>
    <row r="1311" spans="1:9">
      <c r="A1311" s="85" t="e">
        <f>VLOOKUP('Informe Kelly'!A1304,Base!A:B,2,FALSE)</f>
        <v>#N/A</v>
      </c>
      <c r="B1311" s="85" t="e">
        <f>VLOOKUP('Informe Kelly'!A1304,Base!A:G,7,FALSE)</f>
        <v>#N/A</v>
      </c>
      <c r="C1311" s="91">
        <f>'Informe Kelly'!E1304</f>
        <v>0</v>
      </c>
      <c r="D1311" s="96">
        <f t="shared" si="40"/>
        <v>591</v>
      </c>
      <c r="E1311" s="85" t="e">
        <f>VLOOKUP(A1311,Ingreso!K:P,6,FALSE)</f>
        <v>#N/A</v>
      </c>
      <c r="F1311" s="85" t="str">
        <f>IF('Informe Kelly'!H1304=$A$2,'Informe Kelly'!F1304,"")</f>
        <v/>
      </c>
      <c r="G1311" s="85" t="str">
        <f>IF('Informe Kelly'!H1304=$A$3,'Informe Kelly'!F1304,"")</f>
        <v/>
      </c>
      <c r="H1311" s="85">
        <f>IF(C1311=C1309,0,IF(D1311=D1310,0,(HLOOKUP(C1311,Ingreso!$AN$10:$AU$260,VLOOKUP(A1311,Ingreso!$AL$11:$AM$260,2,FALSE)))/24))</f>
        <v>0</v>
      </c>
      <c r="I1311" s="77">
        <f t="shared" si="41"/>
        <v>0</v>
      </c>
    </row>
    <row r="1312" spans="1:9">
      <c r="A1312" s="85" t="e">
        <f>VLOOKUP('Informe Kelly'!A1305,Base!A:B,2,FALSE)</f>
        <v>#N/A</v>
      </c>
      <c r="B1312" s="85" t="e">
        <f>VLOOKUP('Informe Kelly'!A1305,Base!A:G,7,FALSE)</f>
        <v>#N/A</v>
      </c>
      <c r="C1312" s="91">
        <f>'Informe Kelly'!E1305</f>
        <v>0</v>
      </c>
      <c r="D1312" s="96">
        <f t="shared" si="40"/>
        <v>591</v>
      </c>
      <c r="E1312" s="85" t="e">
        <f>VLOOKUP(A1312,Ingreso!K:P,6,FALSE)</f>
        <v>#N/A</v>
      </c>
      <c r="F1312" s="85" t="str">
        <f>IF('Informe Kelly'!H1305=$A$2,'Informe Kelly'!F1305,"")</f>
        <v/>
      </c>
      <c r="G1312" s="85" t="str">
        <f>IF('Informe Kelly'!H1305=$A$3,'Informe Kelly'!F1305,"")</f>
        <v/>
      </c>
      <c r="H1312" s="85">
        <f>IF(C1312=C1310,0,IF(D1312=D1311,0,(HLOOKUP(C1312,Ingreso!$AN$10:$AU$260,VLOOKUP(A1312,Ingreso!$AL$11:$AM$260,2,FALSE)))/24))</f>
        <v>0</v>
      </c>
      <c r="I1312" s="77">
        <f t="shared" si="41"/>
        <v>0</v>
      </c>
    </row>
    <row r="1313" spans="1:9">
      <c r="A1313" s="85" t="e">
        <f>VLOOKUP('Informe Kelly'!A1306,Base!A:B,2,FALSE)</f>
        <v>#N/A</v>
      </c>
      <c r="B1313" s="85" t="e">
        <f>VLOOKUP('Informe Kelly'!A1306,Base!A:G,7,FALSE)</f>
        <v>#N/A</v>
      </c>
      <c r="C1313" s="91">
        <f>'Informe Kelly'!E1306</f>
        <v>0</v>
      </c>
      <c r="D1313" s="96">
        <f t="shared" si="40"/>
        <v>591</v>
      </c>
      <c r="E1313" s="85" t="e">
        <f>VLOOKUP(A1313,Ingreso!K:P,6,FALSE)</f>
        <v>#N/A</v>
      </c>
      <c r="F1313" s="85" t="str">
        <f>IF('Informe Kelly'!H1306=$A$2,'Informe Kelly'!F1306,"")</f>
        <v/>
      </c>
      <c r="G1313" s="85" t="str">
        <f>IF('Informe Kelly'!H1306=$A$3,'Informe Kelly'!F1306,"")</f>
        <v/>
      </c>
      <c r="H1313" s="85">
        <f>IF(C1313=C1311,0,IF(D1313=D1312,0,(HLOOKUP(C1313,Ingreso!$AN$10:$AU$260,VLOOKUP(A1313,Ingreso!$AL$11:$AM$260,2,FALSE)))/24))</f>
        <v>0</v>
      </c>
      <c r="I1313" s="77">
        <f t="shared" si="41"/>
        <v>0</v>
      </c>
    </row>
    <row r="1314" spans="1:9">
      <c r="A1314" s="85" t="e">
        <f>VLOOKUP('Informe Kelly'!A1307,Base!A:B,2,FALSE)</f>
        <v>#N/A</v>
      </c>
      <c r="B1314" s="85" t="e">
        <f>VLOOKUP('Informe Kelly'!A1307,Base!A:G,7,FALSE)</f>
        <v>#N/A</v>
      </c>
      <c r="C1314" s="91">
        <f>'Informe Kelly'!E1307</f>
        <v>0</v>
      </c>
      <c r="D1314" s="96">
        <f t="shared" si="40"/>
        <v>591</v>
      </c>
      <c r="E1314" s="85" t="e">
        <f>VLOOKUP(A1314,Ingreso!K:P,6,FALSE)</f>
        <v>#N/A</v>
      </c>
      <c r="F1314" s="85" t="str">
        <f>IF('Informe Kelly'!H1307=$A$2,'Informe Kelly'!F1307,"")</f>
        <v/>
      </c>
      <c r="G1314" s="85" t="str">
        <f>IF('Informe Kelly'!H1307=$A$3,'Informe Kelly'!F1307,"")</f>
        <v/>
      </c>
      <c r="H1314" s="85">
        <f>IF(C1314=C1312,0,IF(D1314=D1313,0,(HLOOKUP(C1314,Ingreso!$AN$10:$AU$260,VLOOKUP(A1314,Ingreso!$AL$11:$AM$260,2,FALSE)))/24))</f>
        <v>0</v>
      </c>
      <c r="I1314" s="77">
        <f t="shared" si="41"/>
        <v>0</v>
      </c>
    </row>
    <row r="1315" spans="1:9">
      <c r="A1315" s="85" t="e">
        <f>VLOOKUP('Informe Kelly'!A1308,Base!A:B,2,FALSE)</f>
        <v>#N/A</v>
      </c>
      <c r="B1315" s="85" t="e">
        <f>VLOOKUP('Informe Kelly'!A1308,Base!A:G,7,FALSE)</f>
        <v>#N/A</v>
      </c>
      <c r="C1315" s="91">
        <f>'Informe Kelly'!E1308</f>
        <v>0</v>
      </c>
      <c r="D1315" s="96">
        <f t="shared" si="40"/>
        <v>591</v>
      </c>
      <c r="E1315" s="85" t="e">
        <f>VLOOKUP(A1315,Ingreso!K:P,6,FALSE)</f>
        <v>#N/A</v>
      </c>
      <c r="F1315" s="85" t="str">
        <f>IF('Informe Kelly'!H1308=$A$2,'Informe Kelly'!F1308,"")</f>
        <v/>
      </c>
      <c r="G1315" s="85" t="str">
        <f>IF('Informe Kelly'!H1308=$A$3,'Informe Kelly'!F1308,"")</f>
        <v/>
      </c>
      <c r="H1315" s="85">
        <f>IF(C1315=C1313,0,IF(D1315=D1314,0,(HLOOKUP(C1315,Ingreso!$AN$10:$AU$260,VLOOKUP(A1315,Ingreso!$AL$11:$AM$260,2,FALSE)))/24))</f>
        <v>0</v>
      </c>
      <c r="I1315" s="77">
        <f t="shared" si="41"/>
        <v>0</v>
      </c>
    </row>
    <row r="1316" spans="1:9">
      <c r="A1316" s="85" t="e">
        <f>VLOOKUP('Informe Kelly'!A1309,Base!A:B,2,FALSE)</f>
        <v>#N/A</v>
      </c>
      <c r="B1316" s="85" t="e">
        <f>VLOOKUP('Informe Kelly'!A1309,Base!A:G,7,FALSE)</f>
        <v>#N/A</v>
      </c>
      <c r="C1316" s="91">
        <f>'Informe Kelly'!E1309</f>
        <v>0</v>
      </c>
      <c r="D1316" s="96">
        <f t="shared" si="40"/>
        <v>591</v>
      </c>
      <c r="E1316" s="85" t="e">
        <f>VLOOKUP(A1316,Ingreso!K:P,6,FALSE)</f>
        <v>#N/A</v>
      </c>
      <c r="F1316" s="85" t="str">
        <f>IF('Informe Kelly'!H1309=$A$2,'Informe Kelly'!F1309,"")</f>
        <v/>
      </c>
      <c r="G1316" s="85" t="str">
        <f>IF('Informe Kelly'!H1309=$A$3,'Informe Kelly'!F1309,"")</f>
        <v/>
      </c>
      <c r="H1316" s="85">
        <f>IF(C1316=C1314,0,IF(D1316=D1315,0,(HLOOKUP(C1316,Ingreso!$AN$10:$AU$260,VLOOKUP(A1316,Ingreso!$AL$11:$AM$260,2,FALSE)))/24))</f>
        <v>0</v>
      </c>
      <c r="I1316" s="77">
        <f t="shared" si="41"/>
        <v>0</v>
      </c>
    </row>
    <row r="1317" spans="1:9">
      <c r="A1317" s="85" t="e">
        <f>VLOOKUP('Informe Kelly'!A1310,Base!A:B,2,FALSE)</f>
        <v>#N/A</v>
      </c>
      <c r="B1317" s="85" t="e">
        <f>VLOOKUP('Informe Kelly'!A1310,Base!A:G,7,FALSE)</f>
        <v>#N/A</v>
      </c>
      <c r="C1317" s="91">
        <f>'Informe Kelly'!E1310</f>
        <v>0</v>
      </c>
      <c r="D1317" s="96">
        <f t="shared" si="40"/>
        <v>591</v>
      </c>
      <c r="E1317" s="85" t="e">
        <f>VLOOKUP(A1317,Ingreso!K:P,6,FALSE)</f>
        <v>#N/A</v>
      </c>
      <c r="F1317" s="85" t="str">
        <f>IF('Informe Kelly'!H1310=$A$2,'Informe Kelly'!F1310,"")</f>
        <v/>
      </c>
      <c r="G1317" s="85" t="str">
        <f>IF('Informe Kelly'!H1310=$A$3,'Informe Kelly'!F1310,"")</f>
        <v/>
      </c>
      <c r="H1317" s="85">
        <f>IF(C1317=C1315,0,IF(D1317=D1316,0,(HLOOKUP(C1317,Ingreso!$AN$10:$AU$260,VLOOKUP(A1317,Ingreso!$AL$11:$AM$260,2,FALSE)))/24))</f>
        <v>0</v>
      </c>
      <c r="I1317" s="77">
        <f t="shared" si="41"/>
        <v>0</v>
      </c>
    </row>
    <row r="1318" spans="1:9">
      <c r="A1318" s="85" t="e">
        <f>VLOOKUP('Informe Kelly'!A1311,Base!A:B,2,FALSE)</f>
        <v>#N/A</v>
      </c>
      <c r="B1318" s="85" t="e">
        <f>VLOOKUP('Informe Kelly'!A1311,Base!A:G,7,FALSE)</f>
        <v>#N/A</v>
      </c>
      <c r="C1318" s="91">
        <f>'Informe Kelly'!E1311</f>
        <v>0</v>
      </c>
      <c r="D1318" s="96">
        <f t="shared" si="40"/>
        <v>591</v>
      </c>
      <c r="E1318" s="85" t="e">
        <f>VLOOKUP(A1318,Ingreso!K:P,6,FALSE)</f>
        <v>#N/A</v>
      </c>
      <c r="F1318" s="85" t="str">
        <f>IF('Informe Kelly'!H1311=$A$2,'Informe Kelly'!F1311,"")</f>
        <v/>
      </c>
      <c r="G1318" s="85" t="str">
        <f>IF('Informe Kelly'!H1311=$A$3,'Informe Kelly'!F1311,"")</f>
        <v/>
      </c>
      <c r="H1318" s="85">
        <f>IF(C1318=C1316,0,IF(D1318=D1317,0,(HLOOKUP(C1318,Ingreso!$AN$10:$AU$260,VLOOKUP(A1318,Ingreso!$AL$11:$AM$260,2,FALSE)))/24))</f>
        <v>0</v>
      </c>
      <c r="I1318" s="77">
        <f t="shared" si="41"/>
        <v>0</v>
      </c>
    </row>
    <row r="1319" spans="1:9">
      <c r="A1319" s="85" t="e">
        <f>VLOOKUP('Informe Kelly'!A1312,Base!A:B,2,FALSE)</f>
        <v>#N/A</v>
      </c>
      <c r="B1319" s="85" t="e">
        <f>VLOOKUP('Informe Kelly'!A1312,Base!A:G,7,FALSE)</f>
        <v>#N/A</v>
      </c>
      <c r="C1319" s="91">
        <f>'Informe Kelly'!E1312</f>
        <v>0</v>
      </c>
      <c r="D1319" s="96">
        <f t="shared" si="40"/>
        <v>591</v>
      </c>
      <c r="E1319" s="85" t="e">
        <f>VLOOKUP(A1319,Ingreso!K:P,6,FALSE)</f>
        <v>#N/A</v>
      </c>
      <c r="F1319" s="85" t="str">
        <f>IF('Informe Kelly'!H1312=$A$2,'Informe Kelly'!F1312,"")</f>
        <v/>
      </c>
      <c r="G1319" s="85" t="str">
        <f>IF('Informe Kelly'!H1312=$A$3,'Informe Kelly'!F1312,"")</f>
        <v/>
      </c>
      <c r="H1319" s="85">
        <f>IF(C1319=C1317,0,IF(D1319=D1318,0,(HLOOKUP(C1319,Ingreso!$AN$10:$AU$260,VLOOKUP(A1319,Ingreso!$AL$11:$AM$260,2,FALSE)))/24))</f>
        <v>0</v>
      </c>
      <c r="I1319" s="77">
        <f t="shared" si="41"/>
        <v>0</v>
      </c>
    </row>
    <row r="1320" spans="1:9">
      <c r="A1320" s="85" t="e">
        <f>VLOOKUP('Informe Kelly'!A1313,Base!A:B,2,FALSE)</f>
        <v>#N/A</v>
      </c>
      <c r="B1320" s="85" t="e">
        <f>VLOOKUP('Informe Kelly'!A1313,Base!A:G,7,FALSE)</f>
        <v>#N/A</v>
      </c>
      <c r="C1320" s="91">
        <f>'Informe Kelly'!E1313</f>
        <v>0</v>
      </c>
      <c r="D1320" s="96">
        <f t="shared" si="40"/>
        <v>591</v>
      </c>
      <c r="E1320" s="85" t="e">
        <f>VLOOKUP(A1320,Ingreso!K:P,6,FALSE)</f>
        <v>#N/A</v>
      </c>
      <c r="F1320" s="85" t="str">
        <f>IF('Informe Kelly'!H1313=$A$2,'Informe Kelly'!F1313,"")</f>
        <v/>
      </c>
      <c r="G1320" s="85" t="str">
        <f>IF('Informe Kelly'!H1313=$A$3,'Informe Kelly'!F1313,"")</f>
        <v/>
      </c>
      <c r="H1320" s="85">
        <f>IF(C1320=C1318,0,IF(D1320=D1319,0,(HLOOKUP(C1320,Ingreso!$AN$10:$AU$260,VLOOKUP(A1320,Ingreso!$AL$11:$AM$260,2,FALSE)))/24))</f>
        <v>0</v>
      </c>
      <c r="I1320" s="77">
        <f t="shared" si="41"/>
        <v>0</v>
      </c>
    </row>
    <row r="1321" spans="1:9">
      <c r="A1321" s="85" t="e">
        <f>VLOOKUP('Informe Kelly'!A1314,Base!A:B,2,FALSE)</f>
        <v>#N/A</v>
      </c>
      <c r="B1321" s="85" t="e">
        <f>VLOOKUP('Informe Kelly'!A1314,Base!A:G,7,FALSE)</f>
        <v>#N/A</v>
      </c>
      <c r="C1321" s="91">
        <f>'Informe Kelly'!E1314</f>
        <v>0</v>
      </c>
      <c r="D1321" s="96">
        <f t="shared" si="40"/>
        <v>591</v>
      </c>
      <c r="E1321" s="85" t="e">
        <f>VLOOKUP(A1321,Ingreso!K:P,6,FALSE)</f>
        <v>#N/A</v>
      </c>
      <c r="F1321" s="85" t="str">
        <f>IF('Informe Kelly'!H1314=$A$2,'Informe Kelly'!F1314,"")</f>
        <v/>
      </c>
      <c r="G1321" s="85" t="str">
        <f>IF('Informe Kelly'!H1314=$A$3,'Informe Kelly'!F1314,"")</f>
        <v/>
      </c>
      <c r="H1321" s="85">
        <f>IF(C1321=C1319,0,IF(D1321=D1320,0,(HLOOKUP(C1321,Ingreso!$AN$10:$AU$260,VLOOKUP(A1321,Ingreso!$AL$11:$AM$260,2,FALSE)))/24))</f>
        <v>0</v>
      </c>
      <c r="I1321" s="77">
        <f t="shared" si="41"/>
        <v>0</v>
      </c>
    </row>
    <row r="1322" spans="1:9">
      <c r="A1322" s="85" t="e">
        <f>VLOOKUP('Informe Kelly'!A1315,Base!A:B,2,FALSE)</f>
        <v>#N/A</v>
      </c>
      <c r="B1322" s="85" t="e">
        <f>VLOOKUP('Informe Kelly'!A1315,Base!A:G,7,FALSE)</f>
        <v>#N/A</v>
      </c>
      <c r="C1322" s="91">
        <f>'Informe Kelly'!E1315</f>
        <v>0</v>
      </c>
      <c r="D1322" s="96">
        <f t="shared" si="40"/>
        <v>591</v>
      </c>
      <c r="E1322" s="85" t="e">
        <f>VLOOKUP(A1322,Ingreso!K:P,6,FALSE)</f>
        <v>#N/A</v>
      </c>
      <c r="F1322" s="85" t="str">
        <f>IF('Informe Kelly'!H1315=$A$2,'Informe Kelly'!F1315,"")</f>
        <v/>
      </c>
      <c r="G1322" s="85" t="str">
        <f>IF('Informe Kelly'!H1315=$A$3,'Informe Kelly'!F1315,"")</f>
        <v/>
      </c>
      <c r="H1322" s="85">
        <f>IF(C1322=C1320,0,IF(D1322=D1321,0,(HLOOKUP(C1322,Ingreso!$AN$10:$AU$260,VLOOKUP(A1322,Ingreso!$AL$11:$AM$260,2,FALSE)))/24))</f>
        <v>0</v>
      </c>
      <c r="I1322" s="77">
        <f t="shared" si="41"/>
        <v>0</v>
      </c>
    </row>
  </sheetData>
  <conditionalFormatting sqref="S73:S1048576 S8:S9">
    <cfRule type="cellIs" dxfId="11" priority="4" operator="lessThan">
      <formula>0</formula>
    </cfRule>
  </conditionalFormatting>
  <conditionalFormatting sqref="Q8:R1048576">
    <cfRule type="cellIs" dxfId="10" priority="3" operator="equal">
      <formula>0</formula>
    </cfRule>
  </conditionalFormatting>
  <conditionalFormatting sqref="S8:S1048576">
    <cfRule type="cellIs" dxfId="9" priority="1" operator="lessThan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Ingreso</vt:lpstr>
      <vt:lpstr>Informe Kelly</vt:lpstr>
      <vt:lpstr>Control Horas</vt:lpstr>
      <vt:lpstr>Control Maria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mmoscoso</cp:lastModifiedBy>
  <cp:lastPrinted>2009-05-06T13:00:05Z</cp:lastPrinted>
  <dcterms:created xsi:type="dcterms:W3CDTF">2002-02-26T04:08:33Z</dcterms:created>
  <dcterms:modified xsi:type="dcterms:W3CDTF">2011-04-29T18:01:16Z</dcterms:modified>
</cp:coreProperties>
</file>